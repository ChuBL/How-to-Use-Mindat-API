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mc:Ignorable="x15 xr xr6 xr10">
  <fileVersion appName="xl" lastEdited="7" lowestEdited="7" rupBuild="26501" codeName="{5022B3EB-BCE5-7840-4BB8-8062D341818C}"/>
  <workbookPr codeName="ThisWorkbook" defaultThemeVersion="166925"/>
  <mc:AlternateContent xmlns:mc="http://schemas.openxmlformats.org/markup-compatibility/2006">
    <mc:Choice Requires="x15">
      <x15ac:absPath xmlns:x15ac="http://schemas.microsoft.com/office/spreadsheetml/2010/11/ac" url="C:\Workspace\GithubC\mindat\How-to-Use-Mindat-API\"/>
    </mc:Choice>
  </mc:AlternateContent>
  <xr:revisionPtr revIDLastSave="0" documentId="13_ncr:40009_{DD968F80-9881-4EEB-9891-A59B7AFD6452}" xr6:coauthVersionLast="47" xr6:coauthVersionMax="47" xr10:uidLastSave="{00000000-0000-0000-0000-000000000000}"/>
  <bookViews>
    <workbookView xWindow="-2085" yWindow="3810" windowWidth="27375" windowHeight="12765" activeTab="2"/>
  </bookViews>
  <sheets>
    <sheet name="meteoritical_code_exists" sheetId="1" r:id="rId1"/>
    <sheet name="Sheet1" sheetId="2" r:id="rId2"/>
    <sheet name="Sheet2" sheetId="3" r:id="rId3"/>
  </sheets>
  <functionGroups builtInGroupCount="19"/>
  <externalReferences>
    <externalReference r:id="rId4"/>
  </externalReferences>
  <definedNames>
    <definedName name="_xlnm._FilterDatabase" localSheetId="0" hidden="1">meteoritical_code_exists!$A$1:$R$502</definedName>
    <definedName name="_xlnm._FilterDatabase" localSheetId="1" hidden="1">Sheet1!$AA$1:$AA$502</definedName>
  </definedNames>
  <calcPr calcId="0"/>
</workbook>
</file>

<file path=xl/calcChain.xml><?xml version="1.0" encoding="utf-8"?>
<calcChain xmlns="http://schemas.openxmlformats.org/spreadsheetml/2006/main">
  <c r="AA3" i="2" l="1"/>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AA52" i="2"/>
  <c r="AA53" i="2"/>
  <c r="AA54" i="2"/>
  <c r="AA55" i="2"/>
  <c r="AA56" i="2"/>
  <c r="AA57" i="2"/>
  <c r="AA58" i="2"/>
  <c r="AA59" i="2"/>
  <c r="AA60" i="2"/>
  <c r="AA61" i="2"/>
  <c r="AA62" i="2"/>
  <c r="AA63" i="2"/>
  <c r="AA64" i="2"/>
  <c r="AA65" i="2"/>
  <c r="AA66" i="2"/>
  <c r="AA67" i="2"/>
  <c r="AA68" i="2"/>
  <c r="AA69" i="2"/>
  <c r="AA70" i="2"/>
  <c r="AA71" i="2"/>
  <c r="AA72" i="2"/>
  <c r="AA73" i="2"/>
  <c r="AA74" i="2"/>
  <c r="AA75" i="2"/>
  <c r="AA76" i="2"/>
  <c r="AA77" i="2"/>
  <c r="AA78" i="2"/>
  <c r="AA79" i="2"/>
  <c r="AA80" i="2"/>
  <c r="AA81" i="2"/>
  <c r="AA82" i="2"/>
  <c r="AA83" i="2"/>
  <c r="AA84" i="2"/>
  <c r="AA85" i="2"/>
  <c r="AA86" i="2"/>
  <c r="AA87" i="2"/>
  <c r="AA88" i="2"/>
  <c r="AA89" i="2"/>
  <c r="AA90" i="2"/>
  <c r="AA91" i="2"/>
  <c r="AA92" i="2"/>
  <c r="AA93" i="2"/>
  <c r="AA94" i="2"/>
  <c r="AA95" i="2"/>
  <c r="AA96" i="2"/>
  <c r="AA97" i="2"/>
  <c r="AA98" i="2"/>
  <c r="AA99" i="2"/>
  <c r="AA100" i="2"/>
  <c r="AA101" i="2"/>
  <c r="AA102" i="2"/>
  <c r="AA103" i="2"/>
  <c r="AA104" i="2"/>
  <c r="AA105" i="2"/>
  <c r="AA106" i="2"/>
  <c r="AA107" i="2"/>
  <c r="AA108" i="2"/>
  <c r="AA109" i="2"/>
  <c r="AA110" i="2"/>
  <c r="AA111" i="2"/>
  <c r="AA112" i="2"/>
  <c r="AA113" i="2"/>
  <c r="AA114" i="2"/>
  <c r="AA115" i="2"/>
  <c r="AA116" i="2"/>
  <c r="AA117" i="2"/>
  <c r="AA118" i="2"/>
  <c r="AA119" i="2"/>
  <c r="AA120" i="2"/>
  <c r="AA121" i="2"/>
  <c r="AA122" i="2"/>
  <c r="AA123" i="2"/>
  <c r="AA124" i="2"/>
  <c r="AA125" i="2"/>
  <c r="AA126" i="2"/>
  <c r="AA127" i="2"/>
  <c r="AA128" i="2"/>
  <c r="AA129" i="2"/>
  <c r="AA130" i="2"/>
  <c r="AA131" i="2"/>
  <c r="AA132" i="2"/>
  <c r="AA133" i="2"/>
  <c r="AA134" i="2"/>
  <c r="AA135" i="2"/>
  <c r="AA136" i="2"/>
  <c r="AA137" i="2"/>
  <c r="AA138" i="2"/>
  <c r="AA139" i="2"/>
  <c r="AA140" i="2"/>
  <c r="AA141" i="2"/>
  <c r="AA142" i="2"/>
  <c r="AA143" i="2"/>
  <c r="AA144" i="2"/>
  <c r="AA145" i="2"/>
  <c r="AA146" i="2"/>
  <c r="AA147" i="2"/>
  <c r="AA148" i="2"/>
  <c r="AA149" i="2"/>
  <c r="AA150" i="2"/>
  <c r="AA151" i="2"/>
  <c r="AA152" i="2"/>
  <c r="AA153" i="2"/>
  <c r="AA154" i="2"/>
  <c r="AA155" i="2"/>
  <c r="AA156" i="2"/>
  <c r="AA157" i="2"/>
  <c r="AA158" i="2"/>
  <c r="AA159" i="2"/>
  <c r="AA160" i="2"/>
  <c r="AA161" i="2"/>
  <c r="AA162" i="2"/>
  <c r="AA163" i="2"/>
  <c r="AA164" i="2"/>
  <c r="AA165" i="2"/>
  <c r="AA166" i="2"/>
  <c r="AA167" i="2"/>
  <c r="AA168" i="2"/>
  <c r="AA169" i="2"/>
  <c r="AA170" i="2"/>
  <c r="AA171" i="2"/>
  <c r="AA172" i="2"/>
  <c r="AA173" i="2"/>
  <c r="AA174" i="2"/>
  <c r="AA175" i="2"/>
  <c r="AA176" i="2"/>
  <c r="AA177" i="2"/>
  <c r="AA178" i="2"/>
  <c r="AA179" i="2"/>
  <c r="AA180" i="2"/>
  <c r="AA181" i="2"/>
  <c r="AA182" i="2"/>
  <c r="AA183" i="2"/>
  <c r="AA184" i="2"/>
  <c r="AA185" i="2"/>
  <c r="AA186" i="2"/>
  <c r="AA187" i="2"/>
  <c r="AA188" i="2"/>
  <c r="AA189" i="2"/>
  <c r="AA190" i="2"/>
  <c r="AA191" i="2"/>
  <c r="AA192" i="2"/>
  <c r="AA193" i="2"/>
  <c r="AA194" i="2"/>
  <c r="AA195" i="2"/>
  <c r="AA196" i="2"/>
  <c r="AA197" i="2"/>
  <c r="AA198" i="2"/>
  <c r="AA199" i="2"/>
  <c r="AA200" i="2"/>
  <c r="AA201" i="2"/>
  <c r="AA202" i="2"/>
  <c r="AA203" i="2"/>
  <c r="AA204" i="2"/>
  <c r="AA205" i="2"/>
  <c r="AA206" i="2"/>
  <c r="AA207" i="2"/>
  <c r="AA208" i="2"/>
  <c r="AA209" i="2"/>
  <c r="AA210" i="2"/>
  <c r="AA211" i="2"/>
  <c r="AA212" i="2"/>
  <c r="AA213" i="2"/>
  <c r="AA214" i="2"/>
  <c r="AA215" i="2"/>
  <c r="AA216" i="2"/>
  <c r="AA217" i="2"/>
  <c r="AA218" i="2"/>
  <c r="AA219" i="2"/>
  <c r="AA220" i="2"/>
  <c r="AA221" i="2"/>
  <c r="AA222" i="2"/>
  <c r="AA223" i="2"/>
  <c r="AA224" i="2"/>
  <c r="AA225" i="2"/>
  <c r="AA226" i="2"/>
  <c r="AA227" i="2"/>
  <c r="AA228" i="2"/>
  <c r="AA229" i="2"/>
  <c r="AA230" i="2"/>
  <c r="AA231" i="2"/>
  <c r="AA232" i="2"/>
  <c r="AA233" i="2"/>
  <c r="AA234" i="2"/>
  <c r="AA235" i="2"/>
  <c r="AA236" i="2"/>
  <c r="AA237" i="2"/>
  <c r="AA238" i="2"/>
  <c r="AA239" i="2"/>
  <c r="AA240" i="2"/>
  <c r="AA241" i="2"/>
  <c r="AA242" i="2"/>
  <c r="AA243" i="2"/>
  <c r="AA244" i="2"/>
  <c r="AA245" i="2"/>
  <c r="AA246" i="2"/>
  <c r="AA247" i="2"/>
  <c r="AA248" i="2"/>
  <c r="AA249" i="2"/>
  <c r="AA250" i="2"/>
  <c r="AA251" i="2"/>
  <c r="AA252" i="2"/>
  <c r="AA253" i="2"/>
  <c r="AA254" i="2"/>
  <c r="AA255" i="2"/>
  <c r="AA256" i="2"/>
  <c r="AA257" i="2"/>
  <c r="AA258" i="2"/>
  <c r="AA259" i="2"/>
  <c r="AA260" i="2"/>
  <c r="AA261" i="2"/>
  <c r="AA262" i="2"/>
  <c r="AA263" i="2"/>
  <c r="AA264" i="2"/>
  <c r="AA265" i="2"/>
  <c r="AA266" i="2"/>
  <c r="AA267" i="2"/>
  <c r="AA268" i="2"/>
  <c r="AA269" i="2"/>
  <c r="AA270" i="2"/>
  <c r="AA271" i="2"/>
  <c r="AA272" i="2"/>
  <c r="AA273" i="2"/>
  <c r="AA274" i="2"/>
  <c r="AA275" i="2"/>
  <c r="AA276" i="2"/>
  <c r="AA277" i="2"/>
  <c r="AA278" i="2"/>
  <c r="AA279" i="2"/>
  <c r="AA280" i="2"/>
  <c r="AA281" i="2"/>
  <c r="AA282" i="2"/>
  <c r="AA283" i="2"/>
  <c r="AA284" i="2"/>
  <c r="AA285" i="2"/>
  <c r="AA286" i="2"/>
  <c r="AA287" i="2"/>
  <c r="AA288" i="2"/>
  <c r="AA289" i="2"/>
  <c r="AA290" i="2"/>
  <c r="AA291" i="2"/>
  <c r="AA292" i="2"/>
  <c r="AA293" i="2"/>
  <c r="AA294" i="2"/>
  <c r="AA295" i="2"/>
  <c r="AA296" i="2"/>
  <c r="AA297" i="2"/>
  <c r="AA298" i="2"/>
  <c r="AA299" i="2"/>
  <c r="AA300" i="2"/>
  <c r="AA301" i="2"/>
  <c r="AA302" i="2"/>
  <c r="AA303" i="2"/>
  <c r="AA304" i="2"/>
  <c r="AA305" i="2"/>
  <c r="AA306" i="2"/>
  <c r="AA307" i="2"/>
  <c r="AA308" i="2"/>
  <c r="AA309" i="2"/>
  <c r="AA310" i="2"/>
  <c r="AA311" i="2"/>
  <c r="AA312" i="2"/>
  <c r="AA313" i="2"/>
  <c r="AA314" i="2"/>
  <c r="AA315" i="2"/>
  <c r="AA316" i="2"/>
  <c r="AA317" i="2"/>
  <c r="AA318" i="2"/>
  <c r="AA319" i="2"/>
  <c r="AA320" i="2"/>
  <c r="AA321" i="2"/>
  <c r="AA322" i="2"/>
  <c r="AA323" i="2"/>
  <c r="AA324" i="2"/>
  <c r="AA325" i="2"/>
  <c r="AA326" i="2"/>
  <c r="AA327" i="2"/>
  <c r="AA328" i="2"/>
  <c r="AA329" i="2"/>
  <c r="AA330" i="2"/>
  <c r="AA331" i="2"/>
  <c r="AA332" i="2"/>
  <c r="AA333" i="2"/>
  <c r="AA334" i="2"/>
  <c r="AA335" i="2"/>
  <c r="AA336" i="2"/>
  <c r="AA337" i="2"/>
  <c r="AA338" i="2"/>
  <c r="AA339" i="2"/>
  <c r="AA340" i="2"/>
  <c r="AA341" i="2"/>
  <c r="AA342" i="2"/>
  <c r="AA343" i="2"/>
  <c r="AA344" i="2"/>
  <c r="AA345" i="2"/>
  <c r="AA346" i="2"/>
  <c r="AA347" i="2"/>
  <c r="AA348" i="2"/>
  <c r="AA349" i="2"/>
  <c r="AA350" i="2"/>
  <c r="AA351" i="2"/>
  <c r="AA352" i="2"/>
  <c r="AA353" i="2"/>
  <c r="AA354" i="2"/>
  <c r="AA355" i="2"/>
  <c r="AA356" i="2"/>
  <c r="AA357" i="2"/>
  <c r="AA358" i="2"/>
  <c r="AA359" i="2"/>
  <c r="AA360" i="2"/>
  <c r="AA361" i="2"/>
  <c r="AA362" i="2"/>
  <c r="AA363" i="2"/>
  <c r="AA364" i="2"/>
  <c r="AA365" i="2"/>
  <c r="AA366" i="2"/>
  <c r="AA367" i="2"/>
  <c r="AA368" i="2"/>
  <c r="AA369" i="2"/>
  <c r="AA370" i="2"/>
  <c r="AA371" i="2"/>
  <c r="AA372" i="2"/>
  <c r="AA373" i="2"/>
  <c r="AA374" i="2"/>
  <c r="AA375" i="2"/>
  <c r="AA376" i="2"/>
  <c r="AA377" i="2"/>
  <c r="AA378" i="2"/>
  <c r="AA379" i="2"/>
  <c r="AA380" i="2"/>
  <c r="AA381" i="2"/>
  <c r="AA382" i="2"/>
  <c r="AA383" i="2"/>
  <c r="AA384" i="2"/>
  <c r="AA385" i="2"/>
  <c r="AA386" i="2"/>
  <c r="AA387" i="2"/>
  <c r="AA388" i="2"/>
  <c r="AA389" i="2"/>
  <c r="AA390" i="2"/>
  <c r="AA391" i="2"/>
  <c r="AA392" i="2"/>
  <c r="AA393" i="2"/>
  <c r="AA394" i="2"/>
  <c r="AA395" i="2"/>
  <c r="AA396" i="2"/>
  <c r="AA397" i="2"/>
  <c r="AA398" i="2"/>
  <c r="AA399" i="2"/>
  <c r="AA400" i="2"/>
  <c r="AA401" i="2"/>
  <c r="AA402" i="2"/>
  <c r="AA403" i="2"/>
  <c r="AA404" i="2"/>
  <c r="AA405" i="2"/>
  <c r="AA406" i="2"/>
  <c r="AA407" i="2"/>
  <c r="AA408" i="2"/>
  <c r="AA409" i="2"/>
  <c r="AA410" i="2"/>
  <c r="AA411" i="2"/>
  <c r="AA412" i="2"/>
  <c r="AA413" i="2"/>
  <c r="AA414" i="2"/>
  <c r="AA415" i="2"/>
  <c r="AA416" i="2"/>
  <c r="AA417" i="2"/>
  <c r="AA418" i="2"/>
  <c r="AA419" i="2"/>
  <c r="AA420" i="2"/>
  <c r="AA421" i="2"/>
  <c r="AA422" i="2"/>
  <c r="AA423" i="2"/>
  <c r="AA424" i="2"/>
  <c r="AA425" i="2"/>
  <c r="AA426" i="2"/>
  <c r="AA427" i="2"/>
  <c r="AA428" i="2"/>
  <c r="AA429" i="2"/>
  <c r="AA430" i="2"/>
  <c r="AA431" i="2"/>
  <c r="AA432" i="2"/>
  <c r="AA433" i="2"/>
  <c r="AA434" i="2"/>
  <c r="AA435" i="2"/>
  <c r="AA436" i="2"/>
  <c r="AA437" i="2"/>
  <c r="AA438" i="2"/>
  <c r="AA439" i="2"/>
  <c r="AA440" i="2"/>
  <c r="AA441" i="2"/>
  <c r="AA442" i="2"/>
  <c r="AA443" i="2"/>
  <c r="AA444" i="2"/>
  <c r="AA445" i="2"/>
  <c r="AA446" i="2"/>
  <c r="AA447" i="2"/>
  <c r="AA448" i="2"/>
  <c r="AA449" i="2"/>
  <c r="AA450" i="2"/>
  <c r="AA451" i="2"/>
  <c r="AA452" i="2"/>
  <c r="AA453" i="2"/>
  <c r="AA454" i="2"/>
  <c r="AA455" i="2"/>
  <c r="AA456" i="2"/>
  <c r="AA457" i="2"/>
  <c r="AA458" i="2"/>
  <c r="AA459" i="2"/>
  <c r="AA460" i="2"/>
  <c r="AA461" i="2"/>
  <c r="AA462" i="2"/>
  <c r="AA463" i="2"/>
  <c r="AA464" i="2"/>
  <c r="AA465" i="2"/>
  <c r="AA466" i="2"/>
  <c r="AA467" i="2"/>
  <c r="AA468" i="2"/>
  <c r="AA469" i="2"/>
  <c r="AA470" i="2"/>
  <c r="AA471" i="2"/>
  <c r="AA472" i="2"/>
  <c r="AA473" i="2"/>
  <c r="AA474" i="2"/>
  <c r="AA475" i="2"/>
  <c r="AA476" i="2"/>
  <c r="AA477" i="2"/>
  <c r="AA478" i="2"/>
  <c r="AA479" i="2"/>
  <c r="AA480" i="2"/>
  <c r="AA481" i="2"/>
  <c r="AA482" i="2"/>
  <c r="AA483" i="2"/>
  <c r="AA484" i="2"/>
  <c r="AA485" i="2"/>
  <c r="AA486" i="2"/>
  <c r="AA487" i="2"/>
  <c r="AA488" i="2"/>
  <c r="AA489" i="2"/>
  <c r="AA490" i="2"/>
  <c r="AA491" i="2"/>
  <c r="AA492" i="2"/>
  <c r="AA493" i="2"/>
  <c r="AA494" i="2"/>
  <c r="AA495" i="2"/>
  <c r="AA496" i="2"/>
  <c r="AA497" i="2"/>
  <c r="AA498" i="2"/>
  <c r="AA499" i="2"/>
  <c r="AA500" i="2"/>
  <c r="AA501" i="2"/>
  <c r="AA502" i="2"/>
  <c r="AA2" i="2"/>
  <c r="AC7" i="2"/>
  <c r="AC12" i="2"/>
  <c r="AC17" i="2"/>
  <c r="AC19" i="2"/>
  <c r="AC20" i="2"/>
  <c r="AC21" i="2"/>
  <c r="AC22" i="2"/>
  <c r="AC24" i="2"/>
  <c r="AC25" i="2"/>
  <c r="AC27" i="2"/>
  <c r="AC29" i="2"/>
  <c r="AC30" i="2"/>
  <c r="AC31" i="2"/>
  <c r="AC35" i="2"/>
  <c r="AC47" i="2"/>
  <c r="AC48" i="2"/>
  <c r="AC51" i="2"/>
  <c r="AC54" i="2"/>
  <c r="AC57" i="2"/>
  <c r="AC59" i="2"/>
  <c r="AC75" i="2"/>
  <c r="AC81" i="2"/>
  <c r="AC82" i="2"/>
  <c r="AC95" i="2"/>
  <c r="AC96" i="2"/>
  <c r="AC97" i="2"/>
  <c r="AC98" i="2"/>
  <c r="AC99" i="2"/>
  <c r="AC139" i="2"/>
  <c r="AC141" i="2"/>
  <c r="AC144" i="2"/>
  <c r="AC145" i="2"/>
  <c r="AC148" i="2"/>
  <c r="AC149" i="2"/>
  <c r="AC175" i="2"/>
  <c r="AC180" i="2"/>
  <c r="AC232" i="2"/>
  <c r="AC233" i="2"/>
  <c r="AC234" i="2"/>
  <c r="AC236" i="2"/>
  <c r="AC237" i="2"/>
  <c r="AC259" i="2"/>
  <c r="AC278" i="2"/>
  <c r="AC281" i="2"/>
  <c r="AC284" i="2"/>
  <c r="AC288" i="2"/>
  <c r="AC293" i="2"/>
  <c r="AC313" i="2"/>
  <c r="AC321" i="2"/>
  <c r="AC322" i="2"/>
  <c r="AC323" i="2"/>
  <c r="AC324" i="2"/>
  <c r="AC325" i="2"/>
  <c r="AC326" i="2"/>
  <c r="AC327" i="2"/>
  <c r="AC328" i="2"/>
  <c r="AC329" i="2"/>
  <c r="AC330" i="2"/>
  <c r="AC331" i="2"/>
  <c r="AC332" i="2"/>
  <c r="AC333" i="2"/>
  <c r="AC334" i="2"/>
  <c r="AC335" i="2"/>
  <c r="AC336" i="2"/>
  <c r="AC337" i="2"/>
  <c r="AC338" i="2"/>
  <c r="AC339" i="2"/>
  <c r="AC341" i="2"/>
  <c r="AC342" i="2"/>
  <c r="AC343" i="2"/>
  <c r="AC344" i="2"/>
  <c r="AC345" i="2"/>
  <c r="AC346" i="2"/>
  <c r="AC347" i="2"/>
  <c r="AC348" i="2"/>
  <c r="AC349" i="2"/>
  <c r="AC350" i="2"/>
  <c r="AC351" i="2"/>
  <c r="AC352" i="2"/>
  <c r="AC353" i="2"/>
  <c r="AC354" i="2"/>
  <c r="AC355" i="2"/>
  <c r="AC356" i="2"/>
  <c r="AC357" i="2"/>
  <c r="AC358" i="2"/>
  <c r="AC359" i="2"/>
  <c r="AC360" i="2"/>
  <c r="AC361" i="2"/>
  <c r="AC362" i="2"/>
  <c r="AC363" i="2"/>
  <c r="AC364" i="2"/>
  <c r="AC365" i="2"/>
  <c r="AC366" i="2"/>
  <c r="AC367" i="2"/>
  <c r="AC368" i="2"/>
  <c r="AC369" i="2"/>
  <c r="AC370" i="2"/>
  <c r="AC371" i="2"/>
  <c r="AC372" i="2"/>
  <c r="AC373" i="2"/>
  <c r="AC374" i="2"/>
  <c r="AC375" i="2"/>
  <c r="AC376" i="2"/>
  <c r="AC377" i="2"/>
  <c r="AC378" i="2"/>
  <c r="AC379" i="2"/>
  <c r="AC380" i="2"/>
  <c r="AC381" i="2"/>
  <c r="AC382" i="2"/>
  <c r="AC383" i="2"/>
  <c r="AC384" i="2"/>
  <c r="AC385" i="2"/>
  <c r="AC386" i="2"/>
  <c r="AC387" i="2"/>
  <c r="AC388" i="2"/>
  <c r="AC389" i="2"/>
  <c r="AC390" i="2"/>
  <c r="AC391" i="2"/>
  <c r="AC392" i="2"/>
  <c r="AC393" i="2"/>
  <c r="AC394" i="2"/>
  <c r="AC395" i="2"/>
  <c r="AC396" i="2"/>
  <c r="AC397" i="2"/>
  <c r="AC398" i="2"/>
  <c r="AC399" i="2"/>
  <c r="AC400" i="2"/>
  <c r="AC401" i="2"/>
  <c r="AC402" i="2"/>
  <c r="AC403" i="2"/>
  <c r="AC404" i="2"/>
  <c r="AC405" i="2"/>
  <c r="AC406" i="2"/>
  <c r="AC407" i="2"/>
  <c r="AC408" i="2"/>
  <c r="AC409" i="2"/>
  <c r="AC410" i="2"/>
  <c r="AC411" i="2"/>
  <c r="AC412" i="2"/>
  <c r="AC413" i="2"/>
  <c r="AC414" i="2"/>
  <c r="AC415" i="2"/>
  <c r="AC416" i="2"/>
  <c r="AC417" i="2"/>
  <c r="AC418" i="2"/>
  <c r="AC419" i="2"/>
  <c r="AC420" i="2"/>
  <c r="AC424" i="2"/>
  <c r="AC425" i="2"/>
  <c r="AC437" i="2"/>
  <c r="AC448" i="2"/>
  <c r="AC449" i="2"/>
  <c r="AC450" i="2"/>
  <c r="AC451" i="2"/>
  <c r="AC452" i="2"/>
  <c r="AC453" i="2"/>
  <c r="AC454" i="2"/>
  <c r="AC455" i="2"/>
  <c r="AC456" i="2"/>
  <c r="AC457" i="2"/>
  <c r="AC458" i="2"/>
  <c r="AC459" i="2"/>
  <c r="AC460" i="2"/>
  <c r="AC461" i="2"/>
  <c r="AC462" i="2"/>
  <c r="AC463" i="2"/>
  <c r="AC464" i="2"/>
  <c r="AC465" i="2"/>
  <c r="AC466" i="2"/>
  <c r="AC467" i="2"/>
  <c r="AC468" i="2"/>
  <c r="AC469" i="2"/>
  <c r="AC470" i="2"/>
  <c r="AC471" i="2"/>
  <c r="AC472" i="2"/>
  <c r="AC473" i="2"/>
  <c r="AC474" i="2"/>
  <c r="AC475" i="2"/>
  <c r="AC476" i="2"/>
  <c r="AC477" i="2"/>
  <c r="AC478" i="2"/>
  <c r="AC479" i="2"/>
  <c r="AC480" i="2"/>
  <c r="AC482" i="2"/>
  <c r="AC483" i="2"/>
  <c r="AC484" i="2"/>
  <c r="AC485" i="2"/>
  <c r="AC486" i="2"/>
  <c r="AC487" i="2"/>
  <c r="AC488" i="2"/>
  <c r="AC489" i="2"/>
  <c r="AC490" i="2"/>
  <c r="AC491" i="2"/>
  <c r="AC492" i="2"/>
  <c r="AC493" i="2"/>
  <c r="AC494" i="2"/>
  <c r="AC495" i="2"/>
  <c r="AC496" i="2"/>
  <c r="AC497" i="2"/>
  <c r="AC498" i="2"/>
  <c r="AC499" i="2"/>
  <c r="AC500" i="2"/>
  <c r="AC501" i="2"/>
  <c r="AC502" i="2"/>
  <c r="Z481" i="2"/>
  <c r="Y481" i="2"/>
  <c r="Z426" i="2"/>
  <c r="Y426" i="2"/>
  <c r="Z423" i="2"/>
  <c r="Y423" i="2"/>
  <c r="Z422" i="2"/>
  <c r="Y422" i="2"/>
  <c r="Y18" i="2"/>
  <c r="Z18" i="2"/>
  <c r="AB3" i="2"/>
  <c r="AB4" i="2"/>
  <c r="AB5" i="2"/>
  <c r="AB6"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B52" i="2"/>
  <c r="AB53" i="2"/>
  <c r="AB54" i="2"/>
  <c r="AB55" i="2"/>
  <c r="AB56" i="2"/>
  <c r="AB57" i="2"/>
  <c r="AB58" i="2"/>
  <c r="AB59" i="2"/>
  <c r="AB60" i="2"/>
  <c r="AB61" i="2"/>
  <c r="AB62" i="2"/>
  <c r="AB63" i="2"/>
  <c r="AB64" i="2"/>
  <c r="AB65" i="2"/>
  <c r="AB66" i="2"/>
  <c r="AB67" i="2"/>
  <c r="AB68" i="2"/>
  <c r="AB69" i="2"/>
  <c r="AB70" i="2"/>
  <c r="AB71" i="2"/>
  <c r="AB72" i="2"/>
  <c r="AB73" i="2"/>
  <c r="AB74" i="2"/>
  <c r="AB75" i="2"/>
  <c r="AB76" i="2"/>
  <c r="AB77" i="2"/>
  <c r="AB78" i="2"/>
  <c r="AB79" i="2"/>
  <c r="AB80" i="2"/>
  <c r="AB81" i="2"/>
  <c r="AB82" i="2"/>
  <c r="AB83" i="2"/>
  <c r="AB84" i="2"/>
  <c r="AB85" i="2"/>
  <c r="AB86" i="2"/>
  <c r="AB87" i="2"/>
  <c r="AB88" i="2"/>
  <c r="AB89" i="2"/>
  <c r="AB90" i="2"/>
  <c r="AB91" i="2"/>
  <c r="AB92" i="2"/>
  <c r="AB93" i="2"/>
  <c r="AB94" i="2"/>
  <c r="AB95" i="2"/>
  <c r="AB96" i="2"/>
  <c r="AB97" i="2"/>
  <c r="AB98" i="2"/>
  <c r="AB99" i="2"/>
  <c r="AB100" i="2"/>
  <c r="AB101" i="2"/>
  <c r="AB102" i="2"/>
  <c r="AB103" i="2"/>
  <c r="AB104" i="2"/>
  <c r="AB105" i="2"/>
  <c r="AB106" i="2"/>
  <c r="AB107" i="2"/>
  <c r="AB108" i="2"/>
  <c r="AB109" i="2"/>
  <c r="AB110" i="2"/>
  <c r="AB111" i="2"/>
  <c r="AB112" i="2"/>
  <c r="AB113" i="2"/>
  <c r="AB114" i="2"/>
  <c r="AB115" i="2"/>
  <c r="AB116" i="2"/>
  <c r="AB117" i="2"/>
  <c r="AB118" i="2"/>
  <c r="AB119" i="2"/>
  <c r="AB120" i="2"/>
  <c r="AB121" i="2"/>
  <c r="AB122" i="2"/>
  <c r="AB123" i="2"/>
  <c r="AB124" i="2"/>
  <c r="AB125" i="2"/>
  <c r="AB126" i="2"/>
  <c r="AB127" i="2"/>
  <c r="AB128" i="2"/>
  <c r="AB129" i="2"/>
  <c r="AB130" i="2"/>
  <c r="AB131" i="2"/>
  <c r="AB132" i="2"/>
  <c r="AB133" i="2"/>
  <c r="AB134" i="2"/>
  <c r="AB135" i="2"/>
  <c r="AB136" i="2"/>
  <c r="AB137" i="2"/>
  <c r="AB138" i="2"/>
  <c r="AB139" i="2"/>
  <c r="AB140" i="2"/>
  <c r="AB141" i="2"/>
  <c r="AB142" i="2"/>
  <c r="AB143" i="2"/>
  <c r="AB144" i="2"/>
  <c r="AB145" i="2"/>
  <c r="AB146" i="2"/>
  <c r="AB147" i="2"/>
  <c r="AB148" i="2"/>
  <c r="AB149" i="2"/>
  <c r="AB150" i="2"/>
  <c r="AB151" i="2"/>
  <c r="AB152" i="2"/>
  <c r="AB153" i="2"/>
  <c r="AB154" i="2"/>
  <c r="AB155" i="2"/>
  <c r="AB156" i="2"/>
  <c r="AB157" i="2"/>
  <c r="AB158" i="2"/>
  <c r="AB159" i="2"/>
  <c r="AB160" i="2"/>
  <c r="AB161" i="2"/>
  <c r="AB162" i="2"/>
  <c r="AB163" i="2"/>
  <c r="AB164" i="2"/>
  <c r="AB165" i="2"/>
  <c r="AB166" i="2"/>
  <c r="AB167" i="2"/>
  <c r="AB168" i="2"/>
  <c r="AB169" i="2"/>
  <c r="AB170" i="2"/>
  <c r="AB171" i="2"/>
  <c r="AB172" i="2"/>
  <c r="AB173" i="2"/>
  <c r="AB174" i="2"/>
  <c r="AB175" i="2"/>
  <c r="AB176" i="2"/>
  <c r="AB177" i="2"/>
  <c r="AB178" i="2"/>
  <c r="AB179" i="2"/>
  <c r="AB180" i="2"/>
  <c r="AB181" i="2"/>
  <c r="AB182" i="2"/>
  <c r="AB183" i="2"/>
  <c r="AB184" i="2"/>
  <c r="AB185" i="2"/>
  <c r="AB186" i="2"/>
  <c r="AB187" i="2"/>
  <c r="AB188" i="2"/>
  <c r="AB189" i="2"/>
  <c r="AB190" i="2"/>
  <c r="AB191" i="2"/>
  <c r="AB192" i="2"/>
  <c r="AB193" i="2"/>
  <c r="AB194" i="2"/>
  <c r="AB195" i="2"/>
  <c r="AB196" i="2"/>
  <c r="AB197" i="2"/>
  <c r="AB198" i="2"/>
  <c r="AB199" i="2"/>
  <c r="AB200" i="2"/>
  <c r="AB201" i="2"/>
  <c r="AB202" i="2"/>
  <c r="AB203" i="2"/>
  <c r="AB204" i="2"/>
  <c r="AB205" i="2"/>
  <c r="AB206" i="2"/>
  <c r="AB207" i="2"/>
  <c r="AB208" i="2"/>
  <c r="AB209" i="2"/>
  <c r="AB210" i="2"/>
  <c r="AB211" i="2"/>
  <c r="AB212" i="2"/>
  <c r="AB213" i="2"/>
  <c r="AB214" i="2"/>
  <c r="AB215" i="2"/>
  <c r="AB216" i="2"/>
  <c r="AB217" i="2"/>
  <c r="AB218" i="2"/>
  <c r="AB219" i="2"/>
  <c r="AB220" i="2"/>
  <c r="AB221" i="2"/>
  <c r="AB222" i="2"/>
  <c r="AB223" i="2"/>
  <c r="AB224" i="2"/>
  <c r="AB225" i="2"/>
  <c r="AB226" i="2"/>
  <c r="AB227" i="2"/>
  <c r="AB228" i="2"/>
  <c r="AB229" i="2"/>
  <c r="AB230" i="2"/>
  <c r="AB231" i="2"/>
  <c r="AB232" i="2"/>
  <c r="AB233" i="2"/>
  <c r="AB234" i="2"/>
  <c r="AB235" i="2"/>
  <c r="AB236" i="2"/>
  <c r="AB237" i="2"/>
  <c r="AB238" i="2"/>
  <c r="AB239" i="2"/>
  <c r="AB240" i="2"/>
  <c r="AB241" i="2"/>
  <c r="AB242" i="2"/>
  <c r="AB243" i="2"/>
  <c r="AB244" i="2"/>
  <c r="AB245" i="2"/>
  <c r="AB246" i="2"/>
  <c r="AB247" i="2"/>
  <c r="AB248" i="2"/>
  <c r="AB249" i="2"/>
  <c r="AB250" i="2"/>
  <c r="AB251" i="2"/>
  <c r="AB252" i="2"/>
  <c r="AB253" i="2"/>
  <c r="AB254" i="2"/>
  <c r="AB255" i="2"/>
  <c r="AB256" i="2"/>
  <c r="AB257" i="2"/>
  <c r="AB258" i="2"/>
  <c r="AB259" i="2"/>
  <c r="AB260" i="2"/>
  <c r="AB261" i="2"/>
  <c r="AB262" i="2"/>
  <c r="AB263" i="2"/>
  <c r="AB264" i="2"/>
  <c r="AB265" i="2"/>
  <c r="AB266" i="2"/>
  <c r="AB267" i="2"/>
  <c r="AB268" i="2"/>
  <c r="AB269" i="2"/>
  <c r="AB270" i="2"/>
  <c r="AB271" i="2"/>
  <c r="AB272" i="2"/>
  <c r="AB273" i="2"/>
  <c r="AB274" i="2"/>
  <c r="AB275" i="2"/>
  <c r="AB276" i="2"/>
  <c r="AB277" i="2"/>
  <c r="AB278" i="2"/>
  <c r="AB279" i="2"/>
  <c r="AB280" i="2"/>
  <c r="AB281" i="2"/>
  <c r="AB282" i="2"/>
  <c r="AB283" i="2"/>
  <c r="AB284" i="2"/>
  <c r="AB285" i="2"/>
  <c r="AB286" i="2"/>
  <c r="AB287" i="2"/>
  <c r="AB288" i="2"/>
  <c r="AB289" i="2"/>
  <c r="AB290" i="2"/>
  <c r="AB291" i="2"/>
  <c r="AB292" i="2"/>
  <c r="AB293" i="2"/>
  <c r="AB294" i="2"/>
  <c r="AB295" i="2"/>
  <c r="AB296" i="2"/>
  <c r="AB297" i="2"/>
  <c r="AB298" i="2"/>
  <c r="AB299" i="2"/>
  <c r="AB300" i="2"/>
  <c r="AB301" i="2"/>
  <c r="AB302" i="2"/>
  <c r="AB303" i="2"/>
  <c r="AB304" i="2"/>
  <c r="AB305" i="2"/>
  <c r="AB306" i="2"/>
  <c r="AB307" i="2"/>
  <c r="AB308" i="2"/>
  <c r="AB309" i="2"/>
  <c r="AB310" i="2"/>
  <c r="AB311" i="2"/>
  <c r="AB312" i="2"/>
  <c r="AB313" i="2"/>
  <c r="AB314" i="2"/>
  <c r="AB315" i="2"/>
  <c r="AB316" i="2"/>
  <c r="AB317" i="2"/>
  <c r="AB318" i="2"/>
  <c r="AB319" i="2"/>
  <c r="AB320" i="2"/>
  <c r="AB321" i="2"/>
  <c r="AB322" i="2"/>
  <c r="AB323" i="2"/>
  <c r="AB324" i="2"/>
  <c r="AB325" i="2"/>
  <c r="AB326" i="2"/>
  <c r="AB327" i="2"/>
  <c r="AB328" i="2"/>
  <c r="AB329" i="2"/>
  <c r="AB330" i="2"/>
  <c r="AB331" i="2"/>
  <c r="AB332" i="2"/>
  <c r="AB333" i="2"/>
  <c r="AB334" i="2"/>
  <c r="AB335" i="2"/>
  <c r="AB336" i="2"/>
  <c r="AB337" i="2"/>
  <c r="AB338" i="2"/>
  <c r="AB339" i="2"/>
  <c r="AB340" i="2"/>
  <c r="AB341" i="2"/>
  <c r="AB342" i="2"/>
  <c r="AB343" i="2"/>
  <c r="AB344" i="2"/>
  <c r="AB345" i="2"/>
  <c r="AB346" i="2"/>
  <c r="AB347" i="2"/>
  <c r="AB348" i="2"/>
  <c r="AB349" i="2"/>
  <c r="AB350" i="2"/>
  <c r="AB351" i="2"/>
  <c r="AB352" i="2"/>
  <c r="AB353" i="2"/>
  <c r="AB354" i="2"/>
  <c r="AB355" i="2"/>
  <c r="AB356" i="2"/>
  <c r="AB357" i="2"/>
  <c r="AB358" i="2"/>
  <c r="AB359" i="2"/>
  <c r="AB360" i="2"/>
  <c r="AB361" i="2"/>
  <c r="AB362" i="2"/>
  <c r="AB363" i="2"/>
  <c r="AB364" i="2"/>
  <c r="AB365" i="2"/>
  <c r="AB366" i="2"/>
  <c r="AB367" i="2"/>
  <c r="AB368" i="2"/>
  <c r="AB369" i="2"/>
  <c r="AB370" i="2"/>
  <c r="AB371" i="2"/>
  <c r="AB372" i="2"/>
  <c r="AB373" i="2"/>
  <c r="AB374" i="2"/>
  <c r="AB375" i="2"/>
  <c r="AB376" i="2"/>
  <c r="AB377" i="2"/>
  <c r="AB378" i="2"/>
  <c r="AB379" i="2"/>
  <c r="AB380" i="2"/>
  <c r="AB381" i="2"/>
  <c r="AB382" i="2"/>
  <c r="AB383" i="2"/>
  <c r="AB384" i="2"/>
  <c r="AB385" i="2"/>
  <c r="AB386" i="2"/>
  <c r="AB387" i="2"/>
  <c r="AB388" i="2"/>
  <c r="AB389" i="2"/>
  <c r="AB390" i="2"/>
  <c r="AB391" i="2"/>
  <c r="AB392" i="2"/>
  <c r="AB393" i="2"/>
  <c r="AB394" i="2"/>
  <c r="AB395" i="2"/>
  <c r="AB396" i="2"/>
  <c r="AB397" i="2"/>
  <c r="AB398" i="2"/>
  <c r="AB399" i="2"/>
  <c r="AB400" i="2"/>
  <c r="AB401" i="2"/>
  <c r="AB402" i="2"/>
  <c r="AB403" i="2"/>
  <c r="AB404" i="2"/>
  <c r="AB405" i="2"/>
  <c r="AB406" i="2"/>
  <c r="AB407" i="2"/>
  <c r="AB408" i="2"/>
  <c r="AB409" i="2"/>
  <c r="AB410" i="2"/>
  <c r="AB411" i="2"/>
  <c r="AB412" i="2"/>
  <c r="AB413" i="2"/>
  <c r="AB414" i="2"/>
  <c r="AB415" i="2"/>
  <c r="AB416" i="2"/>
  <c r="AB417" i="2"/>
  <c r="AB418" i="2"/>
  <c r="AB419" i="2"/>
  <c r="AB420" i="2"/>
  <c r="AB421" i="2"/>
  <c r="AB422" i="2"/>
  <c r="AB423" i="2"/>
  <c r="AB424" i="2"/>
  <c r="AB425" i="2"/>
  <c r="AB426" i="2"/>
  <c r="AB427" i="2"/>
  <c r="AB428" i="2"/>
  <c r="AB429" i="2"/>
  <c r="AB430" i="2"/>
  <c r="AB431" i="2"/>
  <c r="AB432" i="2"/>
  <c r="AB433" i="2"/>
  <c r="AB434" i="2"/>
  <c r="AB435" i="2"/>
  <c r="AB436" i="2"/>
  <c r="AB437" i="2"/>
  <c r="AB438" i="2"/>
  <c r="AB439" i="2"/>
  <c r="AB440" i="2"/>
  <c r="AB441" i="2"/>
  <c r="AB442" i="2"/>
  <c r="AB443" i="2"/>
  <c r="AB444" i="2"/>
  <c r="AB445" i="2"/>
  <c r="AB446" i="2"/>
  <c r="AB447" i="2"/>
  <c r="AB448" i="2"/>
  <c r="AB449" i="2"/>
  <c r="AB450" i="2"/>
  <c r="AB451" i="2"/>
  <c r="AB452" i="2"/>
  <c r="AB453" i="2"/>
  <c r="AB454" i="2"/>
  <c r="AB455" i="2"/>
  <c r="AB456" i="2"/>
  <c r="AB457" i="2"/>
  <c r="AB458" i="2"/>
  <c r="AB459" i="2"/>
  <c r="AB460" i="2"/>
  <c r="AB461" i="2"/>
  <c r="AB462" i="2"/>
  <c r="AB463" i="2"/>
  <c r="AB464" i="2"/>
  <c r="AB465" i="2"/>
  <c r="AB466" i="2"/>
  <c r="AB467" i="2"/>
  <c r="AB468" i="2"/>
  <c r="AB469" i="2"/>
  <c r="AB470" i="2"/>
  <c r="AB471" i="2"/>
  <c r="AB472" i="2"/>
  <c r="AB473" i="2"/>
  <c r="AB474" i="2"/>
  <c r="AB475" i="2"/>
  <c r="AB476" i="2"/>
  <c r="AB477" i="2"/>
  <c r="AB478" i="2"/>
  <c r="AB479" i="2"/>
  <c r="AB480" i="2"/>
  <c r="AB481" i="2"/>
  <c r="AB482" i="2"/>
  <c r="AB483" i="2"/>
  <c r="AB484" i="2"/>
  <c r="AB485" i="2"/>
  <c r="AB486" i="2"/>
  <c r="AB487" i="2"/>
  <c r="AB488" i="2"/>
  <c r="AB489" i="2"/>
  <c r="AB490" i="2"/>
  <c r="AB491" i="2"/>
  <c r="AB492" i="2"/>
  <c r="AB493" i="2"/>
  <c r="AB494" i="2"/>
  <c r="AB495" i="2"/>
  <c r="AB496" i="2"/>
  <c r="AB497" i="2"/>
  <c r="AB498" i="2"/>
  <c r="AB499" i="2"/>
  <c r="AB500" i="2"/>
  <c r="AB501" i="2"/>
  <c r="AB502" i="2"/>
  <c r="U340" i="2"/>
  <c r="V340" i="2"/>
  <c r="W340" i="2"/>
  <c r="X340" i="2"/>
  <c r="Y340" i="2"/>
  <c r="Z340" i="2"/>
  <c r="U422" i="2"/>
  <c r="V422" i="2"/>
  <c r="W422" i="2"/>
  <c r="U423" i="2"/>
  <c r="V423" i="2"/>
  <c r="W423" i="2"/>
  <c r="U424" i="2"/>
  <c r="W424" i="2"/>
  <c r="U425" i="2"/>
  <c r="W425" i="2"/>
  <c r="U426" i="2"/>
  <c r="V426" i="2"/>
  <c r="W426" i="2"/>
  <c r="U427" i="2"/>
  <c r="W427" i="2"/>
  <c r="U481" i="2"/>
  <c r="V481" i="2"/>
  <c r="W481" i="2"/>
  <c r="U18" i="2"/>
  <c r="V18" i="2"/>
  <c r="W18" i="2"/>
  <c r="AC2" i="2"/>
  <c r="S481" i="2"/>
  <c r="AC481" i="2" s="1"/>
  <c r="S447" i="2"/>
  <c r="AC447" i="2" s="1"/>
  <c r="S446" i="2"/>
  <c r="AC446" i="2" s="1"/>
  <c r="S445" i="2"/>
  <c r="AC445" i="2" s="1"/>
  <c r="S444" i="2"/>
  <c r="AC444" i="2" s="1"/>
  <c r="S443" i="2"/>
  <c r="AC443" i="2" s="1"/>
  <c r="S442" i="2"/>
  <c r="AC442" i="2" s="1"/>
  <c r="S441" i="2"/>
  <c r="AC441" i="2" s="1"/>
  <c r="S440" i="2"/>
  <c r="AC440" i="2" s="1"/>
  <c r="S439" i="2"/>
  <c r="AC439" i="2" s="1"/>
  <c r="S438" i="2"/>
  <c r="AC438" i="2" s="1"/>
  <c r="S436" i="2"/>
  <c r="AC436" i="2" s="1"/>
  <c r="S435" i="2"/>
  <c r="AC435" i="2" s="1"/>
  <c r="S434" i="2"/>
  <c r="AC434" i="2" s="1"/>
  <c r="S433" i="2"/>
  <c r="AC433" i="2" s="1"/>
  <c r="S432" i="2"/>
  <c r="AC432" i="2" s="1"/>
  <c r="S431" i="2"/>
  <c r="AC431" i="2" s="1"/>
  <c r="S430" i="2"/>
  <c r="AC430" i="2" s="1"/>
  <c r="S429" i="2"/>
  <c r="AC429" i="2" s="1"/>
  <c r="S428" i="2"/>
  <c r="AC428" i="2" s="1"/>
  <c r="S427" i="2"/>
  <c r="AC427" i="2" s="1"/>
  <c r="S426" i="2"/>
  <c r="AC426" i="2" s="1"/>
  <c r="S423" i="2"/>
  <c r="AC423" i="2" s="1"/>
  <c r="S422" i="2"/>
  <c r="AC422" i="2" s="1"/>
  <c r="S421" i="2"/>
  <c r="AC421" i="2" s="1"/>
  <c r="S340" i="2"/>
  <c r="AC340" i="2" s="1"/>
  <c r="S320" i="2"/>
  <c r="AC320" i="2" s="1"/>
  <c r="S319" i="2"/>
  <c r="AC319" i="2" s="1"/>
  <c r="S318" i="2"/>
  <c r="AC318" i="2" s="1"/>
  <c r="S317" i="2"/>
  <c r="AC317" i="2" s="1"/>
  <c r="S316" i="2"/>
  <c r="AC316" i="2" s="1"/>
  <c r="S315" i="2"/>
  <c r="AC315" i="2" s="1"/>
  <c r="S314" i="2"/>
  <c r="AC314" i="2" s="1"/>
  <c r="S312" i="2"/>
  <c r="AC312" i="2" s="1"/>
  <c r="S311" i="2"/>
  <c r="AC311" i="2" s="1"/>
  <c r="S310" i="2"/>
  <c r="AC310" i="2" s="1"/>
  <c r="S309" i="2"/>
  <c r="AC309" i="2" s="1"/>
  <c r="S308" i="2"/>
  <c r="AC308" i="2" s="1"/>
  <c r="S307" i="2"/>
  <c r="AC307" i="2" s="1"/>
  <c r="S306" i="2"/>
  <c r="AC306" i="2" s="1"/>
  <c r="S305" i="2"/>
  <c r="AC305" i="2" s="1"/>
  <c r="S304" i="2"/>
  <c r="AC304" i="2" s="1"/>
  <c r="S303" i="2"/>
  <c r="AC303" i="2" s="1"/>
  <c r="S302" i="2"/>
  <c r="AC302" i="2" s="1"/>
  <c r="S301" i="2"/>
  <c r="AC301" i="2" s="1"/>
  <c r="S300" i="2"/>
  <c r="AC300" i="2" s="1"/>
  <c r="S299" i="2"/>
  <c r="AC299" i="2" s="1"/>
  <c r="S298" i="2"/>
  <c r="AC298" i="2" s="1"/>
  <c r="S297" i="2"/>
  <c r="AC297" i="2" s="1"/>
  <c r="S296" i="2"/>
  <c r="AC296" i="2" s="1"/>
  <c r="S295" i="2"/>
  <c r="AC295" i="2" s="1"/>
  <c r="S294" i="2"/>
  <c r="AC294" i="2" s="1"/>
  <c r="S292" i="2"/>
  <c r="AC292" i="2" s="1"/>
  <c r="S291" i="2"/>
  <c r="AC291" i="2" s="1"/>
  <c r="S290" i="2"/>
  <c r="AC290" i="2" s="1"/>
  <c r="S289" i="2"/>
  <c r="AC289" i="2" s="1"/>
  <c r="S287" i="2"/>
  <c r="AC287" i="2" s="1"/>
  <c r="S286" i="2"/>
  <c r="AC286" i="2" s="1"/>
  <c r="S285" i="2"/>
  <c r="AC285" i="2" s="1"/>
  <c r="S283" i="2"/>
  <c r="AC283" i="2" s="1"/>
  <c r="S282" i="2"/>
  <c r="AC282" i="2" s="1"/>
  <c r="S280" i="2"/>
  <c r="AC280" i="2" s="1"/>
  <c r="S279" i="2"/>
  <c r="AC279" i="2" s="1"/>
  <c r="S277" i="2"/>
  <c r="AC277" i="2" s="1"/>
  <c r="S276" i="2"/>
  <c r="AC276" i="2" s="1"/>
  <c r="S275" i="2"/>
  <c r="AC275" i="2" s="1"/>
  <c r="S274" i="2"/>
  <c r="AC274" i="2" s="1"/>
  <c r="S273" i="2"/>
  <c r="AC273" i="2" s="1"/>
  <c r="S272" i="2"/>
  <c r="AC272" i="2" s="1"/>
  <c r="S271" i="2"/>
  <c r="AC271" i="2" s="1"/>
  <c r="S270" i="2"/>
  <c r="AC270" i="2" s="1"/>
  <c r="S269" i="2"/>
  <c r="AC269" i="2" s="1"/>
  <c r="S268" i="2"/>
  <c r="AC268" i="2" s="1"/>
  <c r="S267" i="2"/>
  <c r="AC267" i="2" s="1"/>
  <c r="S266" i="2"/>
  <c r="AC266" i="2" s="1"/>
  <c r="S265" i="2"/>
  <c r="AC265" i="2" s="1"/>
  <c r="S264" i="2"/>
  <c r="AC264" i="2" s="1"/>
  <c r="S263" i="2"/>
  <c r="AC263" i="2" s="1"/>
  <c r="S262" i="2"/>
  <c r="AC262" i="2" s="1"/>
  <c r="S261" i="2"/>
  <c r="AC261" i="2" s="1"/>
  <c r="S260" i="2"/>
  <c r="AC260" i="2" s="1"/>
  <c r="S258" i="2"/>
  <c r="AC258" i="2" s="1"/>
  <c r="S257" i="2"/>
  <c r="AC257" i="2" s="1"/>
  <c r="S256" i="2"/>
  <c r="AC256" i="2" s="1"/>
  <c r="S255" i="2"/>
  <c r="AC255" i="2" s="1"/>
  <c r="S254" i="2"/>
  <c r="AC254" i="2" s="1"/>
  <c r="S253" i="2"/>
  <c r="AC253" i="2" s="1"/>
  <c r="S252" i="2"/>
  <c r="AC252" i="2" s="1"/>
  <c r="S251" i="2"/>
  <c r="AC251" i="2" s="1"/>
  <c r="S250" i="2"/>
  <c r="AC250" i="2" s="1"/>
  <c r="S249" i="2"/>
  <c r="AC249" i="2" s="1"/>
  <c r="S248" i="2"/>
  <c r="AC248" i="2" s="1"/>
  <c r="S247" i="2"/>
  <c r="AC247" i="2" s="1"/>
  <c r="S246" i="2"/>
  <c r="AC246" i="2" s="1"/>
  <c r="S245" i="2"/>
  <c r="AC245" i="2" s="1"/>
  <c r="S244" i="2"/>
  <c r="AC244" i="2" s="1"/>
  <c r="S243" i="2"/>
  <c r="AC243" i="2" s="1"/>
  <c r="S242" i="2"/>
  <c r="AC242" i="2" s="1"/>
  <c r="S241" i="2"/>
  <c r="AC241" i="2" s="1"/>
  <c r="S240" i="2"/>
  <c r="AC240" i="2" s="1"/>
  <c r="S239" i="2"/>
  <c r="AC239" i="2" s="1"/>
  <c r="S238" i="2"/>
  <c r="AC238" i="2" s="1"/>
  <c r="S235" i="2"/>
  <c r="AC235" i="2" s="1"/>
  <c r="S231" i="2"/>
  <c r="AC231" i="2" s="1"/>
  <c r="S230" i="2"/>
  <c r="AC230" i="2" s="1"/>
  <c r="S229" i="2"/>
  <c r="AC229" i="2" s="1"/>
  <c r="S228" i="2"/>
  <c r="AC228" i="2" s="1"/>
  <c r="S227" i="2"/>
  <c r="AC227" i="2" s="1"/>
  <c r="S226" i="2"/>
  <c r="AC226" i="2" s="1"/>
  <c r="S225" i="2"/>
  <c r="AC225" i="2" s="1"/>
  <c r="S224" i="2"/>
  <c r="AC224" i="2" s="1"/>
  <c r="S223" i="2"/>
  <c r="AC223" i="2" s="1"/>
  <c r="S222" i="2"/>
  <c r="AC222" i="2" s="1"/>
  <c r="S221" i="2"/>
  <c r="AC221" i="2" s="1"/>
  <c r="S220" i="2"/>
  <c r="AC220" i="2" s="1"/>
  <c r="S219" i="2"/>
  <c r="AC219" i="2" s="1"/>
  <c r="S218" i="2"/>
  <c r="AC218" i="2" s="1"/>
  <c r="S217" i="2"/>
  <c r="AC217" i="2" s="1"/>
  <c r="S216" i="2"/>
  <c r="AC216" i="2" s="1"/>
  <c r="S215" i="2"/>
  <c r="AC215" i="2" s="1"/>
  <c r="S214" i="2"/>
  <c r="AC214" i="2" s="1"/>
  <c r="S213" i="2"/>
  <c r="AC213" i="2" s="1"/>
  <c r="S212" i="2"/>
  <c r="AC212" i="2" s="1"/>
  <c r="S211" i="2"/>
  <c r="AC211" i="2" s="1"/>
  <c r="S210" i="2"/>
  <c r="AC210" i="2" s="1"/>
  <c r="S209" i="2"/>
  <c r="AC209" i="2" s="1"/>
  <c r="S208" i="2"/>
  <c r="AC208" i="2" s="1"/>
  <c r="S207" i="2"/>
  <c r="AC207" i="2" s="1"/>
  <c r="S206" i="2"/>
  <c r="AC206" i="2" s="1"/>
  <c r="S205" i="2"/>
  <c r="AC205" i="2" s="1"/>
  <c r="S204" i="2"/>
  <c r="AC204" i="2" s="1"/>
  <c r="S203" i="2"/>
  <c r="AC203" i="2" s="1"/>
  <c r="S202" i="2"/>
  <c r="AC202" i="2" s="1"/>
  <c r="S201" i="2"/>
  <c r="AC201" i="2" s="1"/>
  <c r="S200" i="2"/>
  <c r="AC200" i="2" s="1"/>
  <c r="S199" i="2"/>
  <c r="AC199" i="2" s="1"/>
  <c r="S198" i="2"/>
  <c r="AC198" i="2" s="1"/>
  <c r="S197" i="2"/>
  <c r="AC197" i="2" s="1"/>
  <c r="S196" i="2"/>
  <c r="AC196" i="2" s="1"/>
  <c r="S195" i="2"/>
  <c r="AC195" i="2" s="1"/>
  <c r="S194" i="2"/>
  <c r="AC194" i="2" s="1"/>
  <c r="S193" i="2"/>
  <c r="AC193" i="2" s="1"/>
  <c r="S192" i="2"/>
  <c r="AC192" i="2" s="1"/>
  <c r="S191" i="2"/>
  <c r="AC191" i="2" s="1"/>
  <c r="S190" i="2"/>
  <c r="AC190" i="2" s="1"/>
  <c r="S189" i="2"/>
  <c r="AC189" i="2" s="1"/>
  <c r="S188" i="2"/>
  <c r="AC188" i="2" s="1"/>
  <c r="S187" i="2"/>
  <c r="AC187" i="2" s="1"/>
  <c r="S186" i="2"/>
  <c r="AC186" i="2" s="1"/>
  <c r="S185" i="2"/>
  <c r="AC185" i="2" s="1"/>
  <c r="S184" i="2"/>
  <c r="AC184" i="2" s="1"/>
  <c r="S183" i="2"/>
  <c r="AC183" i="2" s="1"/>
  <c r="S182" i="2"/>
  <c r="AC182" i="2" s="1"/>
  <c r="S181" i="2"/>
  <c r="AC181" i="2" s="1"/>
  <c r="S179" i="2"/>
  <c r="AC179" i="2" s="1"/>
  <c r="S178" i="2"/>
  <c r="AC178" i="2" s="1"/>
  <c r="S177" i="2"/>
  <c r="AC177" i="2" s="1"/>
  <c r="S176" i="2"/>
  <c r="AC176" i="2" s="1"/>
  <c r="S174" i="2"/>
  <c r="AC174" i="2" s="1"/>
  <c r="S173" i="2"/>
  <c r="AC173" i="2" s="1"/>
  <c r="S172" i="2"/>
  <c r="AC172" i="2" s="1"/>
  <c r="S171" i="2"/>
  <c r="AC171" i="2" s="1"/>
  <c r="S170" i="2"/>
  <c r="AC170" i="2" s="1"/>
  <c r="S169" i="2"/>
  <c r="AC169" i="2" s="1"/>
  <c r="S168" i="2"/>
  <c r="AC168" i="2" s="1"/>
  <c r="S167" i="2"/>
  <c r="AC167" i="2" s="1"/>
  <c r="S166" i="2"/>
  <c r="AC166" i="2" s="1"/>
  <c r="S165" i="2"/>
  <c r="AC165" i="2" s="1"/>
  <c r="S164" i="2"/>
  <c r="AC164" i="2" s="1"/>
  <c r="S163" i="2"/>
  <c r="AC163" i="2" s="1"/>
  <c r="S162" i="2"/>
  <c r="AC162" i="2" s="1"/>
  <c r="S161" i="2"/>
  <c r="AC161" i="2" s="1"/>
  <c r="S160" i="2"/>
  <c r="AC160" i="2" s="1"/>
  <c r="S159" i="2"/>
  <c r="AC159" i="2" s="1"/>
  <c r="S158" i="2"/>
  <c r="AC158" i="2" s="1"/>
  <c r="S157" i="2"/>
  <c r="AC157" i="2" s="1"/>
  <c r="S156" i="2"/>
  <c r="AC156" i="2" s="1"/>
  <c r="S155" i="2"/>
  <c r="AC155" i="2" s="1"/>
  <c r="S154" i="2"/>
  <c r="AC154" i="2" s="1"/>
  <c r="S153" i="2"/>
  <c r="AC153" i="2" s="1"/>
  <c r="S152" i="2"/>
  <c r="AC152" i="2" s="1"/>
  <c r="S151" i="2"/>
  <c r="AC151" i="2" s="1"/>
  <c r="S150" i="2"/>
  <c r="AC150" i="2" s="1"/>
  <c r="S147" i="2"/>
  <c r="AC147" i="2" s="1"/>
  <c r="S146" i="2"/>
  <c r="AC146" i="2" s="1"/>
  <c r="S143" i="2"/>
  <c r="AC143" i="2" s="1"/>
  <c r="S142" i="2"/>
  <c r="AC142" i="2" s="1"/>
  <c r="S140" i="2"/>
  <c r="AC140" i="2" s="1"/>
  <c r="S138" i="2"/>
  <c r="AC138" i="2" s="1"/>
  <c r="S137" i="2"/>
  <c r="AC137" i="2" s="1"/>
  <c r="S136" i="2"/>
  <c r="AC136" i="2" s="1"/>
  <c r="S135" i="2"/>
  <c r="AC135" i="2" s="1"/>
  <c r="S134" i="2"/>
  <c r="AC134" i="2" s="1"/>
  <c r="S133" i="2"/>
  <c r="AC133" i="2" s="1"/>
  <c r="S132" i="2"/>
  <c r="AC132" i="2" s="1"/>
  <c r="S131" i="2"/>
  <c r="AC131" i="2" s="1"/>
  <c r="S130" i="2"/>
  <c r="AC130" i="2" s="1"/>
  <c r="S129" i="2"/>
  <c r="AC129" i="2" s="1"/>
  <c r="S128" i="2"/>
  <c r="AC128" i="2" s="1"/>
  <c r="S127" i="2"/>
  <c r="AC127" i="2" s="1"/>
  <c r="S126" i="2"/>
  <c r="AC126" i="2" s="1"/>
  <c r="S125" i="2"/>
  <c r="AC125" i="2" s="1"/>
  <c r="S124" i="2"/>
  <c r="AC124" i="2" s="1"/>
  <c r="S123" i="2"/>
  <c r="AC123" i="2" s="1"/>
  <c r="S122" i="2"/>
  <c r="AC122" i="2" s="1"/>
  <c r="S121" i="2"/>
  <c r="AC121" i="2" s="1"/>
  <c r="S120" i="2"/>
  <c r="AC120" i="2" s="1"/>
  <c r="S119" i="2"/>
  <c r="AC119" i="2" s="1"/>
  <c r="S118" i="2"/>
  <c r="AC118" i="2" s="1"/>
  <c r="S117" i="2"/>
  <c r="AC117" i="2" s="1"/>
  <c r="S116" i="2"/>
  <c r="AC116" i="2" s="1"/>
  <c r="S115" i="2"/>
  <c r="AC115" i="2" s="1"/>
  <c r="S114" i="2"/>
  <c r="AC114" i="2" s="1"/>
  <c r="S113" i="2"/>
  <c r="AC113" i="2" s="1"/>
  <c r="S112" i="2"/>
  <c r="AC112" i="2" s="1"/>
  <c r="S111" i="2"/>
  <c r="AC111" i="2" s="1"/>
  <c r="S110" i="2"/>
  <c r="AC110" i="2" s="1"/>
  <c r="S109" i="2"/>
  <c r="AC109" i="2" s="1"/>
  <c r="S108" i="2"/>
  <c r="AC108" i="2" s="1"/>
  <c r="S107" i="2"/>
  <c r="AC107" i="2" s="1"/>
  <c r="S106" i="2"/>
  <c r="AC106" i="2" s="1"/>
  <c r="S105" i="2"/>
  <c r="AC105" i="2" s="1"/>
  <c r="S104" i="2"/>
  <c r="AC104" i="2" s="1"/>
  <c r="S103" i="2"/>
  <c r="AC103" i="2" s="1"/>
  <c r="S102" i="2"/>
  <c r="AC102" i="2" s="1"/>
  <c r="S101" i="2"/>
  <c r="AC101" i="2" s="1"/>
  <c r="S100" i="2"/>
  <c r="AC100" i="2" s="1"/>
  <c r="S94" i="2"/>
  <c r="AC94" i="2" s="1"/>
  <c r="S93" i="2"/>
  <c r="AC93" i="2" s="1"/>
  <c r="S92" i="2"/>
  <c r="AC92" i="2" s="1"/>
  <c r="S91" i="2"/>
  <c r="AC91" i="2" s="1"/>
  <c r="S90" i="2"/>
  <c r="AC90" i="2" s="1"/>
  <c r="S89" i="2"/>
  <c r="AC89" i="2" s="1"/>
  <c r="S88" i="2"/>
  <c r="AC88" i="2" s="1"/>
  <c r="S87" i="2"/>
  <c r="AC87" i="2" s="1"/>
  <c r="S86" i="2"/>
  <c r="AC86" i="2" s="1"/>
  <c r="S85" i="2"/>
  <c r="AC85" i="2" s="1"/>
  <c r="S84" i="2"/>
  <c r="AC84" i="2" s="1"/>
  <c r="S83" i="2"/>
  <c r="AC83" i="2" s="1"/>
  <c r="S80" i="2"/>
  <c r="AC80" i="2" s="1"/>
  <c r="S79" i="2"/>
  <c r="AC79" i="2" s="1"/>
  <c r="S78" i="2"/>
  <c r="AC78" i="2" s="1"/>
  <c r="S77" i="2"/>
  <c r="AC77" i="2" s="1"/>
  <c r="S76" i="2"/>
  <c r="AC76" i="2" s="1"/>
  <c r="S74" i="2"/>
  <c r="AC74" i="2" s="1"/>
  <c r="S73" i="2"/>
  <c r="AC73" i="2" s="1"/>
  <c r="S72" i="2"/>
  <c r="AC72" i="2" s="1"/>
  <c r="S71" i="2"/>
  <c r="AC71" i="2" s="1"/>
  <c r="S70" i="2"/>
  <c r="AC70" i="2" s="1"/>
  <c r="S69" i="2"/>
  <c r="AC69" i="2" s="1"/>
  <c r="S68" i="2"/>
  <c r="AC68" i="2" s="1"/>
  <c r="S67" i="2"/>
  <c r="AC67" i="2" s="1"/>
  <c r="S66" i="2"/>
  <c r="AC66" i="2" s="1"/>
  <c r="S65" i="2"/>
  <c r="AC65" i="2" s="1"/>
  <c r="S64" i="2"/>
  <c r="AC64" i="2" s="1"/>
  <c r="S63" i="2"/>
  <c r="AC63" i="2" s="1"/>
  <c r="S62" i="2"/>
  <c r="AC62" i="2" s="1"/>
  <c r="S61" i="2"/>
  <c r="AC61" i="2" s="1"/>
  <c r="S60" i="2"/>
  <c r="AC60" i="2" s="1"/>
  <c r="S58" i="2"/>
  <c r="AC58" i="2" s="1"/>
  <c r="S56" i="2"/>
  <c r="AC56" i="2" s="1"/>
  <c r="S55" i="2"/>
  <c r="AC55" i="2" s="1"/>
  <c r="S53" i="2"/>
  <c r="AC53" i="2" s="1"/>
  <c r="S52" i="2"/>
  <c r="AC52" i="2" s="1"/>
  <c r="S50" i="2"/>
  <c r="AC50" i="2" s="1"/>
  <c r="S49" i="2"/>
  <c r="AC49" i="2" s="1"/>
  <c r="S46" i="2"/>
  <c r="AC46" i="2" s="1"/>
  <c r="S45" i="2"/>
  <c r="AC45" i="2" s="1"/>
  <c r="S44" i="2"/>
  <c r="AC44" i="2" s="1"/>
  <c r="S43" i="2"/>
  <c r="AC43" i="2" s="1"/>
  <c r="S42" i="2"/>
  <c r="AC42" i="2" s="1"/>
  <c r="S41" i="2"/>
  <c r="AC41" i="2" s="1"/>
  <c r="S40" i="2"/>
  <c r="AC40" i="2" s="1"/>
  <c r="S39" i="2"/>
  <c r="AC39" i="2" s="1"/>
  <c r="S38" i="2"/>
  <c r="AC38" i="2" s="1"/>
  <c r="S37" i="2"/>
  <c r="AC37" i="2" s="1"/>
  <c r="S36" i="2"/>
  <c r="AC36" i="2" s="1"/>
  <c r="S34" i="2"/>
  <c r="AC34" i="2" s="1"/>
  <c r="S33" i="2"/>
  <c r="AC33" i="2" s="1"/>
  <c r="S32" i="2"/>
  <c r="AC32" i="2" s="1"/>
  <c r="S28" i="2"/>
  <c r="AC28" i="2" s="1"/>
  <c r="S26" i="2"/>
  <c r="AC26" i="2" s="1"/>
  <c r="S23" i="2"/>
  <c r="AC23" i="2" s="1"/>
  <c r="S18" i="2"/>
  <c r="AC18" i="2" s="1"/>
  <c r="S16" i="2"/>
  <c r="AC16" i="2" s="1"/>
  <c r="S15" i="2"/>
  <c r="AC15" i="2" s="1"/>
  <c r="S14" i="2"/>
  <c r="AC14" i="2" s="1"/>
  <c r="S13" i="2"/>
  <c r="AC13" i="2" s="1"/>
  <c r="S11" i="2"/>
  <c r="AC11" i="2" s="1"/>
  <c r="S10" i="2"/>
  <c r="AC10" i="2" s="1"/>
  <c r="S9" i="2"/>
  <c r="AC9" i="2" s="1"/>
  <c r="S8" i="2"/>
  <c r="AC8" i="2" s="1"/>
  <c r="S6" i="2"/>
  <c r="AC6" i="2" s="1"/>
  <c r="S5" i="2"/>
  <c r="AC5" i="2" s="1"/>
  <c r="S4" i="2"/>
  <c r="AC4" i="2" s="1"/>
  <c r="S3" i="2"/>
  <c r="AC3" i="2" s="1"/>
  <c r="X502" i="2"/>
  <c r="X501" i="2"/>
  <c r="X500" i="2"/>
  <c r="X499" i="2"/>
  <c r="X498" i="2"/>
  <c r="X497" i="2"/>
  <c r="X496" i="2"/>
  <c r="X495" i="2"/>
  <c r="X494" i="2"/>
  <c r="X493" i="2"/>
  <c r="X492" i="2"/>
  <c r="X491" i="2"/>
  <c r="X490" i="2"/>
  <c r="X489" i="2"/>
  <c r="X488" i="2"/>
  <c r="X487" i="2"/>
  <c r="X486" i="2"/>
  <c r="X485" i="2"/>
  <c r="X484" i="2"/>
  <c r="X483" i="2"/>
  <c r="X482" i="2"/>
  <c r="X481" i="2"/>
  <c r="X480" i="2"/>
  <c r="X479" i="2"/>
  <c r="X478" i="2"/>
  <c r="X477" i="2"/>
  <c r="X476" i="2"/>
  <c r="X475" i="2"/>
  <c r="X474" i="2"/>
  <c r="X473" i="2"/>
  <c r="X472" i="2"/>
  <c r="X471" i="2"/>
  <c r="X470" i="2"/>
  <c r="X469" i="2"/>
  <c r="X468" i="2"/>
  <c r="X467" i="2"/>
  <c r="X466" i="2"/>
  <c r="X465" i="2"/>
  <c r="X464" i="2"/>
  <c r="X463" i="2"/>
  <c r="X462" i="2"/>
  <c r="X461" i="2"/>
  <c r="X460" i="2"/>
  <c r="X459" i="2"/>
  <c r="X458" i="2"/>
  <c r="X456" i="2"/>
  <c r="X455" i="2"/>
  <c r="X454" i="2"/>
  <c r="X452" i="2"/>
  <c r="X451" i="2"/>
  <c r="X450" i="2"/>
  <c r="X449" i="2"/>
  <c r="X448" i="2"/>
  <c r="X447" i="2"/>
  <c r="X446" i="2"/>
  <c r="X445" i="2"/>
  <c r="X444" i="2"/>
  <c r="X443" i="2"/>
  <c r="X442" i="2"/>
  <c r="X441" i="2"/>
  <c r="X440" i="2"/>
  <c r="X439" i="2"/>
  <c r="X438" i="2"/>
  <c r="X437" i="2"/>
  <c r="X436" i="2"/>
  <c r="X435" i="2"/>
  <c r="X434" i="2"/>
  <c r="X433" i="2"/>
  <c r="X432" i="2"/>
  <c r="X431" i="2"/>
  <c r="X430" i="2"/>
  <c r="X429" i="2"/>
  <c r="X428" i="2"/>
  <c r="X427" i="2"/>
  <c r="X426" i="2"/>
  <c r="X425" i="2"/>
  <c r="X424" i="2"/>
  <c r="X423" i="2"/>
  <c r="X422" i="2"/>
  <c r="X421" i="2"/>
  <c r="X420" i="2"/>
  <c r="X419" i="2"/>
  <c r="X418" i="2"/>
  <c r="X417" i="2"/>
  <c r="X416" i="2"/>
  <c r="X415" i="2"/>
  <c r="X414" i="2"/>
  <c r="X413" i="2"/>
  <c r="X412" i="2"/>
  <c r="X411" i="2"/>
  <c r="X410" i="2"/>
  <c r="X409" i="2"/>
  <c r="X408" i="2"/>
  <c r="X407" i="2"/>
  <c r="X406" i="2"/>
  <c r="X405" i="2"/>
  <c r="X404" i="2"/>
  <c r="X403" i="2"/>
  <c r="X402" i="2"/>
  <c r="X400" i="2"/>
  <c r="X399" i="2"/>
  <c r="X397" i="2"/>
  <c r="X395" i="2"/>
  <c r="X394" i="2"/>
  <c r="X392" i="2"/>
  <c r="X391" i="2"/>
  <c r="X390" i="2"/>
  <c r="X389" i="2"/>
  <c r="X387" i="2"/>
  <c r="X385" i="2"/>
  <c r="X384" i="2"/>
  <c r="X383" i="2"/>
  <c r="X382" i="2"/>
  <c r="X381" i="2"/>
  <c r="X380" i="2"/>
  <c r="X379" i="2"/>
  <c r="X378" i="2"/>
  <c r="X377" i="2"/>
  <c r="X376" i="2"/>
  <c r="X375" i="2"/>
  <c r="X374" i="2"/>
  <c r="X373" i="2"/>
  <c r="X372" i="2"/>
  <c r="X371" i="2"/>
  <c r="X370" i="2"/>
  <c r="X369" i="2"/>
  <c r="X368" i="2"/>
  <c r="X367" i="2"/>
  <c r="X366" i="2"/>
  <c r="X365" i="2"/>
  <c r="X364" i="2"/>
  <c r="X363" i="2"/>
  <c r="X362" i="2"/>
  <c r="X361" i="2"/>
  <c r="X360" i="2"/>
  <c r="X359" i="2"/>
  <c r="X358" i="2"/>
  <c r="X357" i="2"/>
  <c r="X356" i="2"/>
  <c r="X355" i="2"/>
  <c r="X354" i="2"/>
  <c r="X353" i="2"/>
  <c r="X352" i="2"/>
  <c r="X351" i="2"/>
  <c r="X350" i="2"/>
  <c r="X349" i="2"/>
  <c r="X348" i="2"/>
  <c r="X347" i="2"/>
  <c r="X346" i="2"/>
  <c r="X345" i="2"/>
  <c r="X344" i="2"/>
  <c r="X343" i="2"/>
  <c r="X342" i="2"/>
  <c r="X341" i="2"/>
  <c r="X339" i="2"/>
  <c r="X338" i="2"/>
  <c r="X337" i="2"/>
  <c r="X336" i="2"/>
  <c r="X335" i="2"/>
  <c r="X333" i="2"/>
  <c r="X331" i="2"/>
  <c r="X330" i="2"/>
  <c r="X329" i="2"/>
  <c r="X328" i="2"/>
  <c r="X327" i="2"/>
  <c r="X326" i="2"/>
  <c r="X325" i="2"/>
  <c r="X324" i="2"/>
  <c r="X323" i="2"/>
  <c r="X322" i="2"/>
  <c r="X321" i="2"/>
  <c r="X320" i="2"/>
  <c r="X319" i="2"/>
  <c r="X318" i="2"/>
  <c r="X317" i="2"/>
  <c r="X316" i="2"/>
  <c r="X315" i="2"/>
  <c r="X314" i="2"/>
  <c r="X313" i="2"/>
  <c r="X312" i="2"/>
  <c r="X311" i="2"/>
  <c r="X310" i="2"/>
  <c r="X309" i="2"/>
  <c r="X307" i="2"/>
  <c r="X306" i="2"/>
  <c r="X304" i="2"/>
  <c r="X303" i="2"/>
  <c r="X302" i="2"/>
  <c r="X301" i="2"/>
  <c r="X300" i="2"/>
  <c r="X299" i="2"/>
  <c r="X298" i="2"/>
  <c r="X297" i="2"/>
  <c r="X296" i="2"/>
  <c r="X295" i="2"/>
  <c r="X294" i="2"/>
  <c r="X293" i="2"/>
  <c r="X292" i="2"/>
  <c r="X291" i="2"/>
  <c r="X290" i="2"/>
  <c r="X289" i="2"/>
  <c r="X288" i="2"/>
  <c r="X287" i="2"/>
  <c r="X286" i="2"/>
  <c r="X285" i="2"/>
  <c r="X283" i="2"/>
  <c r="X282" i="2"/>
  <c r="X280" i="2"/>
  <c r="X279" i="2"/>
  <c r="X278" i="2"/>
  <c r="X277" i="2"/>
  <c r="X276" i="2"/>
  <c r="X275" i="2"/>
  <c r="X274" i="2"/>
  <c r="X273" i="2"/>
  <c r="X272" i="2"/>
  <c r="X271" i="2"/>
  <c r="X270" i="2"/>
  <c r="X269" i="2"/>
  <c r="X268" i="2"/>
  <c r="X267" i="2"/>
  <c r="X266" i="2"/>
  <c r="X265" i="2"/>
  <c r="X264" i="2"/>
  <c r="X263" i="2"/>
  <c r="X262" i="2"/>
  <c r="X261" i="2"/>
  <c r="X260" i="2"/>
  <c r="X259" i="2"/>
  <c r="X258" i="2"/>
  <c r="X257" i="2"/>
  <c r="X256" i="2"/>
  <c r="X255" i="2"/>
  <c r="X254" i="2"/>
  <c r="X253" i="2"/>
  <c r="X252" i="2"/>
  <c r="X251" i="2"/>
  <c r="X250" i="2"/>
  <c r="X249" i="2"/>
  <c r="X248" i="2"/>
  <c r="X247" i="2"/>
  <c r="X246" i="2"/>
  <c r="X245" i="2"/>
  <c r="X244" i="2"/>
  <c r="X243" i="2"/>
  <c r="X242" i="2"/>
  <c r="X241" i="2"/>
  <c r="X240" i="2"/>
  <c r="X239" i="2"/>
  <c r="X238" i="2"/>
  <c r="X237" i="2"/>
  <c r="X236" i="2"/>
  <c r="X235" i="2"/>
  <c r="X234" i="2"/>
  <c r="X233" i="2"/>
  <c r="X232" i="2"/>
  <c r="X231" i="2"/>
  <c r="X230" i="2"/>
  <c r="X229" i="2"/>
  <c r="X228" i="2"/>
  <c r="X227" i="2"/>
  <c r="X226" i="2"/>
  <c r="X225" i="2"/>
  <c r="X224" i="2"/>
  <c r="X223" i="2"/>
  <c r="X222" i="2"/>
  <c r="X221" i="2"/>
  <c r="X220" i="2"/>
  <c r="X219" i="2"/>
  <c r="X218" i="2"/>
  <c r="X217" i="2"/>
  <c r="X216" i="2"/>
  <c r="X215" i="2"/>
  <c r="X214" i="2"/>
  <c r="X213" i="2"/>
  <c r="X212" i="2"/>
  <c r="X211" i="2"/>
  <c r="X210" i="2"/>
  <c r="X209" i="2"/>
  <c r="X208" i="2"/>
  <c r="X207" i="2"/>
  <c r="X206" i="2"/>
  <c r="X205" i="2"/>
  <c r="X204" i="2"/>
  <c r="X203" i="2"/>
  <c r="X202" i="2"/>
  <c r="X201" i="2"/>
  <c r="X200" i="2"/>
  <c r="X199" i="2"/>
  <c r="X198" i="2"/>
  <c r="X197" i="2"/>
  <c r="X196" i="2"/>
  <c r="X195" i="2"/>
  <c r="X194" i="2"/>
  <c r="X193" i="2"/>
  <c r="X192" i="2"/>
  <c r="X191" i="2"/>
  <c r="X190" i="2"/>
  <c r="X189" i="2"/>
  <c r="X188" i="2"/>
  <c r="X187" i="2"/>
  <c r="X186" i="2"/>
  <c r="X185" i="2"/>
  <c r="X184" i="2"/>
  <c r="X183" i="2"/>
  <c r="X182" i="2"/>
  <c r="X181" i="2"/>
  <c r="X180" i="2"/>
  <c r="X179" i="2"/>
  <c r="X178" i="2"/>
  <c r="X177" i="2"/>
  <c r="X176" i="2"/>
  <c r="X175" i="2"/>
  <c r="X174" i="2"/>
  <c r="X173" i="2"/>
  <c r="X172" i="2"/>
  <c r="X171" i="2"/>
  <c r="X170" i="2"/>
  <c r="X169" i="2"/>
  <c r="X168" i="2"/>
  <c r="X167" i="2"/>
  <c r="X166" i="2"/>
  <c r="X165" i="2"/>
  <c r="X164" i="2"/>
  <c r="X163" i="2"/>
  <c r="X162" i="2"/>
  <c r="X161" i="2"/>
  <c r="X160" i="2"/>
  <c r="X159" i="2"/>
  <c r="X158" i="2"/>
  <c r="X157" i="2"/>
  <c r="X156" i="2"/>
  <c r="X155" i="2"/>
  <c r="X154" i="2"/>
  <c r="X153" i="2"/>
  <c r="X152" i="2"/>
  <c r="X151" i="2"/>
  <c r="X150" i="2"/>
  <c r="X149" i="2"/>
  <c r="X148" i="2"/>
  <c r="X147" i="2"/>
  <c r="X146" i="2"/>
  <c r="X145" i="2"/>
  <c r="X144" i="2"/>
  <c r="X143" i="2"/>
  <c r="X142" i="2"/>
  <c r="X141" i="2"/>
  <c r="X140" i="2"/>
  <c r="X139" i="2"/>
  <c r="X138" i="2"/>
  <c r="X137" i="2"/>
  <c r="X136" i="2"/>
  <c r="X135" i="2"/>
  <c r="X134" i="2"/>
  <c r="X133" i="2"/>
  <c r="X132" i="2"/>
  <c r="X131" i="2"/>
  <c r="X130" i="2"/>
  <c r="X129" i="2"/>
  <c r="X128" i="2"/>
  <c r="X127" i="2"/>
  <c r="X126" i="2"/>
  <c r="X125" i="2"/>
  <c r="X124" i="2"/>
  <c r="X123" i="2"/>
  <c r="X122" i="2"/>
  <c r="X121" i="2"/>
  <c r="X120" i="2"/>
  <c r="X119" i="2"/>
  <c r="X118" i="2"/>
  <c r="X117" i="2"/>
  <c r="X116" i="2"/>
  <c r="X115" i="2"/>
  <c r="X114" i="2"/>
  <c r="X113" i="2"/>
  <c r="X112" i="2"/>
  <c r="X111" i="2"/>
  <c r="X110" i="2"/>
  <c r="X109" i="2"/>
  <c r="X108" i="2"/>
  <c r="X107" i="2"/>
  <c r="X106" i="2"/>
  <c r="X105" i="2"/>
  <c r="X104" i="2"/>
  <c r="X103" i="2"/>
  <c r="X102" i="2"/>
  <c r="X101" i="2"/>
  <c r="X100" i="2"/>
  <c r="X99" i="2"/>
  <c r="X98" i="2"/>
  <c r="X96" i="2"/>
  <c r="X94" i="2"/>
  <c r="X93" i="2"/>
  <c r="X92" i="2"/>
  <c r="X91" i="2"/>
  <c r="X90" i="2"/>
  <c r="X89" i="2"/>
  <c r="X88" i="2"/>
  <c r="X87" i="2"/>
  <c r="X86" i="2"/>
  <c r="X85" i="2"/>
  <c r="X84" i="2"/>
  <c r="X83" i="2"/>
  <c r="X81" i="2"/>
  <c r="X79" i="2"/>
  <c r="X78" i="2"/>
  <c r="X77" i="2"/>
  <c r="X76" i="2"/>
  <c r="X74" i="2"/>
  <c r="X73" i="2"/>
  <c r="X72" i="2"/>
  <c r="X71" i="2"/>
  <c r="X70" i="2"/>
  <c r="X69" i="2"/>
  <c r="X68" i="2"/>
  <c r="X67" i="2"/>
  <c r="X66" i="2"/>
  <c r="X65" i="2"/>
  <c r="X64" i="2"/>
  <c r="X63" i="2"/>
  <c r="X62" i="2"/>
  <c r="X61" i="2"/>
  <c r="X60" i="2"/>
  <c r="X58" i="2"/>
  <c r="X56" i="2"/>
  <c r="X55" i="2"/>
  <c r="X54" i="2"/>
  <c r="X53" i="2"/>
  <c r="X52" i="2"/>
  <c r="X50" i="2"/>
  <c r="X49" i="2"/>
  <c r="X48" i="2"/>
  <c r="X46" i="2"/>
  <c r="X45" i="2"/>
  <c r="X44" i="2"/>
  <c r="X43" i="2"/>
  <c r="X42" i="2"/>
  <c r="X41" i="2"/>
  <c r="X40" i="2"/>
  <c r="X39" i="2"/>
  <c r="X38" i="2"/>
  <c r="X37" i="2"/>
  <c r="X36" i="2"/>
  <c r="X35" i="2"/>
  <c r="X34" i="2"/>
  <c r="X33" i="2"/>
  <c r="X32" i="2"/>
  <c r="X28" i="2"/>
  <c r="X26" i="2"/>
  <c r="X23" i="2"/>
  <c r="X22" i="2"/>
  <c r="X21" i="2"/>
  <c r="X20" i="2"/>
  <c r="X19" i="2"/>
  <c r="X18" i="2"/>
  <c r="X17" i="2"/>
  <c r="X16" i="2"/>
  <c r="X15" i="2"/>
  <c r="X14" i="2"/>
  <c r="X13" i="2"/>
  <c r="X12" i="2"/>
  <c r="X11" i="2"/>
  <c r="X10" i="2"/>
  <c r="X9" i="2"/>
  <c r="X8" i="2"/>
  <c r="X7" i="2"/>
  <c r="X6" i="2"/>
  <c r="X5" i="2"/>
  <c r="X4" i="2"/>
  <c r="X3" i="2"/>
  <c r="X2" i="2"/>
  <c r="AB2" i="2"/>
  <c r="Z502" i="2"/>
  <c r="Y502" i="2"/>
  <c r="W502" i="2"/>
  <c r="U502" i="2"/>
  <c r="Z501" i="2"/>
  <c r="Y501" i="2"/>
  <c r="W501" i="2"/>
  <c r="U501" i="2"/>
  <c r="Z500" i="2"/>
  <c r="Y500" i="2"/>
  <c r="W500" i="2"/>
  <c r="U500" i="2"/>
  <c r="Z499" i="2"/>
  <c r="Y499" i="2"/>
  <c r="W499" i="2"/>
  <c r="U499" i="2"/>
  <c r="Z498" i="2"/>
  <c r="Y498" i="2"/>
  <c r="W498" i="2"/>
  <c r="U498" i="2"/>
  <c r="Z497" i="2"/>
  <c r="Y497" i="2"/>
  <c r="W497" i="2"/>
  <c r="U497" i="2"/>
  <c r="Z496" i="2"/>
  <c r="Y496" i="2"/>
  <c r="W496" i="2"/>
  <c r="U496" i="2"/>
  <c r="Z495" i="2"/>
  <c r="Y495" i="2"/>
  <c r="W495" i="2"/>
  <c r="U495" i="2"/>
  <c r="Z494" i="2"/>
  <c r="Y494" i="2"/>
  <c r="W494" i="2"/>
  <c r="U494" i="2"/>
  <c r="Z493" i="2"/>
  <c r="Y493" i="2"/>
  <c r="W493" i="2"/>
  <c r="U493" i="2"/>
  <c r="Z492" i="2"/>
  <c r="Y492" i="2"/>
  <c r="W492" i="2"/>
  <c r="U492" i="2"/>
  <c r="Z491" i="2"/>
  <c r="Y491" i="2"/>
  <c r="W491" i="2"/>
  <c r="U491" i="2"/>
  <c r="Z490" i="2"/>
  <c r="Y490" i="2"/>
  <c r="W490" i="2"/>
  <c r="U490" i="2"/>
  <c r="Z489" i="2"/>
  <c r="Y489" i="2"/>
  <c r="W489" i="2"/>
  <c r="U489" i="2"/>
  <c r="Z488" i="2"/>
  <c r="Y488" i="2"/>
  <c r="W488" i="2"/>
  <c r="U488" i="2"/>
  <c r="Z487" i="2"/>
  <c r="Y487" i="2"/>
  <c r="W487" i="2"/>
  <c r="U487" i="2"/>
  <c r="Z486" i="2"/>
  <c r="Y486" i="2"/>
  <c r="W486" i="2"/>
  <c r="U486" i="2"/>
  <c r="Z485" i="2"/>
  <c r="Y485" i="2"/>
  <c r="W485" i="2"/>
  <c r="U485" i="2"/>
  <c r="Z484" i="2"/>
  <c r="Y484" i="2"/>
  <c r="W484" i="2"/>
  <c r="U484" i="2"/>
  <c r="Z483" i="2"/>
  <c r="Y483" i="2"/>
  <c r="W483" i="2"/>
  <c r="U483" i="2"/>
  <c r="Z482" i="2"/>
  <c r="Y482" i="2"/>
  <c r="W482" i="2"/>
  <c r="U482" i="2"/>
  <c r="Z480" i="2"/>
  <c r="Y480" i="2"/>
  <c r="W480" i="2"/>
  <c r="U480" i="2"/>
  <c r="Z479" i="2"/>
  <c r="Y479" i="2"/>
  <c r="W479" i="2"/>
  <c r="U479" i="2"/>
  <c r="Z478" i="2"/>
  <c r="Y478" i="2"/>
  <c r="W478" i="2"/>
  <c r="U478" i="2"/>
  <c r="Z477" i="2"/>
  <c r="Y477" i="2"/>
  <c r="W477" i="2"/>
  <c r="U477" i="2"/>
  <c r="Z476" i="2"/>
  <c r="Y476" i="2"/>
  <c r="W476" i="2"/>
  <c r="U476" i="2"/>
  <c r="Z475" i="2"/>
  <c r="Y475" i="2"/>
  <c r="W475" i="2"/>
  <c r="U475" i="2"/>
  <c r="Z474" i="2"/>
  <c r="Y474" i="2"/>
  <c r="W474" i="2"/>
  <c r="U474" i="2"/>
  <c r="Z473" i="2"/>
  <c r="Y473" i="2"/>
  <c r="W473" i="2"/>
  <c r="U473" i="2"/>
  <c r="Z472" i="2"/>
  <c r="Y472" i="2"/>
  <c r="W472" i="2"/>
  <c r="U472" i="2"/>
  <c r="Z471" i="2"/>
  <c r="Y471" i="2"/>
  <c r="W471" i="2"/>
  <c r="U471" i="2"/>
  <c r="Z470" i="2"/>
  <c r="Y470" i="2"/>
  <c r="W470" i="2"/>
  <c r="U470" i="2"/>
  <c r="Z469" i="2"/>
  <c r="Y469" i="2"/>
  <c r="W469" i="2"/>
  <c r="U469" i="2"/>
  <c r="Z468" i="2"/>
  <c r="Y468" i="2"/>
  <c r="W468" i="2"/>
  <c r="U468" i="2"/>
  <c r="Z467" i="2"/>
  <c r="Y467" i="2"/>
  <c r="W467" i="2"/>
  <c r="U467" i="2"/>
  <c r="Z466" i="2"/>
  <c r="Y466" i="2"/>
  <c r="W466" i="2"/>
  <c r="U466" i="2"/>
  <c r="Z465" i="2"/>
  <c r="Y465" i="2"/>
  <c r="W465" i="2"/>
  <c r="U465" i="2"/>
  <c r="Z464" i="2"/>
  <c r="Y464" i="2"/>
  <c r="W464" i="2"/>
  <c r="U464" i="2"/>
  <c r="Z463" i="2"/>
  <c r="Y463" i="2"/>
  <c r="W463" i="2"/>
  <c r="U463" i="2"/>
  <c r="Z462" i="2"/>
  <c r="Y462" i="2"/>
  <c r="W462" i="2"/>
  <c r="U462" i="2"/>
  <c r="Z461" i="2"/>
  <c r="Y461" i="2"/>
  <c r="W461" i="2"/>
  <c r="U461" i="2"/>
  <c r="Z460" i="2"/>
  <c r="Y460" i="2"/>
  <c r="W460" i="2"/>
  <c r="U460" i="2"/>
  <c r="Z459" i="2"/>
  <c r="Y459" i="2"/>
  <c r="W459" i="2"/>
  <c r="U459" i="2"/>
  <c r="Z458" i="2"/>
  <c r="Y458" i="2"/>
  <c r="W458" i="2"/>
  <c r="U458" i="2"/>
  <c r="Z457" i="2"/>
  <c r="Y457" i="2"/>
  <c r="X457" i="2"/>
  <c r="W457" i="2"/>
  <c r="U457" i="2"/>
  <c r="Z456" i="2"/>
  <c r="Y456" i="2"/>
  <c r="W456" i="2"/>
  <c r="U456" i="2"/>
  <c r="Z455" i="2"/>
  <c r="Y455" i="2"/>
  <c r="W455" i="2"/>
  <c r="U455" i="2"/>
  <c r="Z454" i="2"/>
  <c r="Y454" i="2"/>
  <c r="W454" i="2"/>
  <c r="U454" i="2"/>
  <c r="Z453" i="2"/>
  <c r="Y453" i="2"/>
  <c r="X453" i="2"/>
  <c r="W453" i="2"/>
  <c r="U453" i="2"/>
  <c r="Z452" i="2"/>
  <c r="Y452" i="2"/>
  <c r="W452" i="2"/>
  <c r="U452" i="2"/>
  <c r="Z451" i="2"/>
  <c r="Y451" i="2"/>
  <c r="W451" i="2"/>
  <c r="U451" i="2"/>
  <c r="Z450" i="2"/>
  <c r="Y450" i="2"/>
  <c r="W450" i="2"/>
  <c r="U450" i="2"/>
  <c r="Z449" i="2"/>
  <c r="Y449" i="2"/>
  <c r="W449" i="2"/>
  <c r="U449" i="2"/>
  <c r="Z448" i="2"/>
  <c r="Y448" i="2"/>
  <c r="W448" i="2"/>
  <c r="U448" i="2"/>
  <c r="Z447" i="2"/>
  <c r="Y447" i="2"/>
  <c r="W447" i="2"/>
  <c r="U447" i="2"/>
  <c r="Z446" i="2"/>
  <c r="Y446" i="2"/>
  <c r="W446" i="2"/>
  <c r="U446" i="2"/>
  <c r="Z445" i="2"/>
  <c r="Y445" i="2"/>
  <c r="W445" i="2"/>
  <c r="U445" i="2"/>
  <c r="Z444" i="2"/>
  <c r="Y444" i="2"/>
  <c r="W444" i="2"/>
  <c r="U444" i="2"/>
  <c r="Z443" i="2"/>
  <c r="Y443" i="2"/>
  <c r="W443" i="2"/>
  <c r="U443" i="2"/>
  <c r="Z442" i="2"/>
  <c r="Y442" i="2"/>
  <c r="W442" i="2"/>
  <c r="U442" i="2"/>
  <c r="Z441" i="2"/>
  <c r="Y441" i="2"/>
  <c r="W441" i="2"/>
  <c r="U441" i="2"/>
  <c r="Z440" i="2"/>
  <c r="Y440" i="2"/>
  <c r="W440" i="2"/>
  <c r="U440" i="2"/>
  <c r="Z439" i="2"/>
  <c r="Y439" i="2"/>
  <c r="W439" i="2"/>
  <c r="U439" i="2"/>
  <c r="Z438" i="2"/>
  <c r="Y438" i="2"/>
  <c r="W438" i="2"/>
  <c r="U438" i="2"/>
  <c r="Z437" i="2"/>
  <c r="Y437" i="2"/>
  <c r="W437" i="2"/>
  <c r="U437" i="2"/>
  <c r="Z436" i="2"/>
  <c r="Y436" i="2"/>
  <c r="W436" i="2"/>
  <c r="U436" i="2"/>
  <c r="Z435" i="2"/>
  <c r="Y435" i="2"/>
  <c r="W435" i="2"/>
  <c r="U435" i="2"/>
  <c r="Z434" i="2"/>
  <c r="Y434" i="2"/>
  <c r="W434" i="2"/>
  <c r="U434" i="2"/>
  <c r="Z433" i="2"/>
  <c r="Y433" i="2"/>
  <c r="W433" i="2"/>
  <c r="U433" i="2"/>
  <c r="Z432" i="2"/>
  <c r="Y432" i="2"/>
  <c r="W432" i="2"/>
  <c r="U432" i="2"/>
  <c r="Z431" i="2"/>
  <c r="Y431" i="2"/>
  <c r="W431" i="2"/>
  <c r="U431" i="2"/>
  <c r="Z430" i="2"/>
  <c r="Y430" i="2"/>
  <c r="W430" i="2"/>
  <c r="U430" i="2"/>
  <c r="Z429" i="2"/>
  <c r="Y429" i="2"/>
  <c r="W429" i="2"/>
  <c r="U429" i="2"/>
  <c r="Z428" i="2"/>
  <c r="Y428" i="2"/>
  <c r="W428" i="2"/>
  <c r="U428" i="2"/>
  <c r="Z427" i="2"/>
  <c r="Y427" i="2"/>
  <c r="Z425" i="2"/>
  <c r="Y425" i="2"/>
  <c r="Z424" i="2"/>
  <c r="Y424" i="2"/>
  <c r="Z421" i="2"/>
  <c r="Y421" i="2"/>
  <c r="W421" i="2"/>
  <c r="U421" i="2"/>
  <c r="Z420" i="2"/>
  <c r="Y420" i="2"/>
  <c r="W420" i="2"/>
  <c r="U420" i="2"/>
  <c r="Z419" i="2"/>
  <c r="Y419" i="2"/>
  <c r="W419" i="2"/>
  <c r="U419" i="2"/>
  <c r="Z418" i="2"/>
  <c r="Y418" i="2"/>
  <c r="W418" i="2"/>
  <c r="U418" i="2"/>
  <c r="Z417" i="2"/>
  <c r="Y417" i="2"/>
  <c r="W417" i="2"/>
  <c r="U417" i="2"/>
  <c r="Z416" i="2"/>
  <c r="Y416" i="2"/>
  <c r="W416" i="2"/>
  <c r="U416" i="2"/>
  <c r="Z415" i="2"/>
  <c r="Y415" i="2"/>
  <c r="W415" i="2"/>
  <c r="U415" i="2"/>
  <c r="Z414" i="2"/>
  <c r="Y414" i="2"/>
  <c r="W414" i="2"/>
  <c r="U414" i="2"/>
  <c r="Z413" i="2"/>
  <c r="Y413" i="2"/>
  <c r="W413" i="2"/>
  <c r="U413" i="2"/>
  <c r="Z412" i="2"/>
  <c r="Y412" i="2"/>
  <c r="W412" i="2"/>
  <c r="U412" i="2"/>
  <c r="Z411" i="2"/>
  <c r="Y411" i="2"/>
  <c r="W411" i="2"/>
  <c r="U411" i="2"/>
  <c r="Z410" i="2"/>
  <c r="Y410" i="2"/>
  <c r="W410" i="2"/>
  <c r="U410" i="2"/>
  <c r="Z409" i="2"/>
  <c r="Y409" i="2"/>
  <c r="W409" i="2"/>
  <c r="U409" i="2"/>
  <c r="Z408" i="2"/>
  <c r="Y408" i="2"/>
  <c r="W408" i="2"/>
  <c r="U408" i="2"/>
  <c r="Z407" i="2"/>
  <c r="Y407" i="2"/>
  <c r="W407" i="2"/>
  <c r="U407" i="2"/>
  <c r="Z406" i="2"/>
  <c r="Y406" i="2"/>
  <c r="W406" i="2"/>
  <c r="U406" i="2"/>
  <c r="Z405" i="2"/>
  <c r="Y405" i="2"/>
  <c r="W405" i="2"/>
  <c r="U405" i="2"/>
  <c r="Z404" i="2"/>
  <c r="Y404" i="2"/>
  <c r="W404" i="2"/>
  <c r="U404" i="2"/>
  <c r="Z403" i="2"/>
  <c r="Y403" i="2"/>
  <c r="W403" i="2"/>
  <c r="U403" i="2"/>
  <c r="Z402" i="2"/>
  <c r="Y402" i="2"/>
  <c r="W402" i="2"/>
  <c r="U402" i="2"/>
  <c r="Z401" i="2"/>
  <c r="Y401" i="2"/>
  <c r="X401" i="2"/>
  <c r="W401" i="2"/>
  <c r="U401" i="2"/>
  <c r="Z400" i="2"/>
  <c r="Y400" i="2"/>
  <c r="W400" i="2"/>
  <c r="U400" i="2"/>
  <c r="Z399" i="2"/>
  <c r="Y399" i="2"/>
  <c r="W399" i="2"/>
  <c r="U399" i="2"/>
  <c r="Z398" i="2"/>
  <c r="Y398" i="2"/>
  <c r="X398" i="2"/>
  <c r="W398" i="2"/>
  <c r="U398" i="2"/>
  <c r="Z397" i="2"/>
  <c r="Y397" i="2"/>
  <c r="W397" i="2"/>
  <c r="U397" i="2"/>
  <c r="Z396" i="2"/>
  <c r="Y396" i="2"/>
  <c r="X396" i="2"/>
  <c r="W396" i="2"/>
  <c r="U396" i="2"/>
  <c r="Z395" i="2"/>
  <c r="Y395" i="2"/>
  <c r="W395" i="2"/>
  <c r="U395" i="2"/>
  <c r="Z394" i="2"/>
  <c r="Y394" i="2"/>
  <c r="W394" i="2"/>
  <c r="U394" i="2"/>
  <c r="Z393" i="2"/>
  <c r="Y393" i="2"/>
  <c r="X393" i="2"/>
  <c r="W393" i="2"/>
  <c r="U393" i="2"/>
  <c r="Z392" i="2"/>
  <c r="Y392" i="2"/>
  <c r="W392" i="2"/>
  <c r="U392" i="2"/>
  <c r="Z391" i="2"/>
  <c r="Y391" i="2"/>
  <c r="W391" i="2"/>
  <c r="U391" i="2"/>
  <c r="Z390" i="2"/>
  <c r="Y390" i="2"/>
  <c r="W390" i="2"/>
  <c r="U390" i="2"/>
  <c r="Z389" i="2"/>
  <c r="Y389" i="2"/>
  <c r="W389" i="2"/>
  <c r="U389" i="2"/>
  <c r="Z388" i="2"/>
  <c r="Y388" i="2"/>
  <c r="X388" i="2"/>
  <c r="W388" i="2"/>
  <c r="U388" i="2"/>
  <c r="Z387" i="2"/>
  <c r="Y387" i="2"/>
  <c r="W387" i="2"/>
  <c r="U387" i="2"/>
  <c r="Z386" i="2"/>
  <c r="Y386" i="2"/>
  <c r="X386" i="2"/>
  <c r="W386" i="2"/>
  <c r="U386" i="2"/>
  <c r="Z385" i="2"/>
  <c r="Y385" i="2"/>
  <c r="W385" i="2"/>
  <c r="U385" i="2"/>
  <c r="Z384" i="2"/>
  <c r="Y384" i="2"/>
  <c r="W384" i="2"/>
  <c r="U384" i="2"/>
  <c r="Z383" i="2"/>
  <c r="Y383" i="2"/>
  <c r="W383" i="2"/>
  <c r="U383" i="2"/>
  <c r="Z382" i="2"/>
  <c r="Y382" i="2"/>
  <c r="W382" i="2"/>
  <c r="U382" i="2"/>
  <c r="Z381" i="2"/>
  <c r="Y381" i="2"/>
  <c r="W381" i="2"/>
  <c r="U381" i="2"/>
  <c r="Z380" i="2"/>
  <c r="Y380" i="2"/>
  <c r="W380" i="2"/>
  <c r="U380" i="2"/>
  <c r="Z379" i="2"/>
  <c r="Y379" i="2"/>
  <c r="W379" i="2"/>
  <c r="U379" i="2"/>
  <c r="Z378" i="2"/>
  <c r="Y378" i="2"/>
  <c r="W378" i="2"/>
  <c r="U378" i="2"/>
  <c r="Z377" i="2"/>
  <c r="Y377" i="2"/>
  <c r="W377" i="2"/>
  <c r="U377" i="2"/>
  <c r="Z376" i="2"/>
  <c r="Y376" i="2"/>
  <c r="W376" i="2"/>
  <c r="U376" i="2"/>
  <c r="Z375" i="2"/>
  <c r="Y375" i="2"/>
  <c r="W375" i="2"/>
  <c r="U375" i="2"/>
  <c r="Z374" i="2"/>
  <c r="Y374" i="2"/>
  <c r="W374" i="2"/>
  <c r="U374" i="2"/>
  <c r="Z373" i="2"/>
  <c r="Y373" i="2"/>
  <c r="W373" i="2"/>
  <c r="U373" i="2"/>
  <c r="Z372" i="2"/>
  <c r="Y372" i="2"/>
  <c r="W372" i="2"/>
  <c r="U372" i="2"/>
  <c r="Z371" i="2"/>
  <c r="Y371" i="2"/>
  <c r="W371" i="2"/>
  <c r="U371" i="2"/>
  <c r="Z370" i="2"/>
  <c r="Y370" i="2"/>
  <c r="W370" i="2"/>
  <c r="U370" i="2"/>
  <c r="Z369" i="2"/>
  <c r="Y369" i="2"/>
  <c r="W369" i="2"/>
  <c r="U369" i="2"/>
  <c r="Z368" i="2"/>
  <c r="Y368" i="2"/>
  <c r="W368" i="2"/>
  <c r="U368" i="2"/>
  <c r="Z367" i="2"/>
  <c r="Y367" i="2"/>
  <c r="W367" i="2"/>
  <c r="U367" i="2"/>
  <c r="Z366" i="2"/>
  <c r="Y366" i="2"/>
  <c r="W366" i="2"/>
  <c r="U366" i="2"/>
  <c r="Z365" i="2"/>
  <c r="Y365" i="2"/>
  <c r="W365" i="2"/>
  <c r="U365" i="2"/>
  <c r="Z364" i="2"/>
  <c r="Y364" i="2"/>
  <c r="W364" i="2"/>
  <c r="U364" i="2"/>
  <c r="Z363" i="2"/>
  <c r="Y363" i="2"/>
  <c r="W363" i="2"/>
  <c r="U363" i="2"/>
  <c r="Z362" i="2"/>
  <c r="Y362" i="2"/>
  <c r="W362" i="2"/>
  <c r="U362" i="2"/>
  <c r="Z361" i="2"/>
  <c r="Y361" i="2"/>
  <c r="W361" i="2"/>
  <c r="U361" i="2"/>
  <c r="Z360" i="2"/>
  <c r="Y360" i="2"/>
  <c r="W360" i="2"/>
  <c r="U360" i="2"/>
  <c r="Z359" i="2"/>
  <c r="Y359" i="2"/>
  <c r="W359" i="2"/>
  <c r="U359" i="2"/>
  <c r="Z358" i="2"/>
  <c r="Y358" i="2"/>
  <c r="W358" i="2"/>
  <c r="U358" i="2"/>
  <c r="Z357" i="2"/>
  <c r="Y357" i="2"/>
  <c r="W357" i="2"/>
  <c r="U357" i="2"/>
  <c r="Z356" i="2"/>
  <c r="Y356" i="2"/>
  <c r="W356" i="2"/>
  <c r="U356" i="2"/>
  <c r="Z355" i="2"/>
  <c r="Y355" i="2"/>
  <c r="W355" i="2"/>
  <c r="U355" i="2"/>
  <c r="Z354" i="2"/>
  <c r="Y354" i="2"/>
  <c r="W354" i="2"/>
  <c r="U354" i="2"/>
  <c r="Z353" i="2"/>
  <c r="Y353" i="2"/>
  <c r="W353" i="2"/>
  <c r="U353" i="2"/>
  <c r="Z352" i="2"/>
  <c r="Y352" i="2"/>
  <c r="W352" i="2"/>
  <c r="U352" i="2"/>
  <c r="Z351" i="2"/>
  <c r="Y351" i="2"/>
  <c r="W351" i="2"/>
  <c r="U351" i="2"/>
  <c r="Z350" i="2"/>
  <c r="Y350" i="2"/>
  <c r="W350" i="2"/>
  <c r="U350" i="2"/>
  <c r="Z349" i="2"/>
  <c r="Y349" i="2"/>
  <c r="W349" i="2"/>
  <c r="U349" i="2"/>
  <c r="Z348" i="2"/>
  <c r="Y348" i="2"/>
  <c r="W348" i="2"/>
  <c r="U348" i="2"/>
  <c r="Z347" i="2"/>
  <c r="Y347" i="2"/>
  <c r="W347" i="2"/>
  <c r="U347" i="2"/>
  <c r="Z346" i="2"/>
  <c r="Y346" i="2"/>
  <c r="W346" i="2"/>
  <c r="U346" i="2"/>
  <c r="Z345" i="2"/>
  <c r="Y345" i="2"/>
  <c r="W345" i="2"/>
  <c r="U345" i="2"/>
  <c r="Z344" i="2"/>
  <c r="Y344" i="2"/>
  <c r="W344" i="2"/>
  <c r="U344" i="2"/>
  <c r="Z343" i="2"/>
  <c r="Y343" i="2"/>
  <c r="W343" i="2"/>
  <c r="U343" i="2"/>
  <c r="Z342" i="2"/>
  <c r="Y342" i="2"/>
  <c r="W342" i="2"/>
  <c r="U342" i="2"/>
  <c r="Z341" i="2"/>
  <c r="Y341" i="2"/>
  <c r="W341" i="2"/>
  <c r="U341" i="2"/>
  <c r="Z339" i="2"/>
  <c r="Y339" i="2"/>
  <c r="W339" i="2"/>
  <c r="U339" i="2"/>
  <c r="Z338" i="2"/>
  <c r="Y338" i="2"/>
  <c r="W338" i="2"/>
  <c r="U338" i="2"/>
  <c r="Z337" i="2"/>
  <c r="Y337" i="2"/>
  <c r="W337" i="2"/>
  <c r="U337" i="2"/>
  <c r="Z336" i="2"/>
  <c r="Y336" i="2"/>
  <c r="W336" i="2"/>
  <c r="U336" i="2"/>
  <c r="Z335" i="2"/>
  <c r="Y335" i="2"/>
  <c r="W335" i="2"/>
  <c r="U335" i="2"/>
  <c r="Z334" i="2"/>
  <c r="Y334" i="2"/>
  <c r="X334" i="2"/>
  <c r="W334" i="2"/>
  <c r="U334" i="2"/>
  <c r="Z333" i="2"/>
  <c r="Y333" i="2"/>
  <c r="W333" i="2"/>
  <c r="U333" i="2"/>
  <c r="Z332" i="2"/>
  <c r="Y332" i="2"/>
  <c r="X332" i="2"/>
  <c r="W332" i="2"/>
  <c r="U332" i="2"/>
  <c r="Z331" i="2"/>
  <c r="Y331" i="2"/>
  <c r="W331" i="2"/>
  <c r="U331" i="2"/>
  <c r="Z330" i="2"/>
  <c r="Y330" i="2"/>
  <c r="W330" i="2"/>
  <c r="U330" i="2"/>
  <c r="Z329" i="2"/>
  <c r="Y329" i="2"/>
  <c r="W329" i="2"/>
  <c r="U329" i="2"/>
  <c r="Z328" i="2"/>
  <c r="Y328" i="2"/>
  <c r="W328" i="2"/>
  <c r="U328" i="2"/>
  <c r="Z327" i="2"/>
  <c r="Y327" i="2"/>
  <c r="W327" i="2"/>
  <c r="U327" i="2"/>
  <c r="Z326" i="2"/>
  <c r="Y326" i="2"/>
  <c r="W326" i="2"/>
  <c r="U326" i="2"/>
  <c r="Z325" i="2"/>
  <c r="Y325" i="2"/>
  <c r="W325" i="2"/>
  <c r="U325" i="2"/>
  <c r="Z324" i="2"/>
  <c r="Y324" i="2"/>
  <c r="W324" i="2"/>
  <c r="U324" i="2"/>
  <c r="Z323" i="2"/>
  <c r="Y323" i="2"/>
  <c r="W323" i="2"/>
  <c r="U323" i="2"/>
  <c r="Z322" i="2"/>
  <c r="Y322" i="2"/>
  <c r="W322" i="2"/>
  <c r="U322" i="2"/>
  <c r="Z321" i="2"/>
  <c r="Y321" i="2"/>
  <c r="W321" i="2"/>
  <c r="U321" i="2"/>
  <c r="Z320" i="2"/>
  <c r="Y320" i="2"/>
  <c r="W320" i="2"/>
  <c r="U320" i="2"/>
  <c r="Z319" i="2"/>
  <c r="Y319" i="2"/>
  <c r="W319" i="2"/>
  <c r="U319" i="2"/>
  <c r="Z318" i="2"/>
  <c r="Y318" i="2"/>
  <c r="W318" i="2"/>
  <c r="U318" i="2"/>
  <c r="Z317" i="2"/>
  <c r="Y317" i="2"/>
  <c r="W317" i="2"/>
  <c r="U317" i="2"/>
  <c r="Z316" i="2"/>
  <c r="Y316" i="2"/>
  <c r="W316" i="2"/>
  <c r="U316" i="2"/>
  <c r="Z315" i="2"/>
  <c r="Y315" i="2"/>
  <c r="W315" i="2"/>
  <c r="U315" i="2"/>
  <c r="Z314" i="2"/>
  <c r="Y314" i="2"/>
  <c r="W314" i="2"/>
  <c r="U314" i="2"/>
  <c r="Z313" i="2"/>
  <c r="Y313" i="2"/>
  <c r="W313" i="2"/>
  <c r="U313" i="2"/>
  <c r="Z312" i="2"/>
  <c r="Y312" i="2"/>
  <c r="W312" i="2"/>
  <c r="U312" i="2"/>
  <c r="Z311" i="2"/>
  <c r="Y311" i="2"/>
  <c r="W311" i="2"/>
  <c r="U311" i="2"/>
  <c r="Z310" i="2"/>
  <c r="Y310" i="2"/>
  <c r="W310" i="2"/>
  <c r="U310" i="2"/>
  <c r="Z309" i="2"/>
  <c r="Y309" i="2"/>
  <c r="W309" i="2"/>
  <c r="U309" i="2"/>
  <c r="Z308" i="2"/>
  <c r="Y308" i="2"/>
  <c r="X308" i="2"/>
  <c r="W308" i="2"/>
  <c r="U308" i="2"/>
  <c r="Z307" i="2"/>
  <c r="Y307" i="2"/>
  <c r="W307" i="2"/>
  <c r="U307" i="2"/>
  <c r="Z306" i="2"/>
  <c r="Y306" i="2"/>
  <c r="W306" i="2"/>
  <c r="U306" i="2"/>
  <c r="Z305" i="2"/>
  <c r="Y305" i="2"/>
  <c r="X305" i="2"/>
  <c r="W305" i="2"/>
  <c r="U305" i="2"/>
  <c r="Z304" i="2"/>
  <c r="Y304" i="2"/>
  <c r="W304" i="2"/>
  <c r="U304" i="2"/>
  <c r="Z303" i="2"/>
  <c r="Y303" i="2"/>
  <c r="W303" i="2"/>
  <c r="U303" i="2"/>
  <c r="Z302" i="2"/>
  <c r="Y302" i="2"/>
  <c r="W302" i="2"/>
  <c r="U302" i="2"/>
  <c r="Z301" i="2"/>
  <c r="Y301" i="2"/>
  <c r="W301" i="2"/>
  <c r="U301" i="2"/>
  <c r="Z300" i="2"/>
  <c r="Y300" i="2"/>
  <c r="W300" i="2"/>
  <c r="U300" i="2"/>
  <c r="Z299" i="2"/>
  <c r="Y299" i="2"/>
  <c r="W299" i="2"/>
  <c r="U299" i="2"/>
  <c r="Z298" i="2"/>
  <c r="Y298" i="2"/>
  <c r="W298" i="2"/>
  <c r="U298" i="2"/>
  <c r="Z297" i="2"/>
  <c r="Y297" i="2"/>
  <c r="W297" i="2"/>
  <c r="U297" i="2"/>
  <c r="Z296" i="2"/>
  <c r="Y296" i="2"/>
  <c r="W296" i="2"/>
  <c r="U296" i="2"/>
  <c r="Z295" i="2"/>
  <c r="Y295" i="2"/>
  <c r="W295" i="2"/>
  <c r="U295" i="2"/>
  <c r="Z294" i="2"/>
  <c r="Y294" i="2"/>
  <c r="W294" i="2"/>
  <c r="U294" i="2"/>
  <c r="Z293" i="2"/>
  <c r="Y293" i="2"/>
  <c r="W293" i="2"/>
  <c r="U293" i="2"/>
  <c r="Z292" i="2"/>
  <c r="Y292" i="2"/>
  <c r="W292" i="2"/>
  <c r="U292" i="2"/>
  <c r="Z291" i="2"/>
  <c r="Y291" i="2"/>
  <c r="W291" i="2"/>
  <c r="U291" i="2"/>
  <c r="Z290" i="2"/>
  <c r="Y290" i="2"/>
  <c r="W290" i="2"/>
  <c r="U290" i="2"/>
  <c r="Z289" i="2"/>
  <c r="Y289" i="2"/>
  <c r="W289" i="2"/>
  <c r="U289" i="2"/>
  <c r="Z288" i="2"/>
  <c r="Y288" i="2"/>
  <c r="W288" i="2"/>
  <c r="U288" i="2"/>
  <c r="Z287" i="2"/>
  <c r="Y287" i="2"/>
  <c r="W287" i="2"/>
  <c r="U287" i="2"/>
  <c r="Z286" i="2"/>
  <c r="Y286" i="2"/>
  <c r="W286" i="2"/>
  <c r="U286" i="2"/>
  <c r="Z285" i="2"/>
  <c r="Y285" i="2"/>
  <c r="W285" i="2"/>
  <c r="U285" i="2"/>
  <c r="Z284" i="2"/>
  <c r="Y284" i="2"/>
  <c r="X284" i="2"/>
  <c r="W284" i="2"/>
  <c r="U284" i="2"/>
  <c r="Z283" i="2"/>
  <c r="Y283" i="2"/>
  <c r="W283" i="2"/>
  <c r="U283" i="2"/>
  <c r="Z282" i="2"/>
  <c r="Y282" i="2"/>
  <c r="W282" i="2"/>
  <c r="U282" i="2"/>
  <c r="Z281" i="2"/>
  <c r="Y281" i="2"/>
  <c r="X281" i="2"/>
  <c r="W281" i="2"/>
  <c r="U281" i="2"/>
  <c r="Z280" i="2"/>
  <c r="Y280" i="2"/>
  <c r="W280" i="2"/>
  <c r="U280" i="2"/>
  <c r="Z279" i="2"/>
  <c r="Y279" i="2"/>
  <c r="W279" i="2"/>
  <c r="U279" i="2"/>
  <c r="Z278" i="2"/>
  <c r="Y278" i="2"/>
  <c r="W278" i="2"/>
  <c r="U278" i="2"/>
  <c r="Z277" i="2"/>
  <c r="Y277" i="2"/>
  <c r="W277" i="2"/>
  <c r="U277" i="2"/>
  <c r="Z276" i="2"/>
  <c r="Y276" i="2"/>
  <c r="W276" i="2"/>
  <c r="U276" i="2"/>
  <c r="Z275" i="2"/>
  <c r="Y275" i="2"/>
  <c r="W275" i="2"/>
  <c r="U275" i="2"/>
  <c r="Z274" i="2"/>
  <c r="Y274" i="2"/>
  <c r="W274" i="2"/>
  <c r="U274" i="2"/>
  <c r="Z273" i="2"/>
  <c r="Y273" i="2"/>
  <c r="W273" i="2"/>
  <c r="U273" i="2"/>
  <c r="Z272" i="2"/>
  <c r="Y272" i="2"/>
  <c r="W272" i="2"/>
  <c r="U272" i="2"/>
  <c r="Z271" i="2"/>
  <c r="Y271" i="2"/>
  <c r="W271" i="2"/>
  <c r="U271" i="2"/>
  <c r="Z270" i="2"/>
  <c r="Y270" i="2"/>
  <c r="W270" i="2"/>
  <c r="U270" i="2"/>
  <c r="Z269" i="2"/>
  <c r="Y269" i="2"/>
  <c r="W269" i="2"/>
  <c r="U269" i="2"/>
  <c r="Z268" i="2"/>
  <c r="Y268" i="2"/>
  <c r="W268" i="2"/>
  <c r="U268" i="2"/>
  <c r="Z267" i="2"/>
  <c r="Y267" i="2"/>
  <c r="W267" i="2"/>
  <c r="U267" i="2"/>
  <c r="Z266" i="2"/>
  <c r="Y266" i="2"/>
  <c r="W266" i="2"/>
  <c r="U266" i="2"/>
  <c r="Z265" i="2"/>
  <c r="Y265" i="2"/>
  <c r="W265" i="2"/>
  <c r="U265" i="2"/>
  <c r="Z264" i="2"/>
  <c r="Y264" i="2"/>
  <c r="W264" i="2"/>
  <c r="U264" i="2"/>
  <c r="Z263" i="2"/>
  <c r="Y263" i="2"/>
  <c r="W263" i="2"/>
  <c r="U263" i="2"/>
  <c r="Z262" i="2"/>
  <c r="Y262" i="2"/>
  <c r="W262" i="2"/>
  <c r="U262" i="2"/>
  <c r="Z261" i="2"/>
  <c r="Y261" i="2"/>
  <c r="W261" i="2"/>
  <c r="U261" i="2"/>
  <c r="Z260" i="2"/>
  <c r="Y260" i="2"/>
  <c r="W260" i="2"/>
  <c r="U260" i="2"/>
  <c r="Z259" i="2"/>
  <c r="Y259" i="2"/>
  <c r="W259" i="2"/>
  <c r="U259" i="2"/>
  <c r="Z258" i="2"/>
  <c r="Y258" i="2"/>
  <c r="W258" i="2"/>
  <c r="U258" i="2"/>
  <c r="Z257" i="2"/>
  <c r="Y257" i="2"/>
  <c r="W257" i="2"/>
  <c r="U257" i="2"/>
  <c r="Z256" i="2"/>
  <c r="Y256" i="2"/>
  <c r="W256" i="2"/>
  <c r="U256" i="2"/>
  <c r="Z255" i="2"/>
  <c r="Y255" i="2"/>
  <c r="W255" i="2"/>
  <c r="U255" i="2"/>
  <c r="Z254" i="2"/>
  <c r="Y254" i="2"/>
  <c r="W254" i="2"/>
  <c r="U254" i="2"/>
  <c r="Z253" i="2"/>
  <c r="Y253" i="2"/>
  <c r="W253" i="2"/>
  <c r="U253" i="2"/>
  <c r="Z252" i="2"/>
  <c r="Y252" i="2"/>
  <c r="W252" i="2"/>
  <c r="U252" i="2"/>
  <c r="Z251" i="2"/>
  <c r="Y251" i="2"/>
  <c r="W251" i="2"/>
  <c r="U251" i="2"/>
  <c r="Z250" i="2"/>
  <c r="Y250" i="2"/>
  <c r="W250" i="2"/>
  <c r="U250" i="2"/>
  <c r="Z249" i="2"/>
  <c r="Y249" i="2"/>
  <c r="W249" i="2"/>
  <c r="U249" i="2"/>
  <c r="Z248" i="2"/>
  <c r="Y248" i="2"/>
  <c r="W248" i="2"/>
  <c r="U248" i="2"/>
  <c r="Z247" i="2"/>
  <c r="Y247" i="2"/>
  <c r="W247" i="2"/>
  <c r="U247" i="2"/>
  <c r="Z246" i="2"/>
  <c r="Y246" i="2"/>
  <c r="W246" i="2"/>
  <c r="U246" i="2"/>
  <c r="Z245" i="2"/>
  <c r="Y245" i="2"/>
  <c r="W245" i="2"/>
  <c r="U245" i="2"/>
  <c r="Z244" i="2"/>
  <c r="Y244" i="2"/>
  <c r="W244" i="2"/>
  <c r="U244" i="2"/>
  <c r="Z243" i="2"/>
  <c r="Y243" i="2"/>
  <c r="W243" i="2"/>
  <c r="U243" i="2"/>
  <c r="Z242" i="2"/>
  <c r="Y242" i="2"/>
  <c r="W242" i="2"/>
  <c r="U242" i="2"/>
  <c r="Z241" i="2"/>
  <c r="Y241" i="2"/>
  <c r="W241" i="2"/>
  <c r="U241" i="2"/>
  <c r="Z240" i="2"/>
  <c r="Y240" i="2"/>
  <c r="W240" i="2"/>
  <c r="U240" i="2"/>
  <c r="Z239" i="2"/>
  <c r="Y239" i="2"/>
  <c r="W239" i="2"/>
  <c r="U239" i="2"/>
  <c r="Z238" i="2"/>
  <c r="Y238" i="2"/>
  <c r="W238" i="2"/>
  <c r="U238" i="2"/>
  <c r="Z237" i="2"/>
  <c r="Y237" i="2"/>
  <c r="W237" i="2"/>
  <c r="U237" i="2"/>
  <c r="Z236" i="2"/>
  <c r="Y236" i="2"/>
  <c r="W236" i="2"/>
  <c r="U236" i="2"/>
  <c r="Z235" i="2"/>
  <c r="Y235" i="2"/>
  <c r="W235" i="2"/>
  <c r="U235" i="2"/>
  <c r="Z234" i="2"/>
  <c r="Y234" i="2"/>
  <c r="W234" i="2"/>
  <c r="U234" i="2"/>
  <c r="Z233" i="2"/>
  <c r="Y233" i="2"/>
  <c r="W233" i="2"/>
  <c r="U233" i="2"/>
  <c r="Z232" i="2"/>
  <c r="Y232" i="2"/>
  <c r="W232" i="2"/>
  <c r="U232" i="2"/>
  <c r="Z231" i="2"/>
  <c r="Y231" i="2"/>
  <c r="W231" i="2"/>
  <c r="U231" i="2"/>
  <c r="Z230" i="2"/>
  <c r="Y230" i="2"/>
  <c r="W230" i="2"/>
  <c r="U230" i="2"/>
  <c r="Z229" i="2"/>
  <c r="Y229" i="2"/>
  <c r="W229" i="2"/>
  <c r="U229" i="2"/>
  <c r="Z228" i="2"/>
  <c r="Y228" i="2"/>
  <c r="W228" i="2"/>
  <c r="U228" i="2"/>
  <c r="Z227" i="2"/>
  <c r="Y227" i="2"/>
  <c r="W227" i="2"/>
  <c r="U227" i="2"/>
  <c r="Z226" i="2"/>
  <c r="Y226" i="2"/>
  <c r="W226" i="2"/>
  <c r="U226" i="2"/>
  <c r="Z225" i="2"/>
  <c r="Y225" i="2"/>
  <c r="W225" i="2"/>
  <c r="U225" i="2"/>
  <c r="Z224" i="2"/>
  <c r="Y224" i="2"/>
  <c r="W224" i="2"/>
  <c r="U224" i="2"/>
  <c r="Z223" i="2"/>
  <c r="Y223" i="2"/>
  <c r="W223" i="2"/>
  <c r="U223" i="2"/>
  <c r="Z222" i="2"/>
  <c r="Y222" i="2"/>
  <c r="W222" i="2"/>
  <c r="U222" i="2"/>
  <c r="Z221" i="2"/>
  <c r="Y221" i="2"/>
  <c r="W221" i="2"/>
  <c r="U221" i="2"/>
  <c r="Z220" i="2"/>
  <c r="Y220" i="2"/>
  <c r="W220" i="2"/>
  <c r="U220" i="2"/>
  <c r="Z219" i="2"/>
  <c r="Y219" i="2"/>
  <c r="W219" i="2"/>
  <c r="U219" i="2"/>
  <c r="Z218" i="2"/>
  <c r="Y218" i="2"/>
  <c r="W218" i="2"/>
  <c r="U218" i="2"/>
  <c r="Z217" i="2"/>
  <c r="Y217" i="2"/>
  <c r="W217" i="2"/>
  <c r="U217" i="2"/>
  <c r="Z216" i="2"/>
  <c r="Y216" i="2"/>
  <c r="W216" i="2"/>
  <c r="U216" i="2"/>
  <c r="Z215" i="2"/>
  <c r="Y215" i="2"/>
  <c r="W215" i="2"/>
  <c r="U215" i="2"/>
  <c r="Z214" i="2"/>
  <c r="Y214" i="2"/>
  <c r="W214" i="2"/>
  <c r="U214" i="2"/>
  <c r="Z213" i="2"/>
  <c r="Y213" i="2"/>
  <c r="W213" i="2"/>
  <c r="U213" i="2"/>
  <c r="Z212" i="2"/>
  <c r="Y212" i="2"/>
  <c r="W212" i="2"/>
  <c r="U212" i="2"/>
  <c r="Z211" i="2"/>
  <c r="Y211" i="2"/>
  <c r="W211" i="2"/>
  <c r="U211" i="2"/>
  <c r="Z210" i="2"/>
  <c r="Y210" i="2"/>
  <c r="W210" i="2"/>
  <c r="U210" i="2"/>
  <c r="Z209" i="2"/>
  <c r="Y209" i="2"/>
  <c r="W209" i="2"/>
  <c r="U209" i="2"/>
  <c r="Z208" i="2"/>
  <c r="Y208" i="2"/>
  <c r="W208" i="2"/>
  <c r="U208" i="2"/>
  <c r="Z207" i="2"/>
  <c r="Y207" i="2"/>
  <c r="W207" i="2"/>
  <c r="U207" i="2"/>
  <c r="Z206" i="2"/>
  <c r="Y206" i="2"/>
  <c r="W206" i="2"/>
  <c r="U206" i="2"/>
  <c r="Z205" i="2"/>
  <c r="Y205" i="2"/>
  <c r="W205" i="2"/>
  <c r="U205" i="2"/>
  <c r="Z204" i="2"/>
  <c r="Y204" i="2"/>
  <c r="W204" i="2"/>
  <c r="U204" i="2"/>
  <c r="Z203" i="2"/>
  <c r="Y203" i="2"/>
  <c r="W203" i="2"/>
  <c r="U203" i="2"/>
  <c r="Z202" i="2"/>
  <c r="Y202" i="2"/>
  <c r="W202" i="2"/>
  <c r="U202" i="2"/>
  <c r="Z201" i="2"/>
  <c r="Y201" i="2"/>
  <c r="W201" i="2"/>
  <c r="U201" i="2"/>
  <c r="Z200" i="2"/>
  <c r="Y200" i="2"/>
  <c r="W200" i="2"/>
  <c r="U200" i="2"/>
  <c r="Z199" i="2"/>
  <c r="Y199" i="2"/>
  <c r="W199" i="2"/>
  <c r="U199" i="2"/>
  <c r="Z198" i="2"/>
  <c r="Y198" i="2"/>
  <c r="W198" i="2"/>
  <c r="U198" i="2"/>
  <c r="Z197" i="2"/>
  <c r="Y197" i="2"/>
  <c r="W197" i="2"/>
  <c r="U197" i="2"/>
  <c r="Z196" i="2"/>
  <c r="Y196" i="2"/>
  <c r="W196" i="2"/>
  <c r="U196" i="2"/>
  <c r="Z195" i="2"/>
  <c r="Y195" i="2"/>
  <c r="W195" i="2"/>
  <c r="U195" i="2"/>
  <c r="Z194" i="2"/>
  <c r="Y194" i="2"/>
  <c r="W194" i="2"/>
  <c r="U194" i="2"/>
  <c r="Z193" i="2"/>
  <c r="Y193" i="2"/>
  <c r="W193" i="2"/>
  <c r="U193" i="2"/>
  <c r="Z192" i="2"/>
  <c r="Y192" i="2"/>
  <c r="W192" i="2"/>
  <c r="U192" i="2"/>
  <c r="Z191" i="2"/>
  <c r="Y191" i="2"/>
  <c r="W191" i="2"/>
  <c r="U191" i="2"/>
  <c r="Z190" i="2"/>
  <c r="Y190" i="2"/>
  <c r="W190" i="2"/>
  <c r="U190" i="2"/>
  <c r="Z189" i="2"/>
  <c r="Y189" i="2"/>
  <c r="W189" i="2"/>
  <c r="U189" i="2"/>
  <c r="Z188" i="2"/>
  <c r="Y188" i="2"/>
  <c r="W188" i="2"/>
  <c r="U188" i="2"/>
  <c r="Z187" i="2"/>
  <c r="Y187" i="2"/>
  <c r="W187" i="2"/>
  <c r="U187" i="2"/>
  <c r="Z186" i="2"/>
  <c r="Y186" i="2"/>
  <c r="W186" i="2"/>
  <c r="U186" i="2"/>
  <c r="Z185" i="2"/>
  <c r="Y185" i="2"/>
  <c r="W185" i="2"/>
  <c r="U185" i="2"/>
  <c r="Z184" i="2"/>
  <c r="Y184" i="2"/>
  <c r="W184" i="2"/>
  <c r="U184" i="2"/>
  <c r="Z183" i="2"/>
  <c r="Y183" i="2"/>
  <c r="W183" i="2"/>
  <c r="U183" i="2"/>
  <c r="Z182" i="2"/>
  <c r="Y182" i="2"/>
  <c r="W182" i="2"/>
  <c r="U182" i="2"/>
  <c r="Z181" i="2"/>
  <c r="Y181" i="2"/>
  <c r="W181" i="2"/>
  <c r="U181" i="2"/>
  <c r="Z180" i="2"/>
  <c r="Y180" i="2"/>
  <c r="W180" i="2"/>
  <c r="U180" i="2"/>
  <c r="Z179" i="2"/>
  <c r="Y179" i="2"/>
  <c r="W179" i="2"/>
  <c r="U179" i="2"/>
  <c r="Z178" i="2"/>
  <c r="Y178" i="2"/>
  <c r="W178" i="2"/>
  <c r="U178" i="2"/>
  <c r="Z177" i="2"/>
  <c r="Y177" i="2"/>
  <c r="W177" i="2"/>
  <c r="U177" i="2"/>
  <c r="Z176" i="2"/>
  <c r="Y176" i="2"/>
  <c r="W176" i="2"/>
  <c r="U176" i="2"/>
  <c r="Z175" i="2"/>
  <c r="Y175" i="2"/>
  <c r="W175" i="2"/>
  <c r="U175" i="2"/>
  <c r="Z174" i="2"/>
  <c r="Y174" i="2"/>
  <c r="W174" i="2"/>
  <c r="U174" i="2"/>
  <c r="Z173" i="2"/>
  <c r="Y173" i="2"/>
  <c r="W173" i="2"/>
  <c r="U173" i="2"/>
  <c r="Z172" i="2"/>
  <c r="Y172" i="2"/>
  <c r="W172" i="2"/>
  <c r="U172" i="2"/>
  <c r="Z171" i="2"/>
  <c r="Y171" i="2"/>
  <c r="W171" i="2"/>
  <c r="U171" i="2"/>
  <c r="Z170" i="2"/>
  <c r="Y170" i="2"/>
  <c r="W170" i="2"/>
  <c r="U170" i="2"/>
  <c r="Z169" i="2"/>
  <c r="Y169" i="2"/>
  <c r="W169" i="2"/>
  <c r="U169" i="2"/>
  <c r="Z168" i="2"/>
  <c r="Y168" i="2"/>
  <c r="W168" i="2"/>
  <c r="U168" i="2"/>
  <c r="Z167" i="2"/>
  <c r="Y167" i="2"/>
  <c r="W167" i="2"/>
  <c r="U167" i="2"/>
  <c r="Z166" i="2"/>
  <c r="Y166" i="2"/>
  <c r="W166" i="2"/>
  <c r="U166" i="2"/>
  <c r="Z165" i="2"/>
  <c r="Y165" i="2"/>
  <c r="W165" i="2"/>
  <c r="U165" i="2"/>
  <c r="Z164" i="2"/>
  <c r="Y164" i="2"/>
  <c r="W164" i="2"/>
  <c r="U164" i="2"/>
  <c r="Z163" i="2"/>
  <c r="Y163" i="2"/>
  <c r="W163" i="2"/>
  <c r="U163" i="2"/>
  <c r="Z162" i="2"/>
  <c r="Y162" i="2"/>
  <c r="W162" i="2"/>
  <c r="U162" i="2"/>
  <c r="Z161" i="2"/>
  <c r="Y161" i="2"/>
  <c r="W161" i="2"/>
  <c r="U161" i="2"/>
  <c r="Z160" i="2"/>
  <c r="Y160" i="2"/>
  <c r="W160" i="2"/>
  <c r="U160" i="2"/>
  <c r="Z159" i="2"/>
  <c r="Y159" i="2"/>
  <c r="W159" i="2"/>
  <c r="U159" i="2"/>
  <c r="Z158" i="2"/>
  <c r="Y158" i="2"/>
  <c r="W158" i="2"/>
  <c r="U158" i="2"/>
  <c r="Z157" i="2"/>
  <c r="Y157" i="2"/>
  <c r="W157" i="2"/>
  <c r="U157" i="2"/>
  <c r="Z156" i="2"/>
  <c r="Y156" i="2"/>
  <c r="W156" i="2"/>
  <c r="U156" i="2"/>
  <c r="Z155" i="2"/>
  <c r="Y155" i="2"/>
  <c r="W155" i="2"/>
  <c r="U155" i="2"/>
  <c r="Z154" i="2"/>
  <c r="Y154" i="2"/>
  <c r="W154" i="2"/>
  <c r="U154" i="2"/>
  <c r="Z153" i="2"/>
  <c r="Y153" i="2"/>
  <c r="W153" i="2"/>
  <c r="U153" i="2"/>
  <c r="Z152" i="2"/>
  <c r="Y152" i="2"/>
  <c r="W152" i="2"/>
  <c r="U152" i="2"/>
  <c r="Z151" i="2"/>
  <c r="Y151" i="2"/>
  <c r="W151" i="2"/>
  <c r="U151" i="2"/>
  <c r="Z150" i="2"/>
  <c r="Y150" i="2"/>
  <c r="W150" i="2"/>
  <c r="U150" i="2"/>
  <c r="Z149" i="2"/>
  <c r="Y149" i="2"/>
  <c r="W149" i="2"/>
  <c r="U149" i="2"/>
  <c r="Z148" i="2"/>
  <c r="Y148" i="2"/>
  <c r="W148" i="2"/>
  <c r="U148" i="2"/>
  <c r="Z147" i="2"/>
  <c r="Y147" i="2"/>
  <c r="W147" i="2"/>
  <c r="U147" i="2"/>
  <c r="Z146" i="2"/>
  <c r="Y146" i="2"/>
  <c r="W146" i="2"/>
  <c r="U146" i="2"/>
  <c r="Z145" i="2"/>
  <c r="Y145" i="2"/>
  <c r="W145" i="2"/>
  <c r="U145" i="2"/>
  <c r="Z144" i="2"/>
  <c r="Y144" i="2"/>
  <c r="W144" i="2"/>
  <c r="U144" i="2"/>
  <c r="Z143" i="2"/>
  <c r="Y143" i="2"/>
  <c r="W143" i="2"/>
  <c r="U143" i="2"/>
  <c r="Z142" i="2"/>
  <c r="Y142" i="2"/>
  <c r="W142" i="2"/>
  <c r="U142" i="2"/>
  <c r="Z141" i="2"/>
  <c r="Y141" i="2"/>
  <c r="W141" i="2"/>
  <c r="U141" i="2"/>
  <c r="Z140" i="2"/>
  <c r="Y140" i="2"/>
  <c r="W140" i="2"/>
  <c r="U140" i="2"/>
  <c r="Z139" i="2"/>
  <c r="Y139" i="2"/>
  <c r="W139" i="2"/>
  <c r="U139" i="2"/>
  <c r="Z138" i="2"/>
  <c r="Y138" i="2"/>
  <c r="W138" i="2"/>
  <c r="U138" i="2"/>
  <c r="Z137" i="2"/>
  <c r="Y137" i="2"/>
  <c r="W137" i="2"/>
  <c r="U137" i="2"/>
  <c r="Z136" i="2"/>
  <c r="Y136" i="2"/>
  <c r="W136" i="2"/>
  <c r="U136" i="2"/>
  <c r="Z135" i="2"/>
  <c r="Y135" i="2"/>
  <c r="W135" i="2"/>
  <c r="U135" i="2"/>
  <c r="Z134" i="2"/>
  <c r="Y134" i="2"/>
  <c r="W134" i="2"/>
  <c r="U134" i="2"/>
  <c r="Z133" i="2"/>
  <c r="Y133" i="2"/>
  <c r="W133" i="2"/>
  <c r="U133" i="2"/>
  <c r="Z132" i="2"/>
  <c r="Y132" i="2"/>
  <c r="W132" i="2"/>
  <c r="U132" i="2"/>
  <c r="Z131" i="2"/>
  <c r="Y131" i="2"/>
  <c r="W131" i="2"/>
  <c r="U131" i="2"/>
  <c r="Z130" i="2"/>
  <c r="Y130" i="2"/>
  <c r="W130" i="2"/>
  <c r="U130" i="2"/>
  <c r="Z129" i="2"/>
  <c r="Y129" i="2"/>
  <c r="W129" i="2"/>
  <c r="U129" i="2"/>
  <c r="Z128" i="2"/>
  <c r="Y128" i="2"/>
  <c r="W128" i="2"/>
  <c r="U128" i="2"/>
  <c r="Z127" i="2"/>
  <c r="Y127" i="2"/>
  <c r="W127" i="2"/>
  <c r="U127" i="2"/>
  <c r="Z126" i="2"/>
  <c r="Y126" i="2"/>
  <c r="W126" i="2"/>
  <c r="U126" i="2"/>
  <c r="Z125" i="2"/>
  <c r="Y125" i="2"/>
  <c r="W125" i="2"/>
  <c r="U125" i="2"/>
  <c r="Z124" i="2"/>
  <c r="Y124" i="2"/>
  <c r="W124" i="2"/>
  <c r="U124" i="2"/>
  <c r="Z123" i="2"/>
  <c r="Y123" i="2"/>
  <c r="W123" i="2"/>
  <c r="U123" i="2"/>
  <c r="Z122" i="2"/>
  <c r="Y122" i="2"/>
  <c r="W122" i="2"/>
  <c r="U122" i="2"/>
  <c r="Z121" i="2"/>
  <c r="Y121" i="2"/>
  <c r="W121" i="2"/>
  <c r="U121" i="2"/>
  <c r="Z120" i="2"/>
  <c r="Y120" i="2"/>
  <c r="W120" i="2"/>
  <c r="U120" i="2"/>
  <c r="Z119" i="2"/>
  <c r="Y119" i="2"/>
  <c r="W119" i="2"/>
  <c r="U119" i="2"/>
  <c r="Z118" i="2"/>
  <c r="Y118" i="2"/>
  <c r="W118" i="2"/>
  <c r="U118" i="2"/>
  <c r="Z117" i="2"/>
  <c r="Y117" i="2"/>
  <c r="W117" i="2"/>
  <c r="U117" i="2"/>
  <c r="Z116" i="2"/>
  <c r="Y116" i="2"/>
  <c r="W116" i="2"/>
  <c r="U116" i="2"/>
  <c r="Z115" i="2"/>
  <c r="Y115" i="2"/>
  <c r="W115" i="2"/>
  <c r="U115" i="2"/>
  <c r="Z114" i="2"/>
  <c r="Y114" i="2"/>
  <c r="W114" i="2"/>
  <c r="U114" i="2"/>
  <c r="Z113" i="2"/>
  <c r="Y113" i="2"/>
  <c r="W113" i="2"/>
  <c r="U113" i="2"/>
  <c r="Z112" i="2"/>
  <c r="Y112" i="2"/>
  <c r="W112" i="2"/>
  <c r="U112" i="2"/>
  <c r="Z111" i="2"/>
  <c r="Y111" i="2"/>
  <c r="W111" i="2"/>
  <c r="U111" i="2"/>
  <c r="Z110" i="2"/>
  <c r="Y110" i="2"/>
  <c r="W110" i="2"/>
  <c r="U110" i="2"/>
  <c r="Z109" i="2"/>
  <c r="Y109" i="2"/>
  <c r="W109" i="2"/>
  <c r="U109" i="2"/>
  <c r="Z108" i="2"/>
  <c r="Y108" i="2"/>
  <c r="W108" i="2"/>
  <c r="U108" i="2"/>
  <c r="Z107" i="2"/>
  <c r="Y107" i="2"/>
  <c r="W107" i="2"/>
  <c r="U107" i="2"/>
  <c r="Z106" i="2"/>
  <c r="Y106" i="2"/>
  <c r="W106" i="2"/>
  <c r="U106" i="2"/>
  <c r="Z105" i="2"/>
  <c r="Y105" i="2"/>
  <c r="W105" i="2"/>
  <c r="U105" i="2"/>
  <c r="Z104" i="2"/>
  <c r="Y104" i="2"/>
  <c r="W104" i="2"/>
  <c r="U104" i="2"/>
  <c r="Z103" i="2"/>
  <c r="Y103" i="2"/>
  <c r="W103" i="2"/>
  <c r="U103" i="2"/>
  <c r="Z102" i="2"/>
  <c r="Y102" i="2"/>
  <c r="W102" i="2"/>
  <c r="U102" i="2"/>
  <c r="Z101" i="2"/>
  <c r="Y101" i="2"/>
  <c r="W101" i="2"/>
  <c r="U101" i="2"/>
  <c r="Z100" i="2"/>
  <c r="Y100" i="2"/>
  <c r="W100" i="2"/>
  <c r="U100" i="2"/>
  <c r="Z99" i="2"/>
  <c r="Y99" i="2"/>
  <c r="W99" i="2"/>
  <c r="U99" i="2"/>
  <c r="Z98" i="2"/>
  <c r="Y98" i="2"/>
  <c r="W98" i="2"/>
  <c r="U98" i="2"/>
  <c r="Z97" i="2"/>
  <c r="Y97" i="2"/>
  <c r="X97" i="2"/>
  <c r="W97" i="2"/>
  <c r="U97" i="2"/>
  <c r="Z96" i="2"/>
  <c r="Y96" i="2"/>
  <c r="W96" i="2"/>
  <c r="U96" i="2"/>
  <c r="Z95" i="2"/>
  <c r="Y95" i="2"/>
  <c r="X95" i="2"/>
  <c r="W95" i="2"/>
  <c r="U95" i="2"/>
  <c r="Z94" i="2"/>
  <c r="Y94" i="2"/>
  <c r="W94" i="2"/>
  <c r="U94" i="2"/>
  <c r="Z93" i="2"/>
  <c r="Y93" i="2"/>
  <c r="W93" i="2"/>
  <c r="U93" i="2"/>
  <c r="Z92" i="2"/>
  <c r="Y92" i="2"/>
  <c r="W92" i="2"/>
  <c r="U92" i="2"/>
  <c r="Z91" i="2"/>
  <c r="Y91" i="2"/>
  <c r="W91" i="2"/>
  <c r="U91" i="2"/>
  <c r="Z90" i="2"/>
  <c r="Y90" i="2"/>
  <c r="W90" i="2"/>
  <c r="U90" i="2"/>
  <c r="Z89" i="2"/>
  <c r="Y89" i="2"/>
  <c r="W89" i="2"/>
  <c r="U89" i="2"/>
  <c r="Z88" i="2"/>
  <c r="Y88" i="2"/>
  <c r="W88" i="2"/>
  <c r="U88" i="2"/>
  <c r="Z87" i="2"/>
  <c r="Y87" i="2"/>
  <c r="W87" i="2"/>
  <c r="U87" i="2"/>
  <c r="Z86" i="2"/>
  <c r="Y86" i="2"/>
  <c r="W86" i="2"/>
  <c r="U86" i="2"/>
  <c r="Z85" i="2"/>
  <c r="Y85" i="2"/>
  <c r="W85" i="2"/>
  <c r="U85" i="2"/>
  <c r="Z84" i="2"/>
  <c r="Y84" i="2"/>
  <c r="W84" i="2"/>
  <c r="U84" i="2"/>
  <c r="Z83" i="2"/>
  <c r="Y83" i="2"/>
  <c r="W83" i="2"/>
  <c r="U83" i="2"/>
  <c r="Z82" i="2"/>
  <c r="Y82" i="2"/>
  <c r="X82" i="2"/>
  <c r="W82" i="2"/>
  <c r="U82" i="2"/>
  <c r="Z81" i="2"/>
  <c r="Y81" i="2"/>
  <c r="W81" i="2"/>
  <c r="U81" i="2"/>
  <c r="Z80" i="2"/>
  <c r="Y80" i="2"/>
  <c r="X80" i="2"/>
  <c r="W80" i="2"/>
  <c r="U80" i="2"/>
  <c r="Z79" i="2"/>
  <c r="Y79" i="2"/>
  <c r="W79" i="2"/>
  <c r="U79" i="2"/>
  <c r="Z78" i="2"/>
  <c r="Y78" i="2"/>
  <c r="W78" i="2"/>
  <c r="U78" i="2"/>
  <c r="Z77" i="2"/>
  <c r="Y77" i="2"/>
  <c r="W77" i="2"/>
  <c r="U77" i="2"/>
  <c r="Z76" i="2"/>
  <c r="Y76" i="2"/>
  <c r="W76" i="2"/>
  <c r="U76" i="2"/>
  <c r="Z75" i="2"/>
  <c r="Y75" i="2"/>
  <c r="X75" i="2"/>
  <c r="W75" i="2"/>
  <c r="U75" i="2"/>
  <c r="Z74" i="2"/>
  <c r="Y74" i="2"/>
  <c r="W74" i="2"/>
  <c r="U74" i="2"/>
  <c r="Z73" i="2"/>
  <c r="Y73" i="2"/>
  <c r="W73" i="2"/>
  <c r="U73" i="2"/>
  <c r="Z72" i="2"/>
  <c r="Y72" i="2"/>
  <c r="W72" i="2"/>
  <c r="U72" i="2"/>
  <c r="Z71" i="2"/>
  <c r="Y71" i="2"/>
  <c r="W71" i="2"/>
  <c r="U71" i="2"/>
  <c r="Z70" i="2"/>
  <c r="Y70" i="2"/>
  <c r="W70" i="2"/>
  <c r="U70" i="2"/>
  <c r="Z69" i="2"/>
  <c r="Y69" i="2"/>
  <c r="W69" i="2"/>
  <c r="U69" i="2"/>
  <c r="Z68" i="2"/>
  <c r="Y68" i="2"/>
  <c r="W68" i="2"/>
  <c r="U68" i="2"/>
  <c r="Z67" i="2"/>
  <c r="Y67" i="2"/>
  <c r="W67" i="2"/>
  <c r="U67" i="2"/>
  <c r="Z66" i="2"/>
  <c r="Y66" i="2"/>
  <c r="W66" i="2"/>
  <c r="U66" i="2"/>
  <c r="Z65" i="2"/>
  <c r="Y65" i="2"/>
  <c r="W65" i="2"/>
  <c r="U65" i="2"/>
  <c r="Z64" i="2"/>
  <c r="Y64" i="2"/>
  <c r="W64" i="2"/>
  <c r="U64" i="2"/>
  <c r="Z63" i="2"/>
  <c r="Y63" i="2"/>
  <c r="W63" i="2"/>
  <c r="U63" i="2"/>
  <c r="Z62" i="2"/>
  <c r="Y62" i="2"/>
  <c r="W62" i="2"/>
  <c r="U62" i="2"/>
  <c r="Z61" i="2"/>
  <c r="Y61" i="2"/>
  <c r="W61" i="2"/>
  <c r="U61" i="2"/>
  <c r="Z60" i="2"/>
  <c r="Y60" i="2"/>
  <c r="W60" i="2"/>
  <c r="U60" i="2"/>
  <c r="Z59" i="2"/>
  <c r="Y59" i="2"/>
  <c r="X59" i="2"/>
  <c r="W59" i="2"/>
  <c r="U59" i="2"/>
  <c r="Z58" i="2"/>
  <c r="Y58" i="2"/>
  <c r="W58" i="2"/>
  <c r="U58" i="2"/>
  <c r="Z57" i="2"/>
  <c r="Y57" i="2"/>
  <c r="X57" i="2"/>
  <c r="W57" i="2"/>
  <c r="U57" i="2"/>
  <c r="Z56" i="2"/>
  <c r="Y56" i="2"/>
  <c r="W56" i="2"/>
  <c r="U56" i="2"/>
  <c r="Z55" i="2"/>
  <c r="Y55" i="2"/>
  <c r="W55" i="2"/>
  <c r="U55" i="2"/>
  <c r="Z54" i="2"/>
  <c r="Y54" i="2"/>
  <c r="W54" i="2"/>
  <c r="U54" i="2"/>
  <c r="Z53" i="2"/>
  <c r="Y53" i="2"/>
  <c r="W53" i="2"/>
  <c r="U53" i="2"/>
  <c r="Z52" i="2"/>
  <c r="Y52" i="2"/>
  <c r="W52" i="2"/>
  <c r="U52" i="2"/>
  <c r="Z51" i="2"/>
  <c r="Y51" i="2"/>
  <c r="X51" i="2"/>
  <c r="W51" i="2"/>
  <c r="U51" i="2"/>
  <c r="Z50" i="2"/>
  <c r="Y50" i="2"/>
  <c r="W50" i="2"/>
  <c r="U50" i="2"/>
  <c r="Z49" i="2"/>
  <c r="Y49" i="2"/>
  <c r="W49" i="2"/>
  <c r="U49" i="2"/>
  <c r="Z48" i="2"/>
  <c r="Y48" i="2"/>
  <c r="W48" i="2"/>
  <c r="U48" i="2"/>
  <c r="Z47" i="2"/>
  <c r="Y47" i="2"/>
  <c r="X47" i="2"/>
  <c r="W47" i="2"/>
  <c r="U47" i="2"/>
  <c r="Z46" i="2"/>
  <c r="Y46" i="2"/>
  <c r="W46" i="2"/>
  <c r="U46" i="2"/>
  <c r="Z45" i="2"/>
  <c r="Y45" i="2"/>
  <c r="W45" i="2"/>
  <c r="U45" i="2"/>
  <c r="Z44" i="2"/>
  <c r="Y44" i="2"/>
  <c r="W44" i="2"/>
  <c r="U44" i="2"/>
  <c r="Z43" i="2"/>
  <c r="Y43" i="2"/>
  <c r="W43" i="2"/>
  <c r="U43" i="2"/>
  <c r="Z42" i="2"/>
  <c r="Y42" i="2"/>
  <c r="W42" i="2"/>
  <c r="U42" i="2"/>
  <c r="Z41" i="2"/>
  <c r="Y41" i="2"/>
  <c r="W41" i="2"/>
  <c r="U41" i="2"/>
  <c r="Z40" i="2"/>
  <c r="Y40" i="2"/>
  <c r="W40" i="2"/>
  <c r="U40" i="2"/>
  <c r="Z39" i="2"/>
  <c r="Y39" i="2"/>
  <c r="W39" i="2"/>
  <c r="U39" i="2"/>
  <c r="Z38" i="2"/>
  <c r="Y38" i="2"/>
  <c r="W38" i="2"/>
  <c r="U38" i="2"/>
  <c r="Z37" i="2"/>
  <c r="Y37" i="2"/>
  <c r="W37" i="2"/>
  <c r="U37" i="2"/>
  <c r="Z36" i="2"/>
  <c r="Y36" i="2"/>
  <c r="W36" i="2"/>
  <c r="U36" i="2"/>
  <c r="Z35" i="2"/>
  <c r="Y35" i="2"/>
  <c r="W35" i="2"/>
  <c r="U35" i="2"/>
  <c r="Z34" i="2"/>
  <c r="Y34" i="2"/>
  <c r="W34" i="2"/>
  <c r="U34" i="2"/>
  <c r="Z33" i="2"/>
  <c r="Y33" i="2"/>
  <c r="W33" i="2"/>
  <c r="U33" i="2"/>
  <c r="Z32" i="2"/>
  <c r="Y32" i="2"/>
  <c r="W32" i="2"/>
  <c r="U32" i="2"/>
  <c r="Z31" i="2"/>
  <c r="Y31" i="2"/>
  <c r="X31" i="2"/>
  <c r="W31" i="2"/>
  <c r="U31" i="2"/>
  <c r="Z30" i="2"/>
  <c r="Y30" i="2"/>
  <c r="X30" i="2"/>
  <c r="W30" i="2"/>
  <c r="U30" i="2"/>
  <c r="Z29" i="2"/>
  <c r="Y29" i="2"/>
  <c r="X29" i="2"/>
  <c r="W29" i="2"/>
  <c r="U29" i="2"/>
  <c r="Z28" i="2"/>
  <c r="Y28" i="2"/>
  <c r="W28" i="2"/>
  <c r="U28" i="2"/>
  <c r="Z27" i="2"/>
  <c r="Y27" i="2"/>
  <c r="X27" i="2"/>
  <c r="W27" i="2"/>
  <c r="U27" i="2"/>
  <c r="Z26" i="2"/>
  <c r="Y26" i="2"/>
  <c r="W26" i="2"/>
  <c r="U26" i="2"/>
  <c r="Z25" i="2"/>
  <c r="Y25" i="2"/>
  <c r="X25" i="2"/>
  <c r="W25" i="2"/>
  <c r="U25" i="2"/>
  <c r="Z24" i="2"/>
  <c r="Y24" i="2"/>
  <c r="X24" i="2"/>
  <c r="W24" i="2"/>
  <c r="U24" i="2"/>
  <c r="Z23" i="2"/>
  <c r="Y23" i="2"/>
  <c r="W23" i="2"/>
  <c r="U23" i="2"/>
  <c r="Z22" i="2"/>
  <c r="Y22" i="2"/>
  <c r="W22" i="2"/>
  <c r="U22" i="2"/>
  <c r="Z21" i="2"/>
  <c r="Y21" i="2"/>
  <c r="W21" i="2"/>
  <c r="U21" i="2"/>
  <c r="Z20" i="2"/>
  <c r="Y20" i="2"/>
  <c r="W20" i="2"/>
  <c r="U20" i="2"/>
  <c r="Z19" i="2"/>
  <c r="Y19" i="2"/>
  <c r="W19" i="2"/>
  <c r="U19" i="2"/>
  <c r="Z17" i="2"/>
  <c r="Y17" i="2"/>
  <c r="W17" i="2"/>
  <c r="U17" i="2"/>
  <c r="Z16" i="2"/>
  <c r="Y16" i="2"/>
  <c r="W16" i="2"/>
  <c r="U16" i="2"/>
  <c r="Z15" i="2"/>
  <c r="Y15" i="2"/>
  <c r="W15" i="2"/>
  <c r="U15" i="2"/>
  <c r="Z14" i="2"/>
  <c r="Y14" i="2"/>
  <c r="W14" i="2"/>
  <c r="U14" i="2"/>
  <c r="Z13" i="2"/>
  <c r="Y13" i="2"/>
  <c r="W13" i="2"/>
  <c r="U13" i="2"/>
  <c r="Z12" i="2"/>
  <c r="Y12" i="2"/>
  <c r="W12" i="2"/>
  <c r="U12" i="2"/>
  <c r="Z11" i="2"/>
  <c r="Y11" i="2"/>
  <c r="W11" i="2"/>
  <c r="U11" i="2"/>
  <c r="Z10" i="2"/>
  <c r="Y10" i="2"/>
  <c r="W10" i="2"/>
  <c r="U10" i="2"/>
  <c r="Z9" i="2"/>
  <c r="Y9" i="2"/>
  <c r="W9" i="2"/>
  <c r="U9" i="2"/>
  <c r="Z8" i="2"/>
  <c r="Y8" i="2"/>
  <c r="W8" i="2"/>
  <c r="U8" i="2"/>
  <c r="Z7" i="2"/>
  <c r="Y7" i="2"/>
  <c r="W7" i="2"/>
  <c r="U7" i="2"/>
  <c r="Z6" i="2"/>
  <c r="Y6" i="2"/>
  <c r="W6" i="2"/>
  <c r="U6" i="2"/>
  <c r="Z5" i="2"/>
  <c r="Y5" i="2"/>
  <c r="W5" i="2"/>
  <c r="U5" i="2"/>
  <c r="Z4" i="2"/>
  <c r="Y4" i="2"/>
  <c r="W4" i="2"/>
  <c r="U4" i="2"/>
  <c r="Z3" i="2"/>
  <c r="Y3" i="2"/>
  <c r="W3" i="2"/>
  <c r="U3" i="2"/>
  <c r="Z2" i="2"/>
  <c r="Y2" i="2"/>
  <c r="W2" i="2"/>
  <c r="U2" i="2"/>
  <c r="I502" i="2"/>
  <c r="V502" i="2" s="1"/>
  <c r="I501" i="2"/>
  <c r="V501" i="2" s="1"/>
  <c r="I500" i="2"/>
  <c r="V500" i="2" s="1"/>
  <c r="I499" i="2"/>
  <c r="V499" i="2" s="1"/>
  <c r="I498" i="2"/>
  <c r="V498" i="2" s="1"/>
  <c r="I497" i="2"/>
  <c r="V497" i="2" s="1"/>
  <c r="I496" i="2"/>
  <c r="V496" i="2" s="1"/>
  <c r="I495" i="2"/>
  <c r="V495" i="2" s="1"/>
  <c r="I494" i="2"/>
  <c r="V494" i="2" s="1"/>
  <c r="I493" i="2"/>
  <c r="V493" i="2" s="1"/>
  <c r="I492" i="2"/>
  <c r="V492" i="2" s="1"/>
  <c r="I491" i="2"/>
  <c r="V491" i="2" s="1"/>
  <c r="I490" i="2"/>
  <c r="V490" i="2" s="1"/>
  <c r="I489" i="2"/>
  <c r="V489" i="2" s="1"/>
  <c r="I488" i="2"/>
  <c r="V488" i="2" s="1"/>
  <c r="I487" i="2"/>
  <c r="V487" i="2" s="1"/>
  <c r="I486" i="2"/>
  <c r="V486" i="2" s="1"/>
  <c r="I485" i="2"/>
  <c r="V485" i="2" s="1"/>
  <c r="I484" i="2"/>
  <c r="V484" i="2" s="1"/>
  <c r="I483" i="2"/>
  <c r="V483" i="2" s="1"/>
  <c r="I482" i="2"/>
  <c r="V482" i="2" s="1"/>
  <c r="I480" i="2"/>
  <c r="V480" i="2" s="1"/>
  <c r="I479" i="2"/>
  <c r="V479" i="2" s="1"/>
  <c r="I478" i="2"/>
  <c r="V478" i="2" s="1"/>
  <c r="I477" i="2"/>
  <c r="V477" i="2" s="1"/>
  <c r="I476" i="2"/>
  <c r="V476" i="2" s="1"/>
  <c r="I475" i="2"/>
  <c r="V475" i="2" s="1"/>
  <c r="I474" i="2"/>
  <c r="V474" i="2" s="1"/>
  <c r="I473" i="2"/>
  <c r="V473" i="2" s="1"/>
  <c r="I472" i="2"/>
  <c r="V472" i="2" s="1"/>
  <c r="I471" i="2"/>
  <c r="V471" i="2" s="1"/>
  <c r="I470" i="2"/>
  <c r="V470" i="2" s="1"/>
  <c r="I469" i="2"/>
  <c r="V469" i="2" s="1"/>
  <c r="I468" i="2"/>
  <c r="V468" i="2" s="1"/>
  <c r="I467" i="2"/>
  <c r="V467" i="2" s="1"/>
  <c r="I466" i="2"/>
  <c r="V466" i="2" s="1"/>
  <c r="I465" i="2"/>
  <c r="V465" i="2" s="1"/>
  <c r="I464" i="2"/>
  <c r="V464" i="2" s="1"/>
  <c r="I463" i="2"/>
  <c r="V463" i="2" s="1"/>
  <c r="I462" i="2"/>
  <c r="V462" i="2" s="1"/>
  <c r="I461" i="2"/>
  <c r="V461" i="2" s="1"/>
  <c r="I460" i="2"/>
  <c r="V460" i="2" s="1"/>
  <c r="I459" i="2"/>
  <c r="V459" i="2" s="1"/>
  <c r="I458" i="2"/>
  <c r="V458" i="2" s="1"/>
  <c r="I457" i="2"/>
  <c r="V457" i="2" s="1"/>
  <c r="I456" i="2"/>
  <c r="V456" i="2" s="1"/>
  <c r="I455" i="2"/>
  <c r="V455" i="2" s="1"/>
  <c r="I454" i="2"/>
  <c r="V454" i="2" s="1"/>
  <c r="I453" i="2"/>
  <c r="V453" i="2" s="1"/>
  <c r="I452" i="2"/>
  <c r="V452" i="2" s="1"/>
  <c r="I451" i="2"/>
  <c r="V451" i="2" s="1"/>
  <c r="I450" i="2"/>
  <c r="V450" i="2" s="1"/>
  <c r="I449" i="2"/>
  <c r="V449" i="2" s="1"/>
  <c r="I448" i="2"/>
  <c r="V448" i="2" s="1"/>
  <c r="I447" i="2"/>
  <c r="V447" i="2" s="1"/>
  <c r="I446" i="2"/>
  <c r="V446" i="2" s="1"/>
  <c r="I445" i="2"/>
  <c r="V445" i="2" s="1"/>
  <c r="I444" i="2"/>
  <c r="V444" i="2" s="1"/>
  <c r="I443" i="2"/>
  <c r="V443" i="2" s="1"/>
  <c r="I442" i="2"/>
  <c r="V442" i="2" s="1"/>
  <c r="I441" i="2"/>
  <c r="V441" i="2" s="1"/>
  <c r="I440" i="2"/>
  <c r="V440" i="2" s="1"/>
  <c r="I439" i="2"/>
  <c r="V439" i="2" s="1"/>
  <c r="I438" i="2"/>
  <c r="V438" i="2" s="1"/>
  <c r="I437" i="2"/>
  <c r="V437" i="2" s="1"/>
  <c r="I436" i="2"/>
  <c r="V436" i="2" s="1"/>
  <c r="I435" i="2"/>
  <c r="V435" i="2" s="1"/>
  <c r="I434" i="2"/>
  <c r="V434" i="2" s="1"/>
  <c r="I433" i="2"/>
  <c r="V433" i="2" s="1"/>
  <c r="I432" i="2"/>
  <c r="V432" i="2" s="1"/>
  <c r="I431" i="2"/>
  <c r="V431" i="2" s="1"/>
  <c r="I430" i="2"/>
  <c r="V430" i="2" s="1"/>
  <c r="I429" i="2"/>
  <c r="V429" i="2" s="1"/>
  <c r="I428" i="2"/>
  <c r="V428" i="2" s="1"/>
  <c r="I427" i="2"/>
  <c r="V427" i="2" s="1"/>
  <c r="I425" i="2"/>
  <c r="V425" i="2" s="1"/>
  <c r="I424" i="2"/>
  <c r="V424" i="2" s="1"/>
  <c r="I421" i="2"/>
  <c r="V421" i="2" s="1"/>
  <c r="I420" i="2"/>
  <c r="V420" i="2" s="1"/>
  <c r="I419" i="2"/>
  <c r="V419" i="2" s="1"/>
  <c r="I418" i="2"/>
  <c r="V418" i="2" s="1"/>
  <c r="I417" i="2"/>
  <c r="V417" i="2" s="1"/>
  <c r="I416" i="2"/>
  <c r="V416" i="2" s="1"/>
  <c r="I415" i="2"/>
  <c r="V415" i="2" s="1"/>
  <c r="I414" i="2"/>
  <c r="V414" i="2" s="1"/>
  <c r="I413" i="2"/>
  <c r="V413" i="2" s="1"/>
  <c r="I412" i="2"/>
  <c r="V412" i="2" s="1"/>
  <c r="I411" i="2"/>
  <c r="V411" i="2" s="1"/>
  <c r="I410" i="2"/>
  <c r="V410" i="2" s="1"/>
  <c r="I409" i="2"/>
  <c r="V409" i="2" s="1"/>
  <c r="I408" i="2"/>
  <c r="V408" i="2" s="1"/>
  <c r="I407" i="2"/>
  <c r="V407" i="2" s="1"/>
  <c r="I406" i="2"/>
  <c r="V406" i="2" s="1"/>
  <c r="I405" i="2"/>
  <c r="V405" i="2" s="1"/>
  <c r="I404" i="2"/>
  <c r="V404" i="2" s="1"/>
  <c r="I403" i="2"/>
  <c r="V403" i="2" s="1"/>
  <c r="I402" i="2"/>
  <c r="V402" i="2" s="1"/>
  <c r="I401" i="2"/>
  <c r="V401" i="2" s="1"/>
  <c r="I400" i="2"/>
  <c r="V400" i="2" s="1"/>
  <c r="I399" i="2"/>
  <c r="V399" i="2" s="1"/>
  <c r="I398" i="2"/>
  <c r="V398" i="2" s="1"/>
  <c r="I397" i="2"/>
  <c r="V397" i="2" s="1"/>
  <c r="I396" i="2"/>
  <c r="V396" i="2" s="1"/>
  <c r="I395" i="2"/>
  <c r="V395" i="2" s="1"/>
  <c r="I394" i="2"/>
  <c r="V394" i="2" s="1"/>
  <c r="I393" i="2"/>
  <c r="V393" i="2" s="1"/>
  <c r="I392" i="2"/>
  <c r="V392" i="2" s="1"/>
  <c r="I391" i="2"/>
  <c r="V391" i="2" s="1"/>
  <c r="I390" i="2"/>
  <c r="V390" i="2" s="1"/>
  <c r="I389" i="2"/>
  <c r="V389" i="2" s="1"/>
  <c r="I388" i="2"/>
  <c r="V388" i="2" s="1"/>
  <c r="I387" i="2"/>
  <c r="V387" i="2" s="1"/>
  <c r="I386" i="2"/>
  <c r="V386" i="2" s="1"/>
  <c r="I385" i="2"/>
  <c r="V385" i="2" s="1"/>
  <c r="I384" i="2"/>
  <c r="V384" i="2" s="1"/>
  <c r="I383" i="2"/>
  <c r="V383" i="2" s="1"/>
  <c r="I382" i="2"/>
  <c r="V382" i="2" s="1"/>
  <c r="I381" i="2"/>
  <c r="V381" i="2" s="1"/>
  <c r="I380" i="2"/>
  <c r="V380" i="2" s="1"/>
  <c r="I379" i="2"/>
  <c r="V379" i="2" s="1"/>
  <c r="I378" i="2"/>
  <c r="V378" i="2" s="1"/>
  <c r="I377" i="2"/>
  <c r="V377" i="2" s="1"/>
  <c r="I376" i="2"/>
  <c r="V376" i="2" s="1"/>
  <c r="I375" i="2"/>
  <c r="V375" i="2" s="1"/>
  <c r="I374" i="2"/>
  <c r="V374" i="2" s="1"/>
  <c r="I373" i="2"/>
  <c r="V373" i="2" s="1"/>
  <c r="I372" i="2"/>
  <c r="V372" i="2" s="1"/>
  <c r="I371" i="2"/>
  <c r="V371" i="2" s="1"/>
  <c r="I370" i="2"/>
  <c r="V370" i="2" s="1"/>
  <c r="I369" i="2"/>
  <c r="V369" i="2" s="1"/>
  <c r="I368" i="2"/>
  <c r="V368" i="2" s="1"/>
  <c r="I367" i="2"/>
  <c r="V367" i="2" s="1"/>
  <c r="I366" i="2"/>
  <c r="V366" i="2" s="1"/>
  <c r="I365" i="2"/>
  <c r="V365" i="2" s="1"/>
  <c r="I364" i="2"/>
  <c r="V364" i="2" s="1"/>
  <c r="I363" i="2"/>
  <c r="V363" i="2" s="1"/>
  <c r="I362" i="2"/>
  <c r="V362" i="2" s="1"/>
  <c r="I361" i="2"/>
  <c r="V361" i="2" s="1"/>
  <c r="I360" i="2"/>
  <c r="V360" i="2" s="1"/>
  <c r="I359" i="2"/>
  <c r="V359" i="2" s="1"/>
  <c r="I358" i="2"/>
  <c r="V358" i="2" s="1"/>
  <c r="I357" i="2"/>
  <c r="V357" i="2" s="1"/>
  <c r="I356" i="2"/>
  <c r="V356" i="2" s="1"/>
  <c r="I355" i="2"/>
  <c r="V355" i="2" s="1"/>
  <c r="I354" i="2"/>
  <c r="V354" i="2" s="1"/>
  <c r="I353" i="2"/>
  <c r="V353" i="2" s="1"/>
  <c r="I352" i="2"/>
  <c r="V352" i="2" s="1"/>
  <c r="I351" i="2"/>
  <c r="V351" i="2" s="1"/>
  <c r="I350" i="2"/>
  <c r="V350" i="2" s="1"/>
  <c r="I349" i="2"/>
  <c r="V349" i="2" s="1"/>
  <c r="I348" i="2"/>
  <c r="V348" i="2" s="1"/>
  <c r="I347" i="2"/>
  <c r="V347" i="2" s="1"/>
  <c r="I346" i="2"/>
  <c r="V346" i="2" s="1"/>
  <c r="I345" i="2"/>
  <c r="V345" i="2" s="1"/>
  <c r="I344" i="2"/>
  <c r="V344" i="2" s="1"/>
  <c r="I343" i="2"/>
  <c r="V343" i="2" s="1"/>
  <c r="I342" i="2"/>
  <c r="V342" i="2" s="1"/>
  <c r="I341" i="2"/>
  <c r="V341" i="2" s="1"/>
  <c r="I339" i="2"/>
  <c r="V339" i="2" s="1"/>
  <c r="I338" i="2"/>
  <c r="V338" i="2" s="1"/>
  <c r="I337" i="2"/>
  <c r="V337" i="2" s="1"/>
  <c r="I336" i="2"/>
  <c r="V336" i="2" s="1"/>
  <c r="I335" i="2"/>
  <c r="V335" i="2" s="1"/>
  <c r="I334" i="2"/>
  <c r="V334" i="2" s="1"/>
  <c r="I333" i="2"/>
  <c r="V333" i="2" s="1"/>
  <c r="I332" i="2"/>
  <c r="V332" i="2" s="1"/>
  <c r="I331" i="2"/>
  <c r="V331" i="2" s="1"/>
  <c r="I330" i="2"/>
  <c r="V330" i="2" s="1"/>
  <c r="I329" i="2"/>
  <c r="V329" i="2" s="1"/>
  <c r="I328" i="2"/>
  <c r="V328" i="2" s="1"/>
  <c r="I327" i="2"/>
  <c r="V327" i="2" s="1"/>
  <c r="I326" i="2"/>
  <c r="V326" i="2" s="1"/>
  <c r="I325" i="2"/>
  <c r="V325" i="2" s="1"/>
  <c r="I324" i="2"/>
  <c r="V324" i="2" s="1"/>
  <c r="I323" i="2"/>
  <c r="V323" i="2" s="1"/>
  <c r="I322" i="2"/>
  <c r="V322" i="2" s="1"/>
  <c r="I321" i="2"/>
  <c r="V321" i="2" s="1"/>
  <c r="I320" i="2"/>
  <c r="V320" i="2" s="1"/>
  <c r="I319" i="2"/>
  <c r="V319" i="2" s="1"/>
  <c r="I318" i="2"/>
  <c r="V318" i="2" s="1"/>
  <c r="I317" i="2"/>
  <c r="V317" i="2" s="1"/>
  <c r="I316" i="2"/>
  <c r="V316" i="2" s="1"/>
  <c r="I315" i="2"/>
  <c r="V315" i="2" s="1"/>
  <c r="I314" i="2"/>
  <c r="V314" i="2" s="1"/>
  <c r="I313" i="2"/>
  <c r="V313" i="2" s="1"/>
  <c r="I312" i="2"/>
  <c r="V312" i="2" s="1"/>
  <c r="I311" i="2"/>
  <c r="V311" i="2" s="1"/>
  <c r="I310" i="2"/>
  <c r="V310" i="2" s="1"/>
  <c r="I309" i="2"/>
  <c r="V309" i="2" s="1"/>
  <c r="I308" i="2"/>
  <c r="V308" i="2" s="1"/>
  <c r="I307" i="2"/>
  <c r="V307" i="2" s="1"/>
  <c r="I306" i="2"/>
  <c r="V306" i="2" s="1"/>
  <c r="I305" i="2"/>
  <c r="V305" i="2" s="1"/>
  <c r="I304" i="2"/>
  <c r="V304" i="2" s="1"/>
  <c r="I303" i="2"/>
  <c r="V303" i="2" s="1"/>
  <c r="I302" i="2"/>
  <c r="V302" i="2" s="1"/>
  <c r="I301" i="2"/>
  <c r="V301" i="2" s="1"/>
  <c r="I300" i="2"/>
  <c r="V300" i="2" s="1"/>
  <c r="I299" i="2"/>
  <c r="V299" i="2" s="1"/>
  <c r="I298" i="2"/>
  <c r="V298" i="2" s="1"/>
  <c r="I297" i="2"/>
  <c r="V297" i="2" s="1"/>
  <c r="I296" i="2"/>
  <c r="V296" i="2" s="1"/>
  <c r="I295" i="2"/>
  <c r="V295" i="2" s="1"/>
  <c r="I294" i="2"/>
  <c r="V294" i="2" s="1"/>
  <c r="I293" i="2"/>
  <c r="V293" i="2" s="1"/>
  <c r="I292" i="2"/>
  <c r="V292" i="2" s="1"/>
  <c r="I291" i="2"/>
  <c r="V291" i="2" s="1"/>
  <c r="I290" i="2"/>
  <c r="V290" i="2" s="1"/>
  <c r="I289" i="2"/>
  <c r="V289" i="2" s="1"/>
  <c r="I288" i="2"/>
  <c r="V288" i="2" s="1"/>
  <c r="I287" i="2"/>
  <c r="V287" i="2" s="1"/>
  <c r="I286" i="2"/>
  <c r="V286" i="2" s="1"/>
  <c r="I285" i="2"/>
  <c r="V285" i="2" s="1"/>
  <c r="I284" i="2"/>
  <c r="V284" i="2" s="1"/>
  <c r="I283" i="2"/>
  <c r="V283" i="2" s="1"/>
  <c r="I282" i="2"/>
  <c r="V282" i="2" s="1"/>
  <c r="I281" i="2"/>
  <c r="V281" i="2" s="1"/>
  <c r="I280" i="2"/>
  <c r="V280" i="2" s="1"/>
  <c r="I279" i="2"/>
  <c r="V279" i="2" s="1"/>
  <c r="I278" i="2"/>
  <c r="V278" i="2" s="1"/>
  <c r="I277" i="2"/>
  <c r="V277" i="2" s="1"/>
  <c r="I276" i="2"/>
  <c r="V276" i="2" s="1"/>
  <c r="I275" i="2"/>
  <c r="V275" i="2" s="1"/>
  <c r="I274" i="2"/>
  <c r="V274" i="2" s="1"/>
  <c r="I273" i="2"/>
  <c r="V273" i="2" s="1"/>
  <c r="I272" i="2"/>
  <c r="V272" i="2" s="1"/>
  <c r="I271" i="2"/>
  <c r="V271" i="2" s="1"/>
  <c r="I270" i="2"/>
  <c r="V270" i="2" s="1"/>
  <c r="I269" i="2"/>
  <c r="V269" i="2" s="1"/>
  <c r="I268" i="2"/>
  <c r="V268" i="2" s="1"/>
  <c r="I267" i="2"/>
  <c r="V267" i="2" s="1"/>
  <c r="I266" i="2"/>
  <c r="V266" i="2" s="1"/>
  <c r="I265" i="2"/>
  <c r="V265" i="2" s="1"/>
  <c r="I264" i="2"/>
  <c r="V264" i="2" s="1"/>
  <c r="I263" i="2"/>
  <c r="V263" i="2" s="1"/>
  <c r="I262" i="2"/>
  <c r="V262" i="2" s="1"/>
  <c r="I261" i="2"/>
  <c r="V261" i="2" s="1"/>
  <c r="I260" i="2"/>
  <c r="V260" i="2" s="1"/>
  <c r="I259" i="2"/>
  <c r="V259" i="2" s="1"/>
  <c r="I258" i="2"/>
  <c r="V258" i="2" s="1"/>
  <c r="I257" i="2"/>
  <c r="V257" i="2" s="1"/>
  <c r="I256" i="2"/>
  <c r="V256" i="2" s="1"/>
  <c r="I255" i="2"/>
  <c r="V255" i="2" s="1"/>
  <c r="I254" i="2"/>
  <c r="V254" i="2" s="1"/>
  <c r="I253" i="2"/>
  <c r="V253" i="2" s="1"/>
  <c r="I252" i="2"/>
  <c r="V252" i="2" s="1"/>
  <c r="I251" i="2"/>
  <c r="V251" i="2" s="1"/>
  <c r="I250" i="2"/>
  <c r="V250" i="2" s="1"/>
  <c r="I249" i="2"/>
  <c r="V249" i="2" s="1"/>
  <c r="I248" i="2"/>
  <c r="V248" i="2" s="1"/>
  <c r="I247" i="2"/>
  <c r="V247" i="2" s="1"/>
  <c r="I246" i="2"/>
  <c r="V246" i="2" s="1"/>
  <c r="I245" i="2"/>
  <c r="V245" i="2" s="1"/>
  <c r="I244" i="2"/>
  <c r="V244" i="2" s="1"/>
  <c r="I243" i="2"/>
  <c r="V243" i="2" s="1"/>
  <c r="I242" i="2"/>
  <c r="V242" i="2" s="1"/>
  <c r="I241" i="2"/>
  <c r="V241" i="2" s="1"/>
  <c r="I240" i="2"/>
  <c r="V240" i="2" s="1"/>
  <c r="I239" i="2"/>
  <c r="V239" i="2" s="1"/>
  <c r="I238" i="2"/>
  <c r="V238" i="2" s="1"/>
  <c r="I237" i="2"/>
  <c r="V237" i="2" s="1"/>
  <c r="I236" i="2"/>
  <c r="V236" i="2" s="1"/>
  <c r="I235" i="2"/>
  <c r="V235" i="2" s="1"/>
  <c r="I234" i="2"/>
  <c r="V234" i="2" s="1"/>
  <c r="I233" i="2"/>
  <c r="V233" i="2" s="1"/>
  <c r="I232" i="2"/>
  <c r="V232" i="2" s="1"/>
  <c r="I231" i="2"/>
  <c r="V231" i="2" s="1"/>
  <c r="I230" i="2"/>
  <c r="V230" i="2" s="1"/>
  <c r="I229" i="2"/>
  <c r="V229" i="2" s="1"/>
  <c r="I228" i="2"/>
  <c r="V228" i="2" s="1"/>
  <c r="I227" i="2"/>
  <c r="V227" i="2" s="1"/>
  <c r="I226" i="2"/>
  <c r="V226" i="2" s="1"/>
  <c r="I225" i="2"/>
  <c r="V225" i="2" s="1"/>
  <c r="I224" i="2"/>
  <c r="V224" i="2" s="1"/>
  <c r="I223" i="2"/>
  <c r="V223" i="2" s="1"/>
  <c r="I222" i="2"/>
  <c r="V222" i="2" s="1"/>
  <c r="I221" i="2"/>
  <c r="V221" i="2" s="1"/>
  <c r="I220" i="2"/>
  <c r="V220" i="2" s="1"/>
  <c r="I219" i="2"/>
  <c r="V219" i="2" s="1"/>
  <c r="I218" i="2"/>
  <c r="V218" i="2" s="1"/>
  <c r="I217" i="2"/>
  <c r="V217" i="2" s="1"/>
  <c r="I216" i="2"/>
  <c r="V216" i="2" s="1"/>
  <c r="I215" i="2"/>
  <c r="V215" i="2" s="1"/>
  <c r="I214" i="2"/>
  <c r="V214" i="2" s="1"/>
  <c r="I213" i="2"/>
  <c r="V213" i="2" s="1"/>
  <c r="I212" i="2"/>
  <c r="V212" i="2" s="1"/>
  <c r="I211" i="2"/>
  <c r="V211" i="2" s="1"/>
  <c r="I210" i="2"/>
  <c r="V210" i="2" s="1"/>
  <c r="I209" i="2"/>
  <c r="V209" i="2" s="1"/>
  <c r="I208" i="2"/>
  <c r="V208" i="2" s="1"/>
  <c r="I207" i="2"/>
  <c r="V207" i="2" s="1"/>
  <c r="I206" i="2"/>
  <c r="V206" i="2" s="1"/>
  <c r="I205" i="2"/>
  <c r="V205" i="2" s="1"/>
  <c r="I204" i="2"/>
  <c r="V204" i="2" s="1"/>
  <c r="I203" i="2"/>
  <c r="V203" i="2" s="1"/>
  <c r="I202" i="2"/>
  <c r="V202" i="2" s="1"/>
  <c r="I201" i="2"/>
  <c r="V201" i="2" s="1"/>
  <c r="I200" i="2"/>
  <c r="V200" i="2" s="1"/>
  <c r="I199" i="2"/>
  <c r="V199" i="2" s="1"/>
  <c r="I198" i="2"/>
  <c r="V198" i="2" s="1"/>
  <c r="I197" i="2"/>
  <c r="V197" i="2" s="1"/>
  <c r="I196" i="2"/>
  <c r="V196" i="2" s="1"/>
  <c r="I195" i="2"/>
  <c r="V195" i="2" s="1"/>
  <c r="I194" i="2"/>
  <c r="V194" i="2" s="1"/>
  <c r="I193" i="2"/>
  <c r="V193" i="2" s="1"/>
  <c r="I192" i="2"/>
  <c r="V192" i="2" s="1"/>
  <c r="I191" i="2"/>
  <c r="V191" i="2" s="1"/>
  <c r="I190" i="2"/>
  <c r="V190" i="2" s="1"/>
  <c r="I189" i="2"/>
  <c r="V189" i="2" s="1"/>
  <c r="I188" i="2"/>
  <c r="V188" i="2" s="1"/>
  <c r="I187" i="2"/>
  <c r="V187" i="2" s="1"/>
  <c r="I186" i="2"/>
  <c r="V186" i="2" s="1"/>
  <c r="I185" i="2"/>
  <c r="V185" i="2" s="1"/>
  <c r="I184" i="2"/>
  <c r="V184" i="2" s="1"/>
  <c r="I183" i="2"/>
  <c r="V183" i="2" s="1"/>
  <c r="I182" i="2"/>
  <c r="V182" i="2" s="1"/>
  <c r="I181" i="2"/>
  <c r="V181" i="2" s="1"/>
  <c r="I180" i="2"/>
  <c r="V180" i="2" s="1"/>
  <c r="I179" i="2"/>
  <c r="V179" i="2" s="1"/>
  <c r="I178" i="2"/>
  <c r="V178" i="2" s="1"/>
  <c r="I177" i="2"/>
  <c r="V177" i="2" s="1"/>
  <c r="I176" i="2"/>
  <c r="V176" i="2" s="1"/>
  <c r="I175" i="2"/>
  <c r="V175" i="2" s="1"/>
  <c r="I174" i="2"/>
  <c r="V174" i="2" s="1"/>
  <c r="I173" i="2"/>
  <c r="V173" i="2" s="1"/>
  <c r="I172" i="2"/>
  <c r="V172" i="2" s="1"/>
  <c r="I171" i="2"/>
  <c r="V171" i="2" s="1"/>
  <c r="I170" i="2"/>
  <c r="V170" i="2" s="1"/>
  <c r="I169" i="2"/>
  <c r="V169" i="2" s="1"/>
  <c r="I168" i="2"/>
  <c r="V168" i="2" s="1"/>
  <c r="I167" i="2"/>
  <c r="V167" i="2" s="1"/>
  <c r="I166" i="2"/>
  <c r="V166" i="2" s="1"/>
  <c r="I165" i="2"/>
  <c r="V165" i="2" s="1"/>
  <c r="I164" i="2"/>
  <c r="V164" i="2" s="1"/>
  <c r="I163" i="2"/>
  <c r="V163" i="2" s="1"/>
  <c r="I162" i="2"/>
  <c r="V162" i="2" s="1"/>
  <c r="I161" i="2"/>
  <c r="V161" i="2" s="1"/>
  <c r="I160" i="2"/>
  <c r="V160" i="2" s="1"/>
  <c r="I159" i="2"/>
  <c r="V159" i="2" s="1"/>
  <c r="I158" i="2"/>
  <c r="V158" i="2" s="1"/>
  <c r="I157" i="2"/>
  <c r="V157" i="2" s="1"/>
  <c r="I156" i="2"/>
  <c r="V156" i="2" s="1"/>
  <c r="I155" i="2"/>
  <c r="V155" i="2" s="1"/>
  <c r="I154" i="2"/>
  <c r="V154" i="2" s="1"/>
  <c r="I153" i="2"/>
  <c r="V153" i="2" s="1"/>
  <c r="I152" i="2"/>
  <c r="V152" i="2" s="1"/>
  <c r="I151" i="2"/>
  <c r="V151" i="2" s="1"/>
  <c r="I150" i="2"/>
  <c r="V150" i="2" s="1"/>
  <c r="I149" i="2"/>
  <c r="V149" i="2" s="1"/>
  <c r="I148" i="2"/>
  <c r="V148" i="2" s="1"/>
  <c r="I147" i="2"/>
  <c r="V147" i="2" s="1"/>
  <c r="I146" i="2"/>
  <c r="V146" i="2" s="1"/>
  <c r="I145" i="2"/>
  <c r="V145" i="2" s="1"/>
  <c r="I144" i="2"/>
  <c r="V144" i="2" s="1"/>
  <c r="I143" i="2"/>
  <c r="V143" i="2" s="1"/>
  <c r="I142" i="2"/>
  <c r="V142" i="2" s="1"/>
  <c r="I141" i="2"/>
  <c r="V141" i="2" s="1"/>
  <c r="I140" i="2"/>
  <c r="V140" i="2" s="1"/>
  <c r="I139" i="2"/>
  <c r="V139" i="2" s="1"/>
  <c r="I138" i="2"/>
  <c r="V138" i="2" s="1"/>
  <c r="I137" i="2"/>
  <c r="V137" i="2" s="1"/>
  <c r="I136" i="2"/>
  <c r="V136" i="2" s="1"/>
  <c r="I135" i="2"/>
  <c r="V135" i="2" s="1"/>
  <c r="I134" i="2"/>
  <c r="V134" i="2" s="1"/>
  <c r="I133" i="2"/>
  <c r="V133" i="2" s="1"/>
  <c r="I132" i="2"/>
  <c r="V132" i="2" s="1"/>
  <c r="I131" i="2"/>
  <c r="V131" i="2" s="1"/>
  <c r="I130" i="2"/>
  <c r="V130" i="2" s="1"/>
  <c r="I129" i="2"/>
  <c r="V129" i="2" s="1"/>
  <c r="I128" i="2"/>
  <c r="V128" i="2" s="1"/>
  <c r="I127" i="2"/>
  <c r="V127" i="2" s="1"/>
  <c r="I126" i="2"/>
  <c r="V126" i="2" s="1"/>
  <c r="I125" i="2"/>
  <c r="V125" i="2" s="1"/>
  <c r="I124" i="2"/>
  <c r="V124" i="2" s="1"/>
  <c r="I123" i="2"/>
  <c r="V123" i="2" s="1"/>
  <c r="I122" i="2"/>
  <c r="V122" i="2" s="1"/>
  <c r="I121" i="2"/>
  <c r="V121" i="2" s="1"/>
  <c r="I120" i="2"/>
  <c r="V120" i="2" s="1"/>
  <c r="I119" i="2"/>
  <c r="V119" i="2" s="1"/>
  <c r="I118" i="2"/>
  <c r="V118" i="2" s="1"/>
  <c r="I117" i="2"/>
  <c r="V117" i="2" s="1"/>
  <c r="I116" i="2"/>
  <c r="V116" i="2" s="1"/>
  <c r="I115" i="2"/>
  <c r="V115" i="2" s="1"/>
  <c r="I114" i="2"/>
  <c r="V114" i="2" s="1"/>
  <c r="I113" i="2"/>
  <c r="V113" i="2" s="1"/>
  <c r="I112" i="2"/>
  <c r="V112" i="2" s="1"/>
  <c r="I111" i="2"/>
  <c r="V111" i="2" s="1"/>
  <c r="I110" i="2"/>
  <c r="V110" i="2" s="1"/>
  <c r="I109" i="2"/>
  <c r="V109" i="2" s="1"/>
  <c r="I108" i="2"/>
  <c r="V108" i="2" s="1"/>
  <c r="I107" i="2"/>
  <c r="V107" i="2" s="1"/>
  <c r="I106" i="2"/>
  <c r="V106" i="2" s="1"/>
  <c r="I105" i="2"/>
  <c r="V105" i="2" s="1"/>
  <c r="I104" i="2"/>
  <c r="V104" i="2" s="1"/>
  <c r="I103" i="2"/>
  <c r="V103" i="2" s="1"/>
  <c r="I102" i="2"/>
  <c r="V102" i="2" s="1"/>
  <c r="I101" i="2"/>
  <c r="V101" i="2" s="1"/>
  <c r="I100" i="2"/>
  <c r="V100" i="2" s="1"/>
  <c r="I99" i="2"/>
  <c r="V99" i="2" s="1"/>
  <c r="I98" i="2"/>
  <c r="V98" i="2" s="1"/>
  <c r="I97" i="2"/>
  <c r="V97" i="2" s="1"/>
  <c r="I96" i="2"/>
  <c r="V96" i="2" s="1"/>
  <c r="I95" i="2"/>
  <c r="V95" i="2" s="1"/>
  <c r="I94" i="2"/>
  <c r="V94" i="2" s="1"/>
  <c r="I93" i="2"/>
  <c r="V93" i="2" s="1"/>
  <c r="I92" i="2"/>
  <c r="V92" i="2" s="1"/>
  <c r="I91" i="2"/>
  <c r="V91" i="2" s="1"/>
  <c r="I90" i="2"/>
  <c r="V90" i="2" s="1"/>
  <c r="I89" i="2"/>
  <c r="V89" i="2" s="1"/>
  <c r="I88" i="2"/>
  <c r="V88" i="2" s="1"/>
  <c r="I87" i="2"/>
  <c r="V87" i="2" s="1"/>
  <c r="I86" i="2"/>
  <c r="V86" i="2" s="1"/>
  <c r="I85" i="2"/>
  <c r="V85" i="2" s="1"/>
  <c r="I84" i="2"/>
  <c r="V84" i="2" s="1"/>
  <c r="I83" i="2"/>
  <c r="V83" i="2" s="1"/>
  <c r="I82" i="2"/>
  <c r="V82" i="2" s="1"/>
  <c r="I81" i="2"/>
  <c r="V81" i="2" s="1"/>
  <c r="I80" i="2"/>
  <c r="V80" i="2" s="1"/>
  <c r="I79" i="2"/>
  <c r="V79" i="2" s="1"/>
  <c r="I78" i="2"/>
  <c r="V78" i="2" s="1"/>
  <c r="I77" i="2"/>
  <c r="V77" i="2" s="1"/>
  <c r="I76" i="2"/>
  <c r="V76" i="2" s="1"/>
  <c r="I75" i="2"/>
  <c r="V75" i="2" s="1"/>
  <c r="I74" i="2"/>
  <c r="V74" i="2" s="1"/>
  <c r="I73" i="2"/>
  <c r="V73" i="2" s="1"/>
  <c r="I72" i="2"/>
  <c r="V72" i="2" s="1"/>
  <c r="I71" i="2"/>
  <c r="V71" i="2" s="1"/>
  <c r="I70" i="2"/>
  <c r="V70" i="2" s="1"/>
  <c r="I69" i="2"/>
  <c r="V69" i="2" s="1"/>
  <c r="I68" i="2"/>
  <c r="V68" i="2" s="1"/>
  <c r="I67" i="2"/>
  <c r="V67" i="2" s="1"/>
  <c r="I66" i="2"/>
  <c r="V66" i="2" s="1"/>
  <c r="I65" i="2"/>
  <c r="V65" i="2" s="1"/>
  <c r="I64" i="2"/>
  <c r="V64" i="2" s="1"/>
  <c r="I63" i="2"/>
  <c r="V63" i="2" s="1"/>
  <c r="I62" i="2"/>
  <c r="V62" i="2" s="1"/>
  <c r="I61" i="2"/>
  <c r="V61" i="2" s="1"/>
  <c r="I60" i="2"/>
  <c r="V60" i="2" s="1"/>
  <c r="I59" i="2"/>
  <c r="V59" i="2" s="1"/>
  <c r="I58" i="2"/>
  <c r="V58" i="2" s="1"/>
  <c r="I57" i="2"/>
  <c r="V57" i="2" s="1"/>
  <c r="I56" i="2"/>
  <c r="V56" i="2" s="1"/>
  <c r="I55" i="2"/>
  <c r="V55" i="2" s="1"/>
  <c r="I54" i="2"/>
  <c r="V54" i="2" s="1"/>
  <c r="I53" i="2"/>
  <c r="V53" i="2" s="1"/>
  <c r="I52" i="2"/>
  <c r="V52" i="2" s="1"/>
  <c r="I51" i="2"/>
  <c r="V51" i="2" s="1"/>
  <c r="I50" i="2"/>
  <c r="V50" i="2" s="1"/>
  <c r="I49" i="2"/>
  <c r="V49" i="2" s="1"/>
  <c r="I48" i="2"/>
  <c r="V48" i="2" s="1"/>
  <c r="I47" i="2"/>
  <c r="V47" i="2" s="1"/>
  <c r="I46" i="2"/>
  <c r="V46" i="2" s="1"/>
  <c r="I45" i="2"/>
  <c r="V45" i="2" s="1"/>
  <c r="I44" i="2"/>
  <c r="V44" i="2" s="1"/>
  <c r="I43" i="2"/>
  <c r="V43" i="2" s="1"/>
  <c r="I42" i="2"/>
  <c r="V42" i="2" s="1"/>
  <c r="I41" i="2"/>
  <c r="V41" i="2" s="1"/>
  <c r="I40" i="2"/>
  <c r="V40" i="2" s="1"/>
  <c r="I39" i="2"/>
  <c r="V39" i="2" s="1"/>
  <c r="I38" i="2"/>
  <c r="V38" i="2" s="1"/>
  <c r="I37" i="2"/>
  <c r="V37" i="2" s="1"/>
  <c r="I36" i="2"/>
  <c r="V36" i="2" s="1"/>
  <c r="I35" i="2"/>
  <c r="V35" i="2" s="1"/>
  <c r="I34" i="2"/>
  <c r="V34" i="2" s="1"/>
  <c r="I33" i="2"/>
  <c r="V33" i="2" s="1"/>
  <c r="I32" i="2"/>
  <c r="V32" i="2" s="1"/>
  <c r="I31" i="2"/>
  <c r="V31" i="2" s="1"/>
  <c r="I30" i="2"/>
  <c r="V30" i="2" s="1"/>
  <c r="I29" i="2"/>
  <c r="V29" i="2" s="1"/>
  <c r="I28" i="2"/>
  <c r="V28" i="2" s="1"/>
  <c r="I27" i="2"/>
  <c r="V27" i="2" s="1"/>
  <c r="I26" i="2"/>
  <c r="V26" i="2" s="1"/>
  <c r="I25" i="2"/>
  <c r="V25" i="2" s="1"/>
  <c r="I24" i="2"/>
  <c r="V24" i="2" s="1"/>
  <c r="I23" i="2"/>
  <c r="V23" i="2" s="1"/>
  <c r="I22" i="2"/>
  <c r="V22" i="2" s="1"/>
  <c r="I21" i="2"/>
  <c r="V21" i="2" s="1"/>
  <c r="I20" i="2"/>
  <c r="V20" i="2" s="1"/>
  <c r="I19" i="2"/>
  <c r="V19" i="2" s="1"/>
  <c r="I17" i="2"/>
  <c r="V17" i="2" s="1"/>
  <c r="I16" i="2"/>
  <c r="V16" i="2" s="1"/>
  <c r="I15" i="2"/>
  <c r="V15" i="2" s="1"/>
  <c r="I14" i="2"/>
  <c r="V14" i="2" s="1"/>
  <c r="I13" i="2"/>
  <c r="V13" i="2" s="1"/>
  <c r="I12" i="2"/>
  <c r="V12" i="2" s="1"/>
  <c r="I11" i="2"/>
  <c r="V11" i="2" s="1"/>
  <c r="I10" i="2"/>
  <c r="V10" i="2" s="1"/>
  <c r="I9" i="2"/>
  <c r="V9" i="2" s="1"/>
  <c r="I8" i="2"/>
  <c r="V8" i="2" s="1"/>
  <c r="I7" i="2"/>
  <c r="V7" i="2" s="1"/>
  <c r="I6" i="2"/>
  <c r="V6" i="2" s="1"/>
  <c r="I5" i="2"/>
  <c r="V5" i="2" s="1"/>
  <c r="I4" i="2"/>
  <c r="V4" i="2" s="1"/>
  <c r="I3" i="2"/>
  <c r="V3" i="2" s="1"/>
  <c r="I2" i="2"/>
  <c r="V2" i="2" s="1"/>
  <c r="M5"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10" i="1"/>
  <c r="M411" i="1"/>
  <c r="M412" i="1"/>
  <c r="M413" i="1"/>
  <c r="M414" i="1"/>
  <c r="M415" i="1"/>
  <c r="M416" i="1"/>
  <c r="M417" i="1"/>
  <c r="M418" i="1"/>
  <c r="M419" i="1"/>
  <c r="M420" i="1"/>
  <c r="M421" i="1"/>
  <c r="M422" i="1"/>
  <c r="M423" i="1"/>
  <c r="M424" i="1"/>
  <c r="M425" i="1"/>
  <c r="M426" i="1"/>
  <c r="M427" i="1"/>
  <c r="M428" i="1"/>
  <c r="M429" i="1"/>
  <c r="M430" i="1"/>
  <c r="M431" i="1"/>
  <c r="M432" i="1"/>
  <c r="M433" i="1"/>
  <c r="M434" i="1"/>
  <c r="M435" i="1"/>
  <c r="M436" i="1"/>
  <c r="M437" i="1"/>
  <c r="M438" i="1"/>
  <c r="M439" i="1"/>
  <c r="M440" i="1"/>
  <c r="M441" i="1"/>
  <c r="M442" i="1"/>
  <c r="M443" i="1"/>
  <c r="M444" i="1"/>
  <c r="M445" i="1"/>
  <c r="M446" i="1"/>
  <c r="M448" i="1"/>
  <c r="M449" i="1"/>
  <c r="M450" i="1"/>
  <c r="M451" i="1"/>
  <c r="M452" i="1"/>
  <c r="M453" i="1"/>
  <c r="M454" i="1"/>
  <c r="M455" i="1"/>
  <c r="M456" i="1"/>
  <c r="M457" i="1"/>
  <c r="M458" i="1"/>
  <c r="M459" i="1"/>
  <c r="M460" i="1"/>
  <c r="M461" i="1"/>
  <c r="M462" i="1"/>
  <c r="M463" i="1"/>
  <c r="M464" i="1"/>
  <c r="M465" i="1"/>
  <c r="M466" i="1"/>
  <c r="M467" i="1"/>
  <c r="M468" i="1"/>
  <c r="M469" i="1"/>
  <c r="M470" i="1"/>
  <c r="M471" i="1"/>
  <c r="M472" i="1"/>
  <c r="M473" i="1"/>
  <c r="M474" i="1"/>
  <c r="M475" i="1"/>
  <c r="M476" i="1"/>
  <c r="M477" i="1"/>
  <c r="M478" i="1"/>
  <c r="M479" i="1"/>
  <c r="M480" i="1"/>
  <c r="M481" i="1"/>
  <c r="M482" i="1"/>
  <c r="M483" i="1"/>
  <c r="M484" i="1"/>
  <c r="M485" i="1"/>
  <c r="M486" i="1"/>
  <c r="M487" i="1"/>
  <c r="M488" i="1"/>
  <c r="M489" i="1"/>
  <c r="M490" i="1"/>
  <c r="M491" i="1"/>
  <c r="M492" i="1"/>
  <c r="M493" i="1"/>
  <c r="M494" i="1"/>
  <c r="M495" i="1"/>
  <c r="M496" i="1"/>
  <c r="M497" i="1"/>
  <c r="M498" i="1"/>
  <c r="M499" i="1"/>
  <c r="M500" i="1"/>
  <c r="M501" i="1"/>
  <c r="M502" i="1"/>
  <c r="M2" i="1"/>
  <c r="K3" i="1"/>
  <c r="K5" i="1"/>
  <c r="K6" i="1"/>
  <c r="K7" i="1"/>
  <c r="K8" i="1"/>
  <c r="K9" i="1"/>
  <c r="K10" i="1"/>
  <c r="K11" i="1"/>
  <c r="K12" i="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209" i="1"/>
  <c r="K210" i="1"/>
  <c r="K211" i="1"/>
  <c r="K212" i="1"/>
  <c r="K213" i="1"/>
  <c r="K214" i="1"/>
  <c r="K215" i="1"/>
  <c r="K216" i="1"/>
  <c r="K217" i="1"/>
  <c r="K218" i="1"/>
  <c r="K219" i="1"/>
  <c r="K220" i="1"/>
  <c r="K221" i="1"/>
  <c r="K222" i="1"/>
  <c r="K223" i="1"/>
  <c r="K224" i="1"/>
  <c r="K225" i="1"/>
  <c r="K226" i="1"/>
  <c r="K227" i="1"/>
  <c r="K228" i="1"/>
  <c r="K229" i="1"/>
  <c r="K230" i="1"/>
  <c r="K231" i="1"/>
  <c r="K232" i="1"/>
  <c r="K233" i="1"/>
  <c r="K234" i="1"/>
  <c r="K235" i="1"/>
  <c r="K236" i="1"/>
  <c r="K237" i="1"/>
  <c r="K238" i="1"/>
  <c r="K239" i="1"/>
  <c r="K240" i="1"/>
  <c r="K241" i="1"/>
  <c r="K242" i="1"/>
  <c r="K243" i="1"/>
  <c r="K244" i="1"/>
  <c r="K245" i="1"/>
  <c r="K246" i="1"/>
  <c r="K247" i="1"/>
  <c r="K248" i="1"/>
  <c r="K249" i="1"/>
  <c r="K250" i="1"/>
  <c r="K251" i="1"/>
  <c r="K252" i="1"/>
  <c r="K253" i="1"/>
  <c r="K254" i="1"/>
  <c r="K255" i="1"/>
  <c r="K256" i="1"/>
  <c r="K257" i="1"/>
  <c r="K258" i="1"/>
  <c r="K259" i="1"/>
  <c r="K260" i="1"/>
  <c r="K261" i="1"/>
  <c r="K262" i="1"/>
  <c r="K263" i="1"/>
  <c r="K264" i="1"/>
  <c r="K265" i="1"/>
  <c r="K266" i="1"/>
  <c r="K267" i="1"/>
  <c r="K268" i="1"/>
  <c r="K269" i="1"/>
  <c r="K270" i="1"/>
  <c r="K271" i="1"/>
  <c r="K272" i="1"/>
  <c r="K273" i="1"/>
  <c r="K274" i="1"/>
  <c r="K275" i="1"/>
  <c r="K276" i="1"/>
  <c r="K277" i="1"/>
  <c r="K278" i="1"/>
  <c r="K279" i="1"/>
  <c r="K280" i="1"/>
  <c r="K281" i="1"/>
  <c r="K282" i="1"/>
  <c r="K283" i="1"/>
  <c r="K284" i="1"/>
  <c r="K285" i="1"/>
  <c r="K286" i="1"/>
  <c r="K287" i="1"/>
  <c r="K288" i="1"/>
  <c r="K289" i="1"/>
  <c r="K290" i="1"/>
  <c r="K291" i="1"/>
  <c r="K292" i="1"/>
  <c r="K293" i="1"/>
  <c r="K294" i="1"/>
  <c r="K295" i="1"/>
  <c r="K296" i="1"/>
  <c r="K297" i="1"/>
  <c r="K298" i="1"/>
  <c r="K299" i="1"/>
  <c r="K300" i="1"/>
  <c r="K301" i="1"/>
  <c r="K302" i="1"/>
  <c r="K303" i="1"/>
  <c r="K304" i="1"/>
  <c r="K305" i="1"/>
  <c r="K306" i="1"/>
  <c r="K307" i="1"/>
  <c r="K308" i="1"/>
  <c r="K309" i="1"/>
  <c r="K310" i="1"/>
  <c r="K311" i="1"/>
  <c r="K312" i="1"/>
  <c r="K313" i="1"/>
  <c r="K314" i="1"/>
  <c r="K315" i="1"/>
  <c r="K316" i="1"/>
  <c r="K317" i="1"/>
  <c r="K318" i="1"/>
  <c r="K319" i="1"/>
  <c r="K320" i="1"/>
  <c r="K321" i="1"/>
  <c r="K322" i="1"/>
  <c r="K323" i="1"/>
  <c r="K324" i="1"/>
  <c r="K325" i="1"/>
  <c r="K326" i="1"/>
  <c r="K327" i="1"/>
  <c r="K328" i="1"/>
  <c r="K329" i="1"/>
  <c r="K330" i="1"/>
  <c r="K331" i="1"/>
  <c r="K332" i="1"/>
  <c r="K333" i="1"/>
  <c r="K334" i="1"/>
  <c r="K335" i="1"/>
  <c r="K336" i="1"/>
  <c r="K337" i="1"/>
  <c r="K338" i="1"/>
  <c r="K339" i="1"/>
  <c r="K340" i="1"/>
  <c r="K341" i="1"/>
  <c r="K342" i="1"/>
  <c r="K343" i="1"/>
  <c r="K344" i="1"/>
  <c r="K345" i="1"/>
  <c r="K346" i="1"/>
  <c r="K347" i="1"/>
  <c r="K348" i="1"/>
  <c r="K349" i="1"/>
  <c r="K350" i="1"/>
  <c r="K351" i="1"/>
  <c r="K352" i="1"/>
  <c r="K353" i="1"/>
  <c r="K354" i="1"/>
  <c r="K355" i="1"/>
  <c r="K356" i="1"/>
  <c r="K357" i="1"/>
  <c r="K358" i="1"/>
  <c r="K359" i="1"/>
  <c r="K364" i="1"/>
  <c r="K365" i="1"/>
  <c r="K366" i="1"/>
  <c r="K367" i="1"/>
  <c r="K368" i="1"/>
  <c r="K369" i="1"/>
  <c r="K370" i="1"/>
  <c r="K371" i="1"/>
  <c r="K372" i="1"/>
  <c r="K373" i="1"/>
  <c r="K374" i="1"/>
  <c r="K375" i="1"/>
  <c r="K376" i="1"/>
  <c r="K377" i="1"/>
  <c r="K378" i="1"/>
  <c r="K379" i="1"/>
  <c r="K380" i="1"/>
  <c r="K381" i="1"/>
  <c r="K382" i="1"/>
  <c r="K383" i="1"/>
  <c r="K384" i="1"/>
  <c r="K385" i="1"/>
  <c r="K386" i="1"/>
  <c r="K387" i="1"/>
  <c r="K388" i="1"/>
  <c r="K389" i="1"/>
  <c r="K390" i="1"/>
  <c r="K391" i="1"/>
  <c r="K392" i="1"/>
  <c r="K393" i="1"/>
  <c r="K394" i="1"/>
  <c r="K395" i="1"/>
  <c r="K396" i="1"/>
  <c r="K397" i="1"/>
  <c r="K398" i="1"/>
  <c r="K399" i="1"/>
  <c r="K400" i="1"/>
  <c r="K401" i="1"/>
  <c r="K402" i="1"/>
  <c r="K403" i="1"/>
  <c r="K404" i="1"/>
  <c r="K405" i="1"/>
  <c r="K406" i="1"/>
  <c r="K407" i="1"/>
  <c r="K408" i="1"/>
  <c r="K409" i="1"/>
  <c r="K410" i="1"/>
  <c r="K411" i="1"/>
  <c r="K412" i="1"/>
  <c r="K413" i="1"/>
  <c r="K414" i="1"/>
  <c r="K415" i="1"/>
  <c r="K416" i="1"/>
  <c r="K417" i="1"/>
  <c r="K418" i="1"/>
  <c r="K419" i="1"/>
  <c r="K420" i="1"/>
  <c r="K421" i="1"/>
  <c r="K422" i="1"/>
  <c r="K423" i="1"/>
  <c r="K424" i="1"/>
  <c r="K425" i="1"/>
  <c r="K426" i="1"/>
  <c r="K427" i="1"/>
  <c r="K428" i="1"/>
  <c r="K429" i="1"/>
  <c r="K430" i="1"/>
  <c r="K431" i="1"/>
  <c r="K432" i="1"/>
  <c r="K433" i="1"/>
  <c r="K434" i="1"/>
  <c r="K435" i="1"/>
  <c r="K436" i="1"/>
  <c r="K437" i="1"/>
  <c r="K438" i="1"/>
  <c r="K439" i="1"/>
  <c r="K440" i="1"/>
  <c r="K441" i="1"/>
  <c r="K442" i="1"/>
  <c r="K443" i="1"/>
  <c r="K444" i="1"/>
  <c r="K445" i="1"/>
  <c r="K446" i="1"/>
  <c r="K447" i="1"/>
  <c r="K448" i="1"/>
  <c r="K449" i="1"/>
  <c r="K450" i="1"/>
  <c r="K451" i="1"/>
  <c r="K452" i="1"/>
  <c r="K453" i="1"/>
  <c r="K454" i="1"/>
  <c r="K455" i="1"/>
  <c r="K456" i="1"/>
  <c r="K457" i="1"/>
  <c r="K458" i="1"/>
  <c r="K459" i="1"/>
  <c r="K460" i="1"/>
  <c r="K461" i="1"/>
  <c r="K462" i="1"/>
  <c r="K463" i="1"/>
  <c r="K464" i="1"/>
  <c r="K465" i="1"/>
  <c r="K466" i="1"/>
  <c r="K467" i="1"/>
  <c r="K468" i="1"/>
  <c r="K469" i="1"/>
  <c r="K470" i="1"/>
  <c r="K471" i="1"/>
  <c r="K472" i="1"/>
  <c r="K473" i="1"/>
  <c r="K474" i="1"/>
  <c r="K475" i="1"/>
  <c r="K476" i="1"/>
  <c r="K477" i="1"/>
  <c r="K478" i="1"/>
  <c r="K479" i="1"/>
  <c r="K480" i="1"/>
  <c r="K481" i="1"/>
  <c r="K482" i="1"/>
  <c r="K483" i="1"/>
  <c r="K484" i="1"/>
  <c r="K485" i="1"/>
  <c r="K486" i="1"/>
  <c r="K487" i="1"/>
  <c r="K488" i="1"/>
  <c r="K489" i="1"/>
  <c r="K490" i="1"/>
  <c r="K491" i="1"/>
  <c r="K492" i="1"/>
  <c r="K493" i="1"/>
  <c r="K494" i="1"/>
  <c r="K495" i="1"/>
  <c r="K496" i="1"/>
  <c r="K497" i="1"/>
  <c r="K498" i="1"/>
  <c r="K499" i="1"/>
  <c r="K500" i="1"/>
  <c r="K501" i="1"/>
  <c r="K502" i="1"/>
  <c r="K2" i="1"/>
  <c r="S2" i="1"/>
  <c r="P24" i="1" a="1"/>
  <c r="P28" i="1" a="1"/>
  <c r="P32" i="1" a="1"/>
  <c r="P36" i="1" a="1"/>
  <c r="P40" i="1" a="1"/>
  <c r="P44" i="1" a="1"/>
  <c r="P48" i="1" a="1"/>
  <c r="P52" i="1" a="1"/>
  <c r="P56" i="1" a="1"/>
  <c r="P60" i="1" a="1"/>
  <c r="P64" i="1" a="1"/>
  <c r="P68" i="1" a="1"/>
  <c r="P72" i="1" a="1"/>
  <c r="P76" i="1" a="1"/>
  <c r="P80" i="1" a="1"/>
  <c r="P84" i="1" a="1"/>
  <c r="P88" i="1" a="1"/>
  <c r="P92" i="1" a="1"/>
  <c r="P96" i="1" a="1"/>
  <c r="P100" i="1" a="1"/>
  <c r="P104" i="1" a="1"/>
  <c r="P108" i="1" a="1"/>
  <c r="P112" i="1" a="1"/>
  <c r="P116" i="1" a="1"/>
  <c r="P120" i="1" a="1"/>
  <c r="P124" i="1" a="1"/>
  <c r="P128" i="1" a="1"/>
  <c r="P132" i="1" a="1"/>
  <c r="P136" i="1" a="1"/>
  <c r="P140" i="1" a="1"/>
  <c r="P144" i="1" a="1"/>
  <c r="P148" i="1" a="1"/>
  <c r="P152" i="1" a="1"/>
  <c r="P156" i="1" a="1"/>
  <c r="P160" i="1" a="1"/>
  <c r="P164" i="1" a="1"/>
  <c r="P168" i="1" a="1"/>
  <c r="P172" i="1" a="1"/>
  <c r="P176" i="1" a="1"/>
  <c r="P180" i="1" a="1"/>
  <c r="P184" i="1" a="1"/>
  <c r="P188" i="1" a="1"/>
  <c r="P192" i="1" a="1"/>
  <c r="P196" i="1" a="1"/>
  <c r="P200" i="1" a="1"/>
  <c r="P25" i="1" a="1"/>
  <c r="P29" i="1" a="1"/>
  <c r="P33" i="1" a="1"/>
  <c r="P37" i="1" a="1"/>
  <c r="P41" i="1" a="1"/>
  <c r="P45" i="1" a="1"/>
  <c r="P49" i="1" a="1"/>
  <c r="P53" i="1" a="1"/>
  <c r="P57" i="1" a="1"/>
  <c r="P61" i="1" a="1"/>
  <c r="P65" i="1" a="1"/>
  <c r="P69" i="1" a="1"/>
  <c r="P73" i="1" a="1"/>
  <c r="P77" i="1" a="1"/>
  <c r="P81" i="1" a="1"/>
  <c r="P85" i="1" a="1"/>
  <c r="P89" i="1" a="1"/>
  <c r="P93" i="1" a="1"/>
  <c r="P97" i="1" a="1"/>
  <c r="P101" i="1" a="1"/>
  <c r="P105" i="1" a="1"/>
  <c r="P109" i="1" a="1"/>
  <c r="P113" i="1" a="1"/>
  <c r="P117" i="1" a="1"/>
  <c r="P121" i="1" a="1"/>
  <c r="P125" i="1" a="1"/>
  <c r="P129" i="1" a="1"/>
  <c r="P133" i="1" a="1"/>
  <c r="P137" i="1" a="1"/>
  <c r="P141" i="1" a="1"/>
  <c r="P145" i="1" a="1"/>
  <c r="P149" i="1" a="1"/>
  <c r="P153" i="1" a="1"/>
  <c r="P157" i="1" a="1"/>
  <c r="P161" i="1" a="1"/>
  <c r="P165" i="1" a="1"/>
  <c r="P169" i="1" a="1"/>
  <c r="P173" i="1" a="1"/>
  <c r="P177" i="1" a="1"/>
  <c r="P181" i="1" a="1"/>
  <c r="P185" i="1" a="1"/>
  <c r="P189" i="1" a="1"/>
  <c r="P193" i="1" a="1"/>
  <c r="P197" i="1" a="1"/>
  <c r="P201" i="1" a="1"/>
  <c r="P205" i="1" a="1"/>
  <c r="P209" i="1" a="1"/>
  <c r="P213" i="1" a="1"/>
  <c r="P26" i="1" a="1"/>
  <c r="P30" i="1" a="1"/>
  <c r="P34" i="1" a="1"/>
  <c r="P38" i="1" a="1"/>
  <c r="P42" i="1" a="1"/>
  <c r="P46" i="1" a="1"/>
  <c r="P50" i="1" a="1"/>
  <c r="P54" i="1" a="1"/>
  <c r="P58" i="1" a="1"/>
  <c r="P62" i="1" a="1"/>
  <c r="P66" i="1" a="1"/>
  <c r="P70" i="1" a="1"/>
  <c r="P74" i="1" a="1"/>
  <c r="P78" i="1" a="1"/>
  <c r="P82" i="1" a="1"/>
  <c r="P86" i="1" a="1"/>
  <c r="P90" i="1" a="1"/>
  <c r="P94" i="1" a="1"/>
  <c r="P98" i="1" a="1"/>
  <c r="P102" i="1" a="1"/>
  <c r="P106" i="1" a="1"/>
  <c r="P110" i="1" a="1"/>
  <c r="P114" i="1" a="1"/>
  <c r="P118" i="1" a="1"/>
  <c r="P122" i="1" a="1"/>
  <c r="P126" i="1" a="1"/>
  <c r="P130" i="1" a="1"/>
  <c r="P134" i="1" a="1"/>
  <c r="P138" i="1" a="1"/>
  <c r="P142" i="1" a="1"/>
  <c r="P146" i="1" a="1"/>
  <c r="P150" i="1" a="1"/>
  <c r="P154" i="1" a="1"/>
  <c r="P158" i="1" a="1"/>
  <c r="P162" i="1" a="1"/>
  <c r="P166" i="1" a="1"/>
  <c r="P170" i="1" a="1"/>
  <c r="P174" i="1" a="1"/>
  <c r="P178" i="1" a="1"/>
  <c r="P182" i="1" a="1"/>
  <c r="P186" i="1" a="1"/>
  <c r="P190" i="1" a="1"/>
  <c r="P194" i="1" a="1"/>
  <c r="P198" i="1" a="1"/>
  <c r="P202" i="1" a="1"/>
  <c r="P206" i="1" a="1"/>
  <c r="P210" i="1" a="1"/>
  <c r="P214" i="1" a="1"/>
  <c r="P218" i="1" a="1"/>
  <c r="P27" i="1" a="1"/>
  <c r="P43" i="1" a="1"/>
  <c r="P59" i="1" a="1"/>
  <c r="P75" i="1" a="1"/>
  <c r="P91" i="1" a="1"/>
  <c r="P107" i="1" a="1"/>
  <c r="P123" i="1" a="1"/>
  <c r="P139" i="1" a="1"/>
  <c r="P155" i="1" a="1"/>
  <c r="P171" i="1" a="1"/>
  <c r="P187" i="1" a="1"/>
  <c r="P203" i="1" a="1"/>
  <c r="P212" i="1" a="1"/>
  <c r="P221" i="1" a="1"/>
  <c r="P237" i="1" a="1"/>
  <c r="P253" i="1" a="1"/>
  <c r="P269" i="1" a="1"/>
  <c r="P285" i="1" a="1"/>
  <c r="P301" i="1" a="1"/>
  <c r="P317" i="1" a="1"/>
  <c r="P333" i="1" a="1"/>
  <c r="P349" i="1" a="1"/>
  <c r="P219" i="1" a="1"/>
  <c r="P230" i="1" a="1"/>
  <c r="P246" i="1" a="1"/>
  <c r="P256" i="1" a="1"/>
  <c r="P267" i="1" a="1"/>
  <c r="P283" i="1" a="1"/>
  <c r="P299" i="1" a="1"/>
  <c r="P310" i="1" a="1"/>
  <c r="P326" i="1" a="1"/>
  <c r="P347" i="1" a="1"/>
  <c r="P363" i="1" a="1"/>
  <c r="P375" i="1" a="1"/>
  <c r="P383" i="1" a="1"/>
  <c r="P215" i="1" a="1"/>
  <c r="P222" i="1" a="1"/>
  <c r="P227" i="1" a="1"/>
  <c r="P232" i="1" a="1"/>
  <c r="P238" i="1" a="1"/>
  <c r="P243" i="1" a="1"/>
  <c r="P248" i="1" a="1"/>
  <c r="P254" i="1" a="1"/>
  <c r="P259" i="1" a="1"/>
  <c r="P264" i="1" a="1"/>
  <c r="P270" i="1" a="1"/>
  <c r="P275" i="1" a="1"/>
  <c r="P280" i="1" a="1"/>
  <c r="P286" i="1" a="1"/>
  <c r="P291" i="1" a="1"/>
  <c r="P296" i="1" a="1"/>
  <c r="P302" i="1" a="1"/>
  <c r="P307" i="1" a="1"/>
  <c r="P312" i="1" a="1"/>
  <c r="P318" i="1" a="1"/>
  <c r="P323" i="1" a="1"/>
  <c r="P328" i="1" a="1"/>
  <c r="P334" i="1" a="1"/>
  <c r="P339" i="1" a="1"/>
  <c r="P344" i="1" a="1"/>
  <c r="P350" i="1" a="1"/>
  <c r="P355" i="1" a="1"/>
  <c r="P360" i="1" a="1"/>
  <c r="P365" i="1" a="1"/>
  <c r="P369" i="1" a="1"/>
  <c r="P373" i="1" a="1"/>
  <c r="P377" i="1" a="1"/>
  <c r="P381" i="1" a="1"/>
  <c r="P385" i="1" a="1"/>
  <c r="P389" i="1" a="1"/>
  <c r="P393" i="1" a="1"/>
  <c r="P397" i="1" a="1"/>
  <c r="P401" i="1" a="1"/>
  <c r="P405" i="1" a="1"/>
  <c r="P409" i="1" a="1"/>
  <c r="P413" i="1" a="1"/>
  <c r="P417" i="1" a="1"/>
  <c r="P421" i="1" a="1"/>
  <c r="P425" i="1" a="1"/>
  <c r="P429" i="1" a="1"/>
  <c r="P433" i="1" a="1"/>
  <c r="P437" i="1" a="1"/>
  <c r="P441" i="1" a="1"/>
  <c r="P445" i="1" a="1"/>
  <c r="P449" i="1" a="1"/>
  <c r="P453" i="1" a="1"/>
  <c r="P457" i="1" a="1"/>
  <c r="P461" i="1" a="1"/>
  <c r="P465" i="1" a="1"/>
  <c r="P469" i="1" a="1"/>
  <c r="P473" i="1" a="1"/>
  <c r="P477" i="1" a="1"/>
  <c r="P481" i="1" a="1"/>
  <c r="P485" i="1" a="1"/>
  <c r="P489" i="1" a="1"/>
  <c r="P493" i="1" a="1"/>
  <c r="P497" i="1" a="1"/>
  <c r="P501" i="1" a="1"/>
  <c r="P208" i="1" a="1"/>
  <c r="P224" i="1" a="1"/>
  <c r="P240" i="1" a="1"/>
  <c r="P251" i="1" a="1"/>
  <c r="P262" i="1" a="1"/>
  <c r="P278" i="1" a="1"/>
  <c r="P294" i="1" a="1"/>
  <c r="P304" i="1" a="1"/>
  <c r="P320" i="1" a="1"/>
  <c r="P342" i="1" a="1"/>
  <c r="P358" i="1" a="1"/>
  <c r="P371" i="1" a="1"/>
  <c r="P31" i="1" a="1"/>
  <c r="P47" i="1" a="1"/>
  <c r="P63" i="1" a="1"/>
  <c r="P79" i="1" a="1"/>
  <c r="P95" i="1" a="1"/>
  <c r="P111" i="1" a="1"/>
  <c r="P127" i="1" a="1"/>
  <c r="P143" i="1" a="1"/>
  <c r="P159" i="1" a="1"/>
  <c r="P175" i="1" a="1"/>
  <c r="P191" i="1" a="1"/>
  <c r="P204" i="1" a="1"/>
  <c r="P233" i="1" a="1"/>
  <c r="P249" i="1" a="1"/>
  <c r="P265" i="1" a="1"/>
  <c r="P281" i="1" a="1"/>
  <c r="P297" i="1" a="1"/>
  <c r="P313" i="1" a="1"/>
  <c r="P329" i="1" a="1"/>
  <c r="P345" i="1" a="1"/>
  <c r="P361" i="1" a="1"/>
  <c r="P235" i="1" a="1"/>
  <c r="P272" i="1" a="1"/>
  <c r="P288" i="1" a="1"/>
  <c r="P315" i="1" a="1"/>
  <c r="P336" i="1" a="1"/>
  <c r="P367" i="1" a="1"/>
  <c r="P379" i="1" a="1"/>
  <c r="P207" i="1" a="1"/>
  <c r="P216" i="1" a="1"/>
  <c r="P223" i="1" a="1"/>
  <c r="P228" i="1" a="1"/>
  <c r="P234" i="1" a="1"/>
  <c r="P239" i="1" a="1"/>
  <c r="P244" i="1" a="1"/>
  <c r="P250" i="1" a="1"/>
  <c r="P255" i="1" a="1"/>
  <c r="P260" i="1" a="1"/>
  <c r="P266" i="1" a="1"/>
  <c r="P271" i="1" a="1"/>
  <c r="P276" i="1" a="1"/>
  <c r="P282" i="1" a="1"/>
  <c r="P287" i="1" a="1"/>
  <c r="P292" i="1" a="1"/>
  <c r="P298" i="1" a="1"/>
  <c r="P303" i="1" a="1"/>
  <c r="P308" i="1" a="1"/>
  <c r="P314" i="1" a="1"/>
  <c r="P319" i="1" a="1"/>
  <c r="P324" i="1" a="1"/>
  <c r="P330" i="1" a="1"/>
  <c r="P335" i="1" a="1"/>
  <c r="P340" i="1" a="1"/>
  <c r="P346" i="1" a="1"/>
  <c r="P351" i="1" a="1"/>
  <c r="P356" i="1" a="1"/>
  <c r="P362" i="1" a="1"/>
  <c r="P366" i="1" a="1"/>
  <c r="P370" i="1" a="1"/>
  <c r="P374" i="1" a="1"/>
  <c r="P378" i="1" a="1"/>
  <c r="P382" i="1" a="1"/>
  <c r="P386" i="1" a="1"/>
  <c r="P390" i="1" a="1"/>
  <c r="P394" i="1" a="1"/>
  <c r="P398" i="1" a="1"/>
  <c r="P402" i="1" a="1"/>
  <c r="P406" i="1" a="1"/>
  <c r="P410" i="1" a="1"/>
  <c r="P414" i="1" a="1"/>
  <c r="P418" i="1" a="1"/>
  <c r="P422" i="1" a="1"/>
  <c r="P426" i="1" a="1"/>
  <c r="P430" i="1" a="1"/>
  <c r="P434" i="1" a="1"/>
  <c r="P438" i="1" a="1"/>
  <c r="P442" i="1" a="1"/>
  <c r="P446" i="1" a="1"/>
  <c r="P450" i="1" a="1"/>
  <c r="P454" i="1" a="1"/>
  <c r="P458" i="1" a="1"/>
  <c r="P462" i="1" a="1"/>
  <c r="P466" i="1" a="1"/>
  <c r="P470" i="1" a="1"/>
  <c r="P474" i="1" a="1"/>
  <c r="P478" i="1" a="1"/>
  <c r="P482" i="1" a="1"/>
  <c r="P486" i="1" a="1"/>
  <c r="P490" i="1" a="1"/>
  <c r="P494" i="1" a="1"/>
  <c r="P498" i="1" a="1"/>
  <c r="P502" i="1" a="1"/>
  <c r="P331" i="1" a="1"/>
  <c r="P35" i="1" a="1"/>
  <c r="P51" i="1" a="1"/>
  <c r="P67" i="1" a="1"/>
  <c r="P83" i="1" a="1"/>
  <c r="P99" i="1" a="1"/>
  <c r="P115" i="1" a="1"/>
  <c r="P131" i="1" a="1"/>
  <c r="P147" i="1" a="1"/>
  <c r="P163" i="1" a="1"/>
  <c r="P179" i="1" a="1"/>
  <c r="P195" i="1" a="1"/>
  <c r="P217" i="1" a="1"/>
  <c r="P229" i="1" a="1"/>
  <c r="P245" i="1" a="1"/>
  <c r="P261" i="1" a="1"/>
  <c r="P277" i="1" a="1"/>
  <c r="P293" i="1" a="1"/>
  <c r="P309" i="1" a="1"/>
  <c r="P325" i="1" a="1"/>
  <c r="P341" i="1" a="1"/>
  <c r="P357" i="1" a="1"/>
  <c r="P352" i="1" a="1"/>
  <c r="P39" i="1" a="1"/>
  <c r="P55" i="1" a="1"/>
  <c r="P71" i="1" a="1"/>
  <c r="P87" i="1" a="1"/>
  <c r="P103" i="1" a="1"/>
  <c r="P119" i="1" a="1"/>
  <c r="P135" i="1" a="1"/>
  <c r="P151" i="1" a="1"/>
  <c r="P167" i="1" a="1"/>
  <c r="P183" i="1" a="1"/>
  <c r="P199" i="1" a="1"/>
  <c r="P211" i="1" a="1"/>
  <c r="P225" i="1" a="1"/>
  <c r="P241" i="1" a="1"/>
  <c r="P257" i="1" a="1"/>
  <c r="P273" i="1" a="1"/>
  <c r="P289" i="1" a="1"/>
  <c r="P305" i="1" a="1"/>
  <c r="P321" i="1" a="1"/>
  <c r="P337" i="1" a="1"/>
  <c r="P353" i="1" a="1"/>
  <c r="P220" i="1" a="1"/>
  <c r="P226" i="1" a="1"/>
  <c r="P231" i="1" a="1"/>
  <c r="P236" i="1" a="1"/>
  <c r="P242" i="1" a="1"/>
  <c r="P247" i="1" a="1"/>
  <c r="P252" i="1" a="1"/>
  <c r="P258" i="1" a="1"/>
  <c r="P263" i="1" a="1"/>
  <c r="P268" i="1" a="1"/>
  <c r="P311" i="1" a="1"/>
  <c r="P354" i="1" a="1"/>
  <c r="P387" i="1" a="1"/>
  <c r="P403" i="1" a="1"/>
  <c r="P419" i="1" a="1"/>
  <c r="P435" i="1" a="1"/>
  <c r="P451" i="1" a="1"/>
  <c r="P467" i="1" a="1"/>
  <c r="P483" i="1" a="1"/>
  <c r="P499" i="1" a="1"/>
  <c r="P396" i="1" a="1"/>
  <c r="P274" i="1" a="1"/>
  <c r="P316" i="1" a="1"/>
  <c r="P359" i="1" a="1"/>
  <c r="P388" i="1" a="1"/>
  <c r="P404" i="1" a="1"/>
  <c r="P420" i="1" a="1"/>
  <c r="P436" i="1" a="1"/>
  <c r="P452" i="1" a="1"/>
  <c r="P468" i="1" a="1"/>
  <c r="P484" i="1" a="1"/>
  <c r="P500" i="1" a="1"/>
  <c r="P412" i="1" a="1"/>
  <c r="P428" i="1" a="1"/>
  <c r="P460" i="1" a="1"/>
  <c r="P492" i="1" a="1"/>
  <c r="P279" i="1" a="1"/>
  <c r="P322" i="1" a="1"/>
  <c r="P364" i="1" a="1"/>
  <c r="P391" i="1" a="1"/>
  <c r="P407" i="1" a="1"/>
  <c r="P423" i="1" a="1"/>
  <c r="P439" i="1" a="1"/>
  <c r="P455" i="1" a="1"/>
  <c r="P471" i="1" a="1"/>
  <c r="P487" i="1" a="1"/>
  <c r="P338" i="1" a="1"/>
  <c r="P284" i="1" a="1"/>
  <c r="P327" i="1" a="1"/>
  <c r="P368" i="1" a="1"/>
  <c r="P392" i="1" a="1"/>
  <c r="P408" i="1" a="1"/>
  <c r="P424" i="1" a="1"/>
  <c r="P440" i="1" a="1"/>
  <c r="P456" i="1" a="1"/>
  <c r="P472" i="1" a="1"/>
  <c r="P488" i="1" a="1"/>
  <c r="P295" i="1" a="1"/>
  <c r="P290" i="1" a="1"/>
  <c r="P332" i="1" a="1"/>
  <c r="P372" i="1" a="1"/>
  <c r="P395" i="1" a="1"/>
  <c r="P411" i="1" a="1"/>
  <c r="P427" i="1" a="1"/>
  <c r="P443" i="1" a="1"/>
  <c r="P459" i="1" a="1"/>
  <c r="P475" i="1" a="1"/>
  <c r="P491" i="1" a="1"/>
  <c r="P376" i="1" a="1"/>
  <c r="P444" i="1" a="1"/>
  <c r="P476" i="1" a="1"/>
  <c r="P300" i="1" a="1"/>
  <c r="P343" i="1" a="1"/>
  <c r="P380" i="1" a="1"/>
  <c r="P399" i="1" a="1"/>
  <c r="P415" i="1" a="1"/>
  <c r="P431" i="1" a="1"/>
  <c r="P447" i="1" a="1"/>
  <c r="P463" i="1" a="1"/>
  <c r="P479" i="1" a="1"/>
  <c r="P495" i="1" a="1"/>
  <c r="P306" i="1" a="1"/>
  <c r="P348" i="1" a="1"/>
  <c r="P384" i="1" a="1"/>
  <c r="P400" i="1" a="1"/>
  <c r="P416" i="1" a="1"/>
  <c r="P432" i="1" a="1"/>
  <c r="P448" i="1" a="1"/>
  <c r="P464" i="1" a="1"/>
  <c r="P480" i="1" a="1"/>
  <c r="P496" i="1" a="1"/>
  <c r="P3" i="1" a="1"/>
  <c r="P7" i="1" a="1"/>
  <c r="P11" i="1" a="1"/>
  <c r="P15" i="1" a="1"/>
  <c r="P19" i="1" a="1"/>
  <c r="P23" i="1" a="1"/>
  <c r="P18" i="1" a="1"/>
  <c r="P22" i="1" a="1"/>
  <c r="P4" i="1" a="1"/>
  <c r="P8" i="1" a="1"/>
  <c r="P12" i="1" a="1"/>
  <c r="P16" i="1" a="1"/>
  <c r="P20" i="1" a="1"/>
  <c r="P14" i="1" a="1"/>
  <c r="P5" i="1" a="1"/>
  <c r="P9" i="1" a="1"/>
  <c r="P13" i="1" a="1"/>
  <c r="P17" i="1" a="1"/>
  <c r="P21" i="1" a="1"/>
  <c r="P10" i="1" a="1"/>
  <c r="P6" i="1" a="1"/>
  <c r="P2" i="1" a="1"/>
  <c r="AD424" i="2" l="1"/>
  <c r="AD347" i="2"/>
  <c r="AD348" i="2"/>
  <c r="AD343" i="2"/>
  <c r="AD337" i="2"/>
  <c r="AD346" i="2"/>
  <c r="AD354" i="2"/>
  <c r="AD339" i="2"/>
  <c r="AD345" i="2"/>
  <c r="AD350" i="2"/>
  <c r="AD349" i="2"/>
  <c r="AD341" i="2"/>
  <c r="AD351" i="2"/>
  <c r="AD422" i="2"/>
  <c r="AD353" i="2"/>
  <c r="AD481" i="2"/>
  <c r="AD352" i="2"/>
  <c r="AD342" i="2"/>
  <c r="AD18" i="2"/>
  <c r="AD344" i="2"/>
  <c r="AD338" i="2"/>
  <c r="AD425" i="2"/>
  <c r="AD340" i="2"/>
  <c r="AD426" i="2"/>
  <c r="AD423" i="2"/>
  <c r="AD54" i="2"/>
  <c r="AD254" i="2"/>
  <c r="AD136" i="2"/>
  <c r="AD2" i="2"/>
  <c r="AD91" i="2"/>
  <c r="AD99" i="2"/>
  <c r="AD4" i="2"/>
  <c r="AD302" i="2"/>
  <c r="AD318" i="2"/>
  <c r="AD29" i="2"/>
  <c r="AD88" i="2"/>
  <c r="AD420" i="2"/>
  <c r="AD439" i="2"/>
  <c r="AD14" i="2"/>
  <c r="AD39" i="2"/>
  <c r="AD12" i="2"/>
  <c r="AD23" i="2"/>
  <c r="AD80" i="2"/>
  <c r="AD47" i="2"/>
  <c r="AD70" i="2"/>
  <c r="AD107" i="2"/>
  <c r="AD6" i="2"/>
  <c r="AD21" i="2"/>
  <c r="AD31" i="2"/>
  <c r="AD56" i="2"/>
  <c r="AD64" i="2"/>
  <c r="AD73" i="2"/>
  <c r="AD82" i="2"/>
  <c r="AD201" i="2"/>
  <c r="AD217" i="2"/>
  <c r="AD233" i="2"/>
  <c r="AD249" i="2"/>
  <c r="AD298" i="2"/>
  <c r="AD313" i="2"/>
  <c r="AD372" i="2"/>
  <c r="AD115" i="2"/>
  <c r="AD123" i="2"/>
  <c r="AD131" i="2"/>
  <c r="AD140" i="2"/>
  <c r="AD148" i="2"/>
  <c r="AD156" i="2"/>
  <c r="AD169" i="2"/>
  <c r="AD185" i="2"/>
  <c r="AD5" i="2"/>
  <c r="AD13" i="2"/>
  <c r="AD22" i="2"/>
  <c r="AD30" i="2"/>
  <c r="AD38" i="2"/>
  <c r="AD46" i="2"/>
  <c r="AD55" i="2"/>
  <c r="AD63" i="2"/>
  <c r="AD72" i="2"/>
  <c r="AD81" i="2"/>
  <c r="AD90" i="2"/>
  <c r="AD98" i="2"/>
  <c r="AD106" i="2"/>
  <c r="AD114" i="2"/>
  <c r="AD122" i="2"/>
  <c r="AD130" i="2"/>
  <c r="AD139" i="2"/>
  <c r="AD147" i="2"/>
  <c r="AD155" i="2"/>
  <c r="AD163" i="2"/>
  <c r="AD174" i="2"/>
  <c r="AD179" i="2"/>
  <c r="AD190" i="2"/>
  <c r="AD195" i="2"/>
  <c r="AD206" i="2"/>
  <c r="AD211" i="2"/>
  <c r="AD222" i="2"/>
  <c r="AD227" i="2"/>
  <c r="AD238" i="2"/>
  <c r="AD243" i="2"/>
  <c r="AD258" i="2"/>
  <c r="AD273" i="2"/>
  <c r="AD278" i="2"/>
  <c r="AD322" i="2"/>
  <c r="AD431" i="2"/>
  <c r="AD3" i="2"/>
  <c r="AD11" i="2"/>
  <c r="AD28" i="2"/>
  <c r="AD36" i="2"/>
  <c r="AD44" i="2"/>
  <c r="AD52" i="2"/>
  <c r="AD61" i="2"/>
  <c r="AD69" i="2"/>
  <c r="AD78" i="2"/>
  <c r="AD87" i="2"/>
  <c r="AD96" i="2"/>
  <c r="AD104" i="2"/>
  <c r="AD112" i="2"/>
  <c r="AD120" i="2"/>
  <c r="AD128" i="2"/>
  <c r="AD137" i="2"/>
  <c r="AD145" i="2"/>
  <c r="AD153" i="2"/>
  <c r="AD161" i="2"/>
  <c r="AD257" i="2"/>
  <c r="AD262" i="2"/>
  <c r="AD306" i="2"/>
  <c r="AD321" i="2"/>
  <c r="AD326" i="2"/>
  <c r="AD447" i="2"/>
  <c r="AD45" i="2"/>
  <c r="AD62" i="2"/>
  <c r="AD71" i="2"/>
  <c r="AD79" i="2"/>
  <c r="AD97" i="2"/>
  <c r="AD105" i="2"/>
  <c r="AD138" i="2"/>
  <c r="AD146" i="2"/>
  <c r="AD226" i="2"/>
  <c r="AD282" i="2"/>
  <c r="AD297" i="2"/>
  <c r="AD380" i="2"/>
  <c r="AD10" i="2"/>
  <c r="AD19" i="2"/>
  <c r="AD27" i="2"/>
  <c r="AD35" i="2"/>
  <c r="AD43" i="2"/>
  <c r="AD51" i="2"/>
  <c r="AD60" i="2"/>
  <c r="AD68" i="2"/>
  <c r="AD77" i="2"/>
  <c r="AD86" i="2"/>
  <c r="AD95" i="2"/>
  <c r="AD103" i="2"/>
  <c r="AD111" i="2"/>
  <c r="AD119" i="2"/>
  <c r="AD127" i="2"/>
  <c r="AD135" i="2"/>
  <c r="AD144" i="2"/>
  <c r="AD152" i="2"/>
  <c r="AD160" i="2"/>
  <c r="AD177" i="2"/>
  <c r="AD193" i="2"/>
  <c r="AD209" i="2"/>
  <c r="AD225" i="2"/>
  <c r="AD241" i="2"/>
  <c r="AD266" i="2"/>
  <c r="AD281" i="2"/>
  <c r="AD286" i="2"/>
  <c r="AD330" i="2"/>
  <c r="AD356" i="2"/>
  <c r="AD388" i="2"/>
  <c r="AD455" i="2"/>
  <c r="AD67" i="2"/>
  <c r="AD76" i="2"/>
  <c r="AD85" i="2"/>
  <c r="AD94" i="2"/>
  <c r="AD102" i="2"/>
  <c r="AD110" i="2"/>
  <c r="AD118" i="2"/>
  <c r="AD126" i="2"/>
  <c r="AD134" i="2"/>
  <c r="AD143" i="2"/>
  <c r="AD151" i="2"/>
  <c r="AD159" i="2"/>
  <c r="AD166" i="2"/>
  <c r="AD171" i="2"/>
  <c r="AD182" i="2"/>
  <c r="AD187" i="2"/>
  <c r="AD198" i="2"/>
  <c r="AD203" i="2"/>
  <c r="AD214" i="2"/>
  <c r="AD219" i="2"/>
  <c r="AD230" i="2"/>
  <c r="AD235" i="2"/>
  <c r="AD246" i="2"/>
  <c r="AD290" i="2"/>
  <c r="AD305" i="2"/>
  <c r="AD310" i="2"/>
  <c r="AD396" i="2"/>
  <c r="AD463" i="2"/>
  <c r="AD37" i="2"/>
  <c r="AD53" i="2"/>
  <c r="AD89" i="2"/>
  <c r="AD113" i="2"/>
  <c r="AD121" i="2"/>
  <c r="AD129" i="2"/>
  <c r="AD154" i="2"/>
  <c r="AD162" i="2"/>
  <c r="AD194" i="2"/>
  <c r="AD242" i="2"/>
  <c r="AD17" i="2"/>
  <c r="AD20" i="2"/>
  <c r="AD26" i="2"/>
  <c r="AD34" i="2"/>
  <c r="AD42" i="2"/>
  <c r="AD50" i="2"/>
  <c r="AD59" i="2"/>
  <c r="AD8" i="2"/>
  <c r="AD16" i="2"/>
  <c r="AD25" i="2"/>
  <c r="AD33" i="2"/>
  <c r="AD41" i="2"/>
  <c r="AD49" i="2"/>
  <c r="AD58" i="2"/>
  <c r="AD66" i="2"/>
  <c r="AD75" i="2"/>
  <c r="AD84" i="2"/>
  <c r="AD93" i="2"/>
  <c r="AD101" i="2"/>
  <c r="AD109" i="2"/>
  <c r="AD117" i="2"/>
  <c r="AD125" i="2"/>
  <c r="AD133" i="2"/>
  <c r="AD142" i="2"/>
  <c r="AD150" i="2"/>
  <c r="AD158" i="2"/>
  <c r="AD170" i="2"/>
  <c r="AD186" i="2"/>
  <c r="AD202" i="2"/>
  <c r="AD218" i="2"/>
  <c r="AD234" i="2"/>
  <c r="AD250" i="2"/>
  <c r="AD265" i="2"/>
  <c r="AD270" i="2"/>
  <c r="AD314" i="2"/>
  <c r="AD329" i="2"/>
  <c r="AD334" i="2"/>
  <c r="AD360" i="2"/>
  <c r="AD364" i="2"/>
  <c r="AD404" i="2"/>
  <c r="AD471" i="2"/>
  <c r="AD178" i="2"/>
  <c r="AD210" i="2"/>
  <c r="AD9" i="2"/>
  <c r="AD7" i="2"/>
  <c r="AD15" i="2"/>
  <c r="AD24" i="2"/>
  <c r="AD32" i="2"/>
  <c r="AD40" i="2"/>
  <c r="AD48" i="2"/>
  <c r="AD57" i="2"/>
  <c r="AD65" i="2"/>
  <c r="AD74" i="2"/>
  <c r="AD83" i="2"/>
  <c r="AD92" i="2"/>
  <c r="AD100" i="2"/>
  <c r="AD108" i="2"/>
  <c r="AD116" i="2"/>
  <c r="AD124" i="2"/>
  <c r="AD132" i="2"/>
  <c r="AD141" i="2"/>
  <c r="AD149" i="2"/>
  <c r="AD157" i="2"/>
  <c r="AD274" i="2"/>
  <c r="AD289" i="2"/>
  <c r="AD294" i="2"/>
  <c r="AD412" i="2"/>
  <c r="AD479" i="2"/>
  <c r="AD488" i="2"/>
  <c r="AD496" i="2"/>
  <c r="AD168" i="2"/>
  <c r="AD176" i="2"/>
  <c r="AD184" i="2"/>
  <c r="AD192" i="2"/>
  <c r="AD200" i="2"/>
  <c r="AD208" i="2"/>
  <c r="AD216" i="2"/>
  <c r="AD224" i="2"/>
  <c r="AD232" i="2"/>
  <c r="AD240" i="2"/>
  <c r="AD248" i="2"/>
  <c r="AD256" i="2"/>
  <c r="AD264" i="2"/>
  <c r="AD272" i="2"/>
  <c r="AD280" i="2"/>
  <c r="AD288" i="2"/>
  <c r="AD296" i="2"/>
  <c r="AD304" i="2"/>
  <c r="AD312" i="2"/>
  <c r="AD320" i="2"/>
  <c r="AD328" i="2"/>
  <c r="AD336" i="2"/>
  <c r="AD362" i="2"/>
  <c r="AD370" i="2"/>
  <c r="AD378" i="2"/>
  <c r="AD386" i="2"/>
  <c r="AD394" i="2"/>
  <c r="AD402" i="2"/>
  <c r="AD410" i="2"/>
  <c r="AD418" i="2"/>
  <c r="AD429" i="2"/>
  <c r="AD437" i="2"/>
  <c r="AD445" i="2"/>
  <c r="AD453" i="2"/>
  <c r="AD461" i="2"/>
  <c r="AD469" i="2"/>
  <c r="AD477" i="2"/>
  <c r="AD486" i="2"/>
  <c r="AD494" i="2"/>
  <c r="AD502" i="2"/>
  <c r="AD167" i="2"/>
  <c r="AD175" i="2"/>
  <c r="AD183" i="2"/>
  <c r="AD191" i="2"/>
  <c r="AD199" i="2"/>
  <c r="AD207" i="2"/>
  <c r="AD215" i="2"/>
  <c r="AD223" i="2"/>
  <c r="AD231" i="2"/>
  <c r="AD239" i="2"/>
  <c r="AD247" i="2"/>
  <c r="AD255" i="2"/>
  <c r="AD263" i="2"/>
  <c r="AD271" i="2"/>
  <c r="AD279" i="2"/>
  <c r="AD287" i="2"/>
  <c r="AD295" i="2"/>
  <c r="AD303" i="2"/>
  <c r="AD311" i="2"/>
  <c r="AD319" i="2"/>
  <c r="AD327" i="2"/>
  <c r="AD335" i="2"/>
  <c r="AD361" i="2"/>
  <c r="AD369" i="2"/>
  <c r="AD377" i="2"/>
  <c r="AD385" i="2"/>
  <c r="AD393" i="2"/>
  <c r="AD401" i="2"/>
  <c r="AD409" i="2"/>
  <c r="AD417" i="2"/>
  <c r="AD428" i="2"/>
  <c r="AD436" i="2"/>
  <c r="AD444" i="2"/>
  <c r="AD452" i="2"/>
  <c r="AD460" i="2"/>
  <c r="AD468" i="2"/>
  <c r="AD476" i="2"/>
  <c r="AD485" i="2"/>
  <c r="AD493" i="2"/>
  <c r="AD501" i="2"/>
  <c r="AD368" i="2"/>
  <c r="AD376" i="2"/>
  <c r="AD384" i="2"/>
  <c r="AD392" i="2"/>
  <c r="AD400" i="2"/>
  <c r="AD408" i="2"/>
  <c r="AD416" i="2"/>
  <c r="AD427" i="2"/>
  <c r="AD435" i="2"/>
  <c r="AD443" i="2"/>
  <c r="AD451" i="2"/>
  <c r="AD459" i="2"/>
  <c r="AD467" i="2"/>
  <c r="AD475" i="2"/>
  <c r="AD484" i="2"/>
  <c r="AD492" i="2"/>
  <c r="AD500" i="2"/>
  <c r="AD165" i="2"/>
  <c r="AD173" i="2"/>
  <c r="AD181" i="2"/>
  <c r="AD189" i="2"/>
  <c r="AD197" i="2"/>
  <c r="AD205" i="2"/>
  <c r="AD213" i="2"/>
  <c r="AD221" i="2"/>
  <c r="AD229" i="2"/>
  <c r="AD237" i="2"/>
  <c r="AD245" i="2"/>
  <c r="AD253" i="2"/>
  <c r="AD261" i="2"/>
  <c r="AD269" i="2"/>
  <c r="AD277" i="2"/>
  <c r="AD285" i="2"/>
  <c r="AD293" i="2"/>
  <c r="AD301" i="2"/>
  <c r="AD309" i="2"/>
  <c r="AD317" i="2"/>
  <c r="AD325" i="2"/>
  <c r="AD333" i="2"/>
  <c r="AD359" i="2"/>
  <c r="AD367" i="2"/>
  <c r="AD375" i="2"/>
  <c r="AD383" i="2"/>
  <c r="AD391" i="2"/>
  <c r="AD399" i="2"/>
  <c r="AD407" i="2"/>
  <c r="AD415" i="2"/>
  <c r="AD434" i="2"/>
  <c r="AD442" i="2"/>
  <c r="AD450" i="2"/>
  <c r="AD458" i="2"/>
  <c r="AD466" i="2"/>
  <c r="AD474" i="2"/>
  <c r="AD483" i="2"/>
  <c r="AD491" i="2"/>
  <c r="AD499" i="2"/>
  <c r="AD164" i="2"/>
  <c r="AD172" i="2"/>
  <c r="AD180" i="2"/>
  <c r="AD188" i="2"/>
  <c r="AD196" i="2"/>
  <c r="AD204" i="2"/>
  <c r="AD212" i="2"/>
  <c r="AD220" i="2"/>
  <c r="AD228" i="2"/>
  <c r="AD236" i="2"/>
  <c r="AD244" i="2"/>
  <c r="AD252" i="2"/>
  <c r="AD260" i="2"/>
  <c r="AD268" i="2"/>
  <c r="AD276" i="2"/>
  <c r="AD284" i="2"/>
  <c r="AD292" i="2"/>
  <c r="AD300" i="2"/>
  <c r="AD308" i="2"/>
  <c r="AD316" i="2"/>
  <c r="AD324" i="2"/>
  <c r="AD332" i="2"/>
  <c r="AD358" i="2"/>
  <c r="AD366" i="2"/>
  <c r="AD374" i="2"/>
  <c r="AD382" i="2"/>
  <c r="AD390" i="2"/>
  <c r="AD398" i="2"/>
  <c r="AD406" i="2"/>
  <c r="AD414" i="2"/>
  <c r="AD433" i="2"/>
  <c r="AD441" i="2"/>
  <c r="AD449" i="2"/>
  <c r="AD457" i="2"/>
  <c r="AD465" i="2"/>
  <c r="AD473" i="2"/>
  <c r="AD482" i="2"/>
  <c r="AD490" i="2"/>
  <c r="AD498" i="2"/>
  <c r="AD251" i="2"/>
  <c r="AD259" i="2"/>
  <c r="AD267" i="2"/>
  <c r="AD275" i="2"/>
  <c r="AD283" i="2"/>
  <c r="AD291" i="2"/>
  <c r="AD299" i="2"/>
  <c r="AD307" i="2"/>
  <c r="AD315" i="2"/>
  <c r="AD323" i="2"/>
  <c r="AD331" i="2"/>
  <c r="AD357" i="2"/>
  <c r="AD365" i="2"/>
  <c r="AD373" i="2"/>
  <c r="AD381" i="2"/>
  <c r="AD389" i="2"/>
  <c r="AD397" i="2"/>
  <c r="AD405" i="2"/>
  <c r="AD413" i="2"/>
  <c r="AD421" i="2"/>
  <c r="AD432" i="2"/>
  <c r="AD440" i="2"/>
  <c r="AD448" i="2"/>
  <c r="AD456" i="2"/>
  <c r="AD464" i="2"/>
  <c r="AD472" i="2"/>
  <c r="AD480" i="2"/>
  <c r="AD489" i="2"/>
  <c r="AD497" i="2"/>
  <c r="AD355" i="2"/>
  <c r="AD363" i="2"/>
  <c r="AD371" i="2"/>
  <c r="AD379" i="2"/>
  <c r="AD387" i="2"/>
  <c r="AD395" i="2"/>
  <c r="AD403" i="2"/>
  <c r="AD411" i="2"/>
  <c r="AD419" i="2"/>
  <c r="AD430" i="2"/>
  <c r="AD438" i="2"/>
  <c r="AD446" i="2"/>
  <c r="AD454" i="2"/>
  <c r="AD462" i="2"/>
  <c r="AD470" i="2"/>
  <c r="AD478" i="2"/>
  <c r="AD487" i="2"/>
  <c r="AD495" i="2"/>
  <c r="P496" i="1"/>
  <c r="P480" i="1"/>
  <c r="P464" i="1"/>
  <c r="P448" i="1"/>
  <c r="P432" i="1"/>
  <c r="P416" i="1"/>
  <c r="P400" i="1"/>
  <c r="P384" i="1"/>
  <c r="P348" i="1"/>
  <c r="P306" i="1"/>
  <c r="P495" i="1"/>
  <c r="P479" i="1"/>
  <c r="P463" i="1"/>
  <c r="P447" i="1"/>
  <c r="P431" i="1"/>
  <c r="P415" i="1"/>
  <c r="P399" i="1"/>
  <c r="P380" i="1"/>
  <c r="P343" i="1"/>
  <c r="P300" i="1"/>
  <c r="P476" i="1"/>
  <c r="P444" i="1"/>
  <c r="P376" i="1"/>
  <c r="P491" i="1"/>
  <c r="P475" i="1"/>
  <c r="P459" i="1"/>
  <c r="P443" i="1"/>
  <c r="P427" i="1"/>
  <c r="P411" i="1"/>
  <c r="P395" i="1"/>
  <c r="P372" i="1"/>
  <c r="P332" i="1"/>
  <c r="P290" i="1"/>
  <c r="P295" i="1"/>
  <c r="P488" i="1"/>
  <c r="P472" i="1"/>
  <c r="P456" i="1"/>
  <c r="P440" i="1"/>
  <c r="P424" i="1"/>
  <c r="P408" i="1"/>
  <c r="P392" i="1"/>
  <c r="P368" i="1"/>
  <c r="P327" i="1"/>
  <c r="P284" i="1"/>
  <c r="P338" i="1"/>
  <c r="P487" i="1"/>
  <c r="P471" i="1"/>
  <c r="P455" i="1"/>
  <c r="P439" i="1"/>
  <c r="P423" i="1"/>
  <c r="P407" i="1"/>
  <c r="P391" i="1"/>
  <c r="P364" i="1"/>
  <c r="P322" i="1"/>
  <c r="P279" i="1"/>
  <c r="P492" i="1"/>
  <c r="P460" i="1"/>
  <c r="P428" i="1"/>
  <c r="P412" i="1"/>
  <c r="P500" i="1"/>
  <c r="P484" i="1"/>
  <c r="P468" i="1"/>
  <c r="P452" i="1"/>
  <c r="P436" i="1"/>
  <c r="P420" i="1"/>
  <c r="P404" i="1"/>
  <c r="P388" i="1"/>
  <c r="P359" i="1"/>
  <c r="P316" i="1"/>
  <c r="P274" i="1"/>
  <c r="P396" i="1"/>
  <c r="P499" i="1"/>
  <c r="P483" i="1"/>
  <c r="P467" i="1"/>
  <c r="P451" i="1"/>
  <c r="P435" i="1"/>
  <c r="P419" i="1"/>
  <c r="P403" i="1"/>
  <c r="P387" i="1"/>
  <c r="P354" i="1"/>
  <c r="P311" i="1"/>
  <c r="P268" i="1"/>
  <c r="P263" i="1"/>
  <c r="P258" i="1"/>
  <c r="P252" i="1"/>
  <c r="P247" i="1"/>
  <c r="P242" i="1"/>
  <c r="P236" i="1"/>
  <c r="P231" i="1"/>
  <c r="P226" i="1"/>
  <c r="P220" i="1"/>
  <c r="P353" i="1"/>
  <c r="P337" i="1"/>
  <c r="P321" i="1"/>
  <c r="P305" i="1"/>
  <c r="P289" i="1"/>
  <c r="P273" i="1"/>
  <c r="P257" i="1"/>
  <c r="P241" i="1"/>
  <c r="P225" i="1"/>
  <c r="P211" i="1"/>
  <c r="P199" i="1"/>
  <c r="P183" i="1"/>
  <c r="P167" i="1"/>
  <c r="P151" i="1"/>
  <c r="P135" i="1"/>
  <c r="P119" i="1"/>
  <c r="P103" i="1"/>
  <c r="P87" i="1"/>
  <c r="P71" i="1"/>
  <c r="P55" i="1"/>
  <c r="P39" i="1"/>
  <c r="P352" i="1"/>
  <c r="P357" i="1"/>
  <c r="P341" i="1"/>
  <c r="P325" i="1"/>
  <c r="P309" i="1"/>
  <c r="P293" i="1"/>
  <c r="P277" i="1"/>
  <c r="P261" i="1"/>
  <c r="P245" i="1"/>
  <c r="P229" i="1"/>
  <c r="P217" i="1"/>
  <c r="P195" i="1"/>
  <c r="P179" i="1"/>
  <c r="P163" i="1"/>
  <c r="P147" i="1"/>
  <c r="P131" i="1"/>
  <c r="P115" i="1"/>
  <c r="P99" i="1"/>
  <c r="P83" i="1"/>
  <c r="P67" i="1"/>
  <c r="P51" i="1"/>
  <c r="P35" i="1"/>
  <c r="P331" i="1"/>
  <c r="P502" i="1"/>
  <c r="P498" i="1"/>
  <c r="P494" i="1"/>
  <c r="P490" i="1"/>
  <c r="P486" i="1"/>
  <c r="P482" i="1"/>
  <c r="P478" i="1"/>
  <c r="P474" i="1"/>
  <c r="P470" i="1"/>
  <c r="P466" i="1"/>
  <c r="P462" i="1"/>
  <c r="P458" i="1"/>
  <c r="P454" i="1"/>
  <c r="P450" i="1"/>
  <c r="P446" i="1"/>
  <c r="P442" i="1"/>
  <c r="P438" i="1"/>
  <c r="P434" i="1"/>
  <c r="P430" i="1"/>
  <c r="P426" i="1"/>
  <c r="P422" i="1"/>
  <c r="P418" i="1"/>
  <c r="P414" i="1"/>
  <c r="P410" i="1"/>
  <c r="P406" i="1"/>
  <c r="P402" i="1"/>
  <c r="P398" i="1"/>
  <c r="P394" i="1"/>
  <c r="P390" i="1"/>
  <c r="P386" i="1"/>
  <c r="P382" i="1"/>
  <c r="P378" i="1"/>
  <c r="P374" i="1"/>
  <c r="P370" i="1"/>
  <c r="P366" i="1"/>
  <c r="P362" i="1"/>
  <c r="P356" i="1"/>
  <c r="P351" i="1"/>
  <c r="P346" i="1"/>
  <c r="P340" i="1"/>
  <c r="P335" i="1"/>
  <c r="P330" i="1"/>
  <c r="P324" i="1"/>
  <c r="P319" i="1"/>
  <c r="P314" i="1"/>
  <c r="P308" i="1"/>
  <c r="P303" i="1"/>
  <c r="P298" i="1"/>
  <c r="P292" i="1"/>
  <c r="P287" i="1"/>
  <c r="P282" i="1"/>
  <c r="P276" i="1"/>
  <c r="P271" i="1"/>
  <c r="P266" i="1"/>
  <c r="P260" i="1"/>
  <c r="P255" i="1"/>
  <c r="P250" i="1"/>
  <c r="P244" i="1"/>
  <c r="P239" i="1"/>
  <c r="P234" i="1"/>
  <c r="P228" i="1"/>
  <c r="P223" i="1"/>
  <c r="P216" i="1"/>
  <c r="P207" i="1"/>
  <c r="P379" i="1"/>
  <c r="P367" i="1"/>
  <c r="P336" i="1"/>
  <c r="P315" i="1"/>
  <c r="P288" i="1"/>
  <c r="P272" i="1"/>
  <c r="P235" i="1"/>
  <c r="P361" i="1"/>
  <c r="P345" i="1"/>
  <c r="P329" i="1"/>
  <c r="P313" i="1"/>
  <c r="P297" i="1"/>
  <c r="P281" i="1"/>
  <c r="P265" i="1"/>
  <c r="P249" i="1"/>
  <c r="P233" i="1"/>
  <c r="P204" i="1"/>
  <c r="P191" i="1"/>
  <c r="P175" i="1"/>
  <c r="P159" i="1"/>
  <c r="P143" i="1"/>
  <c r="P127" i="1"/>
  <c r="P111" i="1"/>
  <c r="P95" i="1"/>
  <c r="P79" i="1"/>
  <c r="P63" i="1"/>
  <c r="P47" i="1"/>
  <c r="P31" i="1"/>
  <c r="P371" i="1"/>
  <c r="P358" i="1"/>
  <c r="P342" i="1"/>
  <c r="P320" i="1"/>
  <c r="P304" i="1"/>
  <c r="P294" i="1"/>
  <c r="P278" i="1"/>
  <c r="P262" i="1"/>
  <c r="P251" i="1"/>
  <c r="P240" i="1"/>
  <c r="P224" i="1"/>
  <c r="P208" i="1"/>
  <c r="P501" i="1"/>
  <c r="P497" i="1"/>
  <c r="P493" i="1"/>
  <c r="P489" i="1"/>
  <c r="P485" i="1"/>
  <c r="P481" i="1"/>
  <c r="P477" i="1"/>
  <c r="P473" i="1"/>
  <c r="P469" i="1"/>
  <c r="P465" i="1"/>
  <c r="P461" i="1"/>
  <c r="P457" i="1"/>
  <c r="P453" i="1"/>
  <c r="P449" i="1"/>
  <c r="P445" i="1"/>
  <c r="P441" i="1"/>
  <c r="P437" i="1"/>
  <c r="P433" i="1"/>
  <c r="P429" i="1"/>
  <c r="P425" i="1"/>
  <c r="P421" i="1"/>
  <c r="P417" i="1"/>
  <c r="P413" i="1"/>
  <c r="P409" i="1"/>
  <c r="P405" i="1"/>
  <c r="P401" i="1"/>
  <c r="P397" i="1"/>
  <c r="P393" i="1"/>
  <c r="P389" i="1"/>
  <c r="P385" i="1"/>
  <c r="P381" i="1"/>
  <c r="P377" i="1"/>
  <c r="P373" i="1"/>
  <c r="P369" i="1"/>
  <c r="P365" i="1"/>
  <c r="P360" i="1"/>
  <c r="P355" i="1"/>
  <c r="P350" i="1"/>
  <c r="P344" i="1"/>
  <c r="P339" i="1"/>
  <c r="P334" i="1"/>
  <c r="P328" i="1"/>
  <c r="P323" i="1"/>
  <c r="P318" i="1"/>
  <c r="P312" i="1"/>
  <c r="P307" i="1"/>
  <c r="P302" i="1"/>
  <c r="P296" i="1"/>
  <c r="P291" i="1"/>
  <c r="P286" i="1"/>
  <c r="P280" i="1"/>
  <c r="P275" i="1"/>
  <c r="P270" i="1"/>
  <c r="P264" i="1"/>
  <c r="P259" i="1"/>
  <c r="P254" i="1"/>
  <c r="P248" i="1"/>
  <c r="P243" i="1"/>
  <c r="P238" i="1"/>
  <c r="P232" i="1"/>
  <c r="P227" i="1"/>
  <c r="P222" i="1"/>
  <c r="P215" i="1"/>
  <c r="P383" i="1"/>
  <c r="P375" i="1"/>
  <c r="P363" i="1"/>
  <c r="P347" i="1"/>
  <c r="P326" i="1"/>
  <c r="P310" i="1"/>
  <c r="P299" i="1"/>
  <c r="P283" i="1"/>
  <c r="P267" i="1"/>
  <c r="P256" i="1"/>
  <c r="P246" i="1"/>
  <c r="P230" i="1"/>
  <c r="P219" i="1"/>
  <c r="P349" i="1"/>
  <c r="P333" i="1"/>
  <c r="P317" i="1"/>
  <c r="P301" i="1"/>
  <c r="P285" i="1"/>
  <c r="P269" i="1"/>
  <c r="P253" i="1"/>
  <c r="P237" i="1"/>
  <c r="P221" i="1"/>
  <c r="P212" i="1"/>
  <c r="P203" i="1"/>
  <c r="P187" i="1"/>
  <c r="P171" i="1"/>
  <c r="P155" i="1"/>
  <c r="P139" i="1"/>
  <c r="P123" i="1"/>
  <c r="P107" i="1"/>
  <c r="P91" i="1"/>
  <c r="P75" i="1"/>
  <c r="P59" i="1"/>
  <c r="P43" i="1"/>
  <c r="P27" i="1"/>
  <c r="P218" i="1"/>
  <c r="P214" i="1"/>
  <c r="P210" i="1"/>
  <c r="P206" i="1"/>
  <c r="P202" i="1"/>
  <c r="P198" i="1"/>
  <c r="P194" i="1"/>
  <c r="P190" i="1"/>
  <c r="P186" i="1"/>
  <c r="P182" i="1"/>
  <c r="P178" i="1"/>
  <c r="P174" i="1"/>
  <c r="P170" i="1"/>
  <c r="P166" i="1"/>
  <c r="P162" i="1"/>
  <c r="P158" i="1"/>
  <c r="P154" i="1"/>
  <c r="P150" i="1"/>
  <c r="P146" i="1"/>
  <c r="P142" i="1"/>
  <c r="P138" i="1"/>
  <c r="P134" i="1"/>
  <c r="P130" i="1"/>
  <c r="P126" i="1"/>
  <c r="P122" i="1"/>
  <c r="P118" i="1"/>
  <c r="P114" i="1"/>
  <c r="P110" i="1"/>
  <c r="P106" i="1"/>
  <c r="P102" i="1"/>
  <c r="P98" i="1"/>
  <c r="P94" i="1"/>
  <c r="P90" i="1"/>
  <c r="P86" i="1"/>
  <c r="P82" i="1"/>
  <c r="P78" i="1"/>
  <c r="P74" i="1"/>
  <c r="P70" i="1"/>
  <c r="P66" i="1"/>
  <c r="P62" i="1"/>
  <c r="P58" i="1"/>
  <c r="P54" i="1"/>
  <c r="P50" i="1"/>
  <c r="P46" i="1"/>
  <c r="P42" i="1"/>
  <c r="P38" i="1"/>
  <c r="P34" i="1"/>
  <c r="P30" i="1"/>
  <c r="P26" i="1"/>
  <c r="P213" i="1"/>
  <c r="P209" i="1"/>
  <c r="P205" i="1"/>
  <c r="P201" i="1"/>
  <c r="P197" i="1"/>
  <c r="P193" i="1"/>
  <c r="P189" i="1"/>
  <c r="P185" i="1"/>
  <c r="P181" i="1"/>
  <c r="P177" i="1"/>
  <c r="P173" i="1"/>
  <c r="P169" i="1"/>
  <c r="P165" i="1"/>
  <c r="P161" i="1"/>
  <c r="P157" i="1"/>
  <c r="P153" i="1"/>
  <c r="P149" i="1"/>
  <c r="P145" i="1"/>
  <c r="P141" i="1"/>
  <c r="P137" i="1"/>
  <c r="P133" i="1"/>
  <c r="P129" i="1"/>
  <c r="P125" i="1"/>
  <c r="P121" i="1"/>
  <c r="P117" i="1"/>
  <c r="P113" i="1"/>
  <c r="P109" i="1"/>
  <c r="P105" i="1"/>
  <c r="P101" i="1"/>
  <c r="P97" i="1"/>
  <c r="P93" i="1"/>
  <c r="P89" i="1"/>
  <c r="P85" i="1"/>
  <c r="P81" i="1"/>
  <c r="P77" i="1"/>
  <c r="P73" i="1"/>
  <c r="P69" i="1"/>
  <c r="P65" i="1"/>
  <c r="P61" i="1"/>
  <c r="P57" i="1"/>
  <c r="P53" i="1"/>
  <c r="P49" i="1"/>
  <c r="P45" i="1"/>
  <c r="P41" i="1"/>
  <c r="P37" i="1"/>
  <c r="P33" i="1"/>
  <c r="P29" i="1"/>
  <c r="P25" i="1"/>
  <c r="P200" i="1"/>
  <c r="P196" i="1"/>
  <c r="P192" i="1"/>
  <c r="P188" i="1"/>
  <c r="P184" i="1"/>
  <c r="P180" i="1"/>
  <c r="P176" i="1"/>
  <c r="P172" i="1"/>
  <c r="P168" i="1"/>
  <c r="P164" i="1"/>
  <c r="P160" i="1"/>
  <c r="P156" i="1"/>
  <c r="P152" i="1"/>
  <c r="P148" i="1"/>
  <c r="P144" i="1"/>
  <c r="P140" i="1"/>
  <c r="P136" i="1"/>
  <c r="P132" i="1"/>
  <c r="P128" i="1"/>
  <c r="P124" i="1"/>
  <c r="P120" i="1"/>
  <c r="P116" i="1"/>
  <c r="P112" i="1"/>
  <c r="P108" i="1"/>
  <c r="P104" i="1"/>
  <c r="P100" i="1"/>
  <c r="P96" i="1"/>
  <c r="P92" i="1"/>
  <c r="P88" i="1"/>
  <c r="P84" i="1"/>
  <c r="P80" i="1"/>
  <c r="P76" i="1"/>
  <c r="P72" i="1"/>
  <c r="P68" i="1"/>
  <c r="P64" i="1"/>
  <c r="P60" i="1"/>
  <c r="P56" i="1"/>
  <c r="P52" i="1"/>
  <c r="P48" i="1"/>
  <c r="P44" i="1"/>
  <c r="P40" i="1"/>
  <c r="P36" i="1"/>
  <c r="P32" i="1"/>
  <c r="P28" i="1"/>
  <c r="P24" i="1"/>
  <c r="P6" i="1"/>
  <c r="P10" i="1"/>
  <c r="P21" i="1"/>
  <c r="P17" i="1"/>
  <c r="P13" i="1"/>
  <c r="P9" i="1"/>
  <c r="P5" i="1"/>
  <c r="P14" i="1"/>
  <c r="P20" i="1"/>
  <c r="P16" i="1"/>
  <c r="P12" i="1"/>
  <c r="P8" i="1"/>
  <c r="P4" i="1"/>
  <c r="P22" i="1"/>
  <c r="P18" i="1"/>
  <c r="P23" i="1"/>
  <c r="P19" i="1"/>
  <c r="P15" i="1"/>
  <c r="P11" i="1"/>
  <c r="P7" i="1"/>
  <c r="P3" i="1"/>
  <c r="P2" i="1"/>
  <c r="Q408" i="1"/>
  <c r="Q472" i="1"/>
  <c r="Q6" i="1"/>
  <c r="Q22" i="1"/>
  <c r="Q38" i="1"/>
  <c r="Q46" i="1"/>
  <c r="Q62" i="1"/>
  <c r="Q78" i="1"/>
  <c r="Q95" i="1"/>
  <c r="Q112" i="1"/>
  <c r="Q128" i="1"/>
  <c r="Q144" i="1"/>
  <c r="Q160" i="1"/>
  <c r="Q168" i="1"/>
  <c r="Q184" i="1"/>
  <c r="Q200" i="1"/>
  <c r="Q216" i="1"/>
  <c r="Q240" i="1"/>
  <c r="Q256" i="1"/>
  <c r="Q272" i="1"/>
  <c r="Q288" i="1"/>
  <c r="Q304" i="1"/>
  <c r="Q320" i="1"/>
  <c r="Q336" i="1"/>
  <c r="Q14" i="1"/>
  <c r="Q30" i="1"/>
  <c r="Q54" i="1"/>
  <c r="Q70" i="1"/>
  <c r="Q87" i="1"/>
  <c r="Q104" i="1"/>
  <c r="Q120" i="1"/>
  <c r="Q136" i="1"/>
  <c r="Q152" i="1"/>
  <c r="Q176" i="1"/>
  <c r="Q192" i="1"/>
  <c r="Q208" i="1"/>
  <c r="Q224" i="1"/>
  <c r="Q248" i="1"/>
  <c r="Q264" i="1"/>
  <c r="Q280" i="1"/>
  <c r="Q296" i="1"/>
  <c r="Q312" i="1"/>
  <c r="Q328" i="1"/>
  <c r="Q344" i="1"/>
  <c r="Q360" i="1"/>
  <c r="Q464" i="1"/>
  <c r="Q400" i="1"/>
  <c r="Q456" i="1"/>
  <c r="Q392" i="1"/>
  <c r="Q448" i="1"/>
  <c r="Q384" i="1"/>
  <c r="Q440" i="1"/>
  <c r="Q376" i="1"/>
  <c r="Q496" i="1"/>
  <c r="Q432" i="1"/>
  <c r="Q368" i="1"/>
  <c r="Q488" i="1"/>
  <c r="Q424" i="1"/>
  <c r="Q352" i="1"/>
  <c r="Q480" i="1"/>
  <c r="Q416" i="1"/>
  <c r="Q232" i="1"/>
  <c r="Q500" i="1"/>
  <c r="Q492" i="1"/>
  <c r="Q484" i="1"/>
  <c r="Q476" i="1"/>
  <c r="Q468" i="1"/>
  <c r="Q460" i="1"/>
  <c r="Q452" i="1"/>
  <c r="Q444" i="1"/>
  <c r="Q436" i="1"/>
  <c r="Q428" i="1"/>
  <c r="Q420" i="1"/>
  <c r="Q412" i="1"/>
  <c r="Q404" i="1"/>
  <c r="Q396" i="1"/>
  <c r="Q388" i="1"/>
  <c r="Q380" i="1"/>
  <c r="Q372" i="1"/>
  <c r="Q364" i="1"/>
  <c r="Q356" i="1"/>
  <c r="Q348" i="1"/>
  <c r="Q340" i="1"/>
  <c r="Q332" i="1"/>
  <c r="Q324" i="1"/>
  <c r="Q316" i="1"/>
  <c r="Q308" i="1"/>
  <c r="Q300" i="1"/>
  <c r="Q292" i="1"/>
  <c r="Q284" i="1"/>
  <c r="Q276" i="1"/>
  <c r="Q268" i="1"/>
  <c r="Q260" i="1"/>
  <c r="Q252" i="1"/>
  <c r="Q244" i="1"/>
  <c r="Q236" i="1"/>
  <c r="Q228" i="1"/>
  <c r="Q220" i="1"/>
  <c r="Q212" i="1"/>
  <c r="Q204" i="1"/>
  <c r="Q196" i="1"/>
  <c r="Q188" i="1"/>
  <c r="Q180" i="1"/>
  <c r="Q172" i="1"/>
  <c r="Q164" i="1"/>
  <c r="Q156" i="1"/>
  <c r="Q148" i="1"/>
  <c r="Q140" i="1"/>
  <c r="Q132" i="1"/>
  <c r="Q124" i="1"/>
  <c r="Q116" i="1"/>
  <c r="Q108" i="1"/>
  <c r="Q100" i="1"/>
  <c r="Q91" i="1"/>
  <c r="Q83" i="1"/>
  <c r="Q74" i="1"/>
  <c r="Q66" i="1"/>
  <c r="Q58" i="1"/>
  <c r="Q50" i="1"/>
  <c r="Q42" i="1"/>
  <c r="Q34" i="1"/>
  <c r="Q26" i="1"/>
  <c r="Q18" i="1"/>
  <c r="Q10" i="1"/>
  <c r="Q499" i="1"/>
  <c r="Q491" i="1"/>
  <c r="Q483" i="1"/>
  <c r="Q475" i="1"/>
  <c r="Q467" i="1"/>
  <c r="Q459" i="1"/>
  <c r="Q451" i="1"/>
  <c r="Q443" i="1"/>
  <c r="Q435" i="1"/>
  <c r="Q427" i="1"/>
  <c r="Q419" i="1"/>
  <c r="Q411" i="1"/>
  <c r="Q403" i="1"/>
  <c r="Q395" i="1"/>
  <c r="Q387" i="1"/>
  <c r="Q379" i="1"/>
  <c r="Q371" i="1"/>
  <c r="Q363" i="1"/>
  <c r="Q355" i="1"/>
  <c r="Q347" i="1"/>
  <c r="Q339" i="1"/>
  <c r="Q331" i="1"/>
  <c r="Q323" i="1"/>
  <c r="Q315" i="1"/>
  <c r="Q307" i="1"/>
  <c r="Q299" i="1"/>
  <c r="Q291" i="1"/>
  <c r="Q283" i="1"/>
  <c r="Q275" i="1"/>
  <c r="Q267" i="1"/>
  <c r="Q259" i="1"/>
  <c r="Q251" i="1"/>
  <c r="Q243" i="1"/>
  <c r="Q235" i="1"/>
  <c r="Q227" i="1"/>
  <c r="Q219" i="1"/>
  <c r="Q211" i="1"/>
  <c r="Q203" i="1"/>
  <c r="Q195" i="1"/>
  <c r="Q187" i="1"/>
  <c r="Q179" i="1"/>
  <c r="Q171" i="1"/>
  <c r="Q163" i="1"/>
  <c r="Q155" i="1"/>
  <c r="Q147" i="1"/>
  <c r="Q139" i="1"/>
  <c r="Q131" i="1"/>
  <c r="Q123" i="1"/>
  <c r="Q115" i="1"/>
  <c r="Q107" i="1"/>
  <c r="Q99" i="1"/>
  <c r="Q90" i="1"/>
  <c r="Q81" i="1"/>
  <c r="Q73" i="1"/>
  <c r="Q65" i="1"/>
  <c r="Q57" i="1"/>
  <c r="Q49" i="1"/>
  <c r="Q41" i="1"/>
  <c r="Q33" i="1"/>
  <c r="Q25" i="1"/>
  <c r="Q17" i="1"/>
  <c r="Q9" i="1"/>
  <c r="Q498" i="1"/>
  <c r="Q490" i="1"/>
  <c r="Q482" i="1"/>
  <c r="Q474" i="1"/>
  <c r="Q466" i="1"/>
  <c r="Q458" i="1"/>
  <c r="Q450" i="1"/>
  <c r="Q442" i="1"/>
  <c r="Q434" i="1"/>
  <c r="Q426" i="1"/>
  <c r="Q418" i="1"/>
  <c r="Q410" i="1"/>
  <c r="Q402" i="1"/>
  <c r="Q394" i="1"/>
  <c r="Q386" i="1"/>
  <c r="Q378" i="1"/>
  <c r="Q370" i="1"/>
  <c r="Q362" i="1"/>
  <c r="Q354" i="1"/>
  <c r="Q346" i="1"/>
  <c r="Q338" i="1"/>
  <c r="Q330" i="1"/>
  <c r="Q322" i="1"/>
  <c r="Q314" i="1"/>
  <c r="Q306" i="1"/>
  <c r="Q298" i="1"/>
  <c r="Q290" i="1"/>
  <c r="Q282" i="1"/>
  <c r="Q274" i="1"/>
  <c r="Q266" i="1"/>
  <c r="Q258" i="1"/>
  <c r="Q250" i="1"/>
  <c r="Q242" i="1"/>
  <c r="Q234" i="1"/>
  <c r="Q226" i="1"/>
  <c r="Q218" i="1"/>
  <c r="Q210" i="1"/>
  <c r="Q202" i="1"/>
  <c r="Q194" i="1"/>
  <c r="Q186" i="1"/>
  <c r="Q178" i="1"/>
  <c r="Q170" i="1"/>
  <c r="Q162" i="1"/>
  <c r="Q154" i="1"/>
  <c r="Q146" i="1"/>
  <c r="Q138" i="1"/>
  <c r="Q130" i="1"/>
  <c r="Q122" i="1"/>
  <c r="Q114" i="1"/>
  <c r="Q106" i="1"/>
  <c r="Q98" i="1"/>
  <c r="Q89" i="1"/>
  <c r="Q80" i="1"/>
  <c r="Q72" i="1"/>
  <c r="Q64" i="1"/>
  <c r="Q56" i="1"/>
  <c r="Q48" i="1"/>
  <c r="Q40" i="1"/>
  <c r="Q32" i="1"/>
  <c r="Q24" i="1"/>
  <c r="Q16" i="1"/>
  <c r="Q8" i="1"/>
  <c r="Q497" i="1"/>
  <c r="Q489" i="1"/>
  <c r="Q481" i="1"/>
  <c r="Q473" i="1"/>
  <c r="Q465" i="1"/>
  <c r="Q457" i="1"/>
  <c r="Q449" i="1"/>
  <c r="Q441" i="1"/>
  <c r="Q433" i="1"/>
  <c r="Q425" i="1"/>
  <c r="Q417" i="1"/>
  <c r="Q409" i="1"/>
  <c r="Q401" i="1"/>
  <c r="Q393" i="1"/>
  <c r="Q385" i="1"/>
  <c r="Q377" i="1"/>
  <c r="Q369" i="1"/>
  <c r="Q361" i="1"/>
  <c r="Q353" i="1"/>
  <c r="Q345" i="1"/>
  <c r="Q337" i="1"/>
  <c r="Q329" i="1"/>
  <c r="Q321" i="1"/>
  <c r="Q313" i="1"/>
  <c r="Q305" i="1"/>
  <c r="Q297" i="1"/>
  <c r="Q289" i="1"/>
  <c r="Q281" i="1"/>
  <c r="Q273" i="1"/>
  <c r="Q265" i="1"/>
  <c r="Q257" i="1"/>
  <c r="Q249" i="1"/>
  <c r="Q241" i="1"/>
  <c r="Q233" i="1"/>
  <c r="Q225" i="1"/>
  <c r="Q217" i="1"/>
  <c r="Q209" i="1"/>
  <c r="Q201" i="1"/>
  <c r="Q193" i="1"/>
  <c r="Q185" i="1"/>
  <c r="Q177" i="1"/>
  <c r="Q169" i="1"/>
  <c r="Q161" i="1"/>
  <c r="Q153" i="1"/>
  <c r="Q145" i="1"/>
  <c r="Q137" i="1"/>
  <c r="Q129" i="1"/>
  <c r="Q121" i="1"/>
  <c r="Q113" i="1"/>
  <c r="Q105" i="1"/>
  <c r="Q96" i="1"/>
  <c r="Q88" i="1"/>
  <c r="Q79" i="1"/>
  <c r="Q71" i="1"/>
  <c r="Q63" i="1"/>
  <c r="Q55" i="1"/>
  <c r="Q47" i="1"/>
  <c r="Q39" i="1"/>
  <c r="Q31" i="1"/>
  <c r="Q23" i="1"/>
  <c r="Q15" i="1"/>
  <c r="Q7" i="1"/>
  <c r="Q2" i="1"/>
  <c r="Q495" i="1"/>
  <c r="Q487" i="1"/>
  <c r="Q479" i="1"/>
  <c r="Q471" i="1"/>
  <c r="Q463" i="1"/>
  <c r="Q455" i="1"/>
  <c r="Q447" i="1"/>
  <c r="Q439" i="1"/>
  <c r="Q431" i="1"/>
  <c r="Q423" i="1"/>
  <c r="Q415" i="1"/>
  <c r="Q407" i="1"/>
  <c r="Q399" i="1"/>
  <c r="Q391" i="1"/>
  <c r="Q383" i="1"/>
  <c r="Q375" i="1"/>
  <c r="Q367" i="1"/>
  <c r="Q359" i="1"/>
  <c r="Q351" i="1"/>
  <c r="Q343" i="1"/>
  <c r="Q335" i="1"/>
  <c r="Q327" i="1"/>
  <c r="Q319" i="1"/>
  <c r="Q311" i="1"/>
  <c r="Q303" i="1"/>
  <c r="Q295" i="1"/>
  <c r="Q287" i="1"/>
  <c r="Q279" i="1"/>
  <c r="Q271" i="1"/>
  <c r="Q263" i="1"/>
  <c r="Q255" i="1"/>
  <c r="Q247" i="1"/>
  <c r="Q239" i="1"/>
  <c r="Q231" i="1"/>
  <c r="Q223" i="1"/>
  <c r="Q215" i="1"/>
  <c r="Q207" i="1"/>
  <c r="Q199" i="1"/>
  <c r="Q191" i="1"/>
  <c r="Q183" i="1"/>
  <c r="Q175" i="1"/>
  <c r="Q167" i="1"/>
  <c r="Q159" i="1"/>
  <c r="Q151" i="1"/>
  <c r="Q143" i="1"/>
  <c r="Q135" i="1"/>
  <c r="Q127" i="1"/>
  <c r="Q119" i="1"/>
  <c r="Q111" i="1"/>
  <c r="Q103" i="1"/>
  <c r="Q94" i="1"/>
  <c r="Q86" i="1"/>
  <c r="Q77" i="1"/>
  <c r="Q69" i="1"/>
  <c r="Q61" i="1"/>
  <c r="Q53" i="1"/>
  <c r="Q45" i="1"/>
  <c r="Q37" i="1"/>
  <c r="Q29" i="1"/>
  <c r="Q21" i="1"/>
  <c r="Q13" i="1"/>
  <c r="Q5" i="1"/>
  <c r="Q502" i="1"/>
  <c r="Q494" i="1"/>
  <c r="Q486" i="1"/>
  <c r="Q478" i="1"/>
  <c r="Q470" i="1"/>
  <c r="Q462" i="1"/>
  <c r="Q454" i="1"/>
  <c r="Q446" i="1"/>
  <c r="Q438" i="1"/>
  <c r="Q430" i="1"/>
  <c r="Q422" i="1"/>
  <c r="Q414" i="1"/>
  <c r="Q406" i="1"/>
  <c r="Q398" i="1"/>
  <c r="Q390" i="1"/>
  <c r="Q382" i="1"/>
  <c r="Q374" i="1"/>
  <c r="Q366" i="1"/>
  <c r="Q358" i="1"/>
  <c r="Q350" i="1"/>
  <c r="Q342" i="1"/>
  <c r="Q334" i="1"/>
  <c r="Q326" i="1"/>
  <c r="Q318" i="1"/>
  <c r="Q310" i="1"/>
  <c r="Q302" i="1"/>
  <c r="Q294" i="1"/>
  <c r="Q286" i="1"/>
  <c r="Q278" i="1"/>
  <c r="Q270" i="1"/>
  <c r="Q262" i="1"/>
  <c r="Q254" i="1"/>
  <c r="Q246" i="1"/>
  <c r="Q238" i="1"/>
  <c r="Q230" i="1"/>
  <c r="Q222" i="1"/>
  <c r="Q214" i="1"/>
  <c r="Q206" i="1"/>
  <c r="Q198" i="1"/>
  <c r="Q190" i="1"/>
  <c r="Q182" i="1"/>
  <c r="Q174" i="1"/>
  <c r="Q166" i="1"/>
  <c r="Q158" i="1"/>
  <c r="Q150" i="1"/>
  <c r="Q142" i="1"/>
  <c r="Q134" i="1"/>
  <c r="Q126" i="1"/>
  <c r="Q118" i="1"/>
  <c r="Q110" i="1"/>
  <c r="Q102" i="1"/>
  <c r="Q93" i="1"/>
  <c r="Q85" i="1"/>
  <c r="Q76" i="1"/>
  <c r="Q68" i="1"/>
  <c r="Q60" i="1"/>
  <c r="Q52" i="1"/>
  <c r="Q44" i="1"/>
  <c r="Q36" i="1"/>
  <c r="Q28" i="1"/>
  <c r="Q20" i="1"/>
  <c r="Q12" i="1"/>
  <c r="Q4" i="1"/>
  <c r="Q501" i="1"/>
  <c r="Q493" i="1"/>
  <c r="Q485" i="1"/>
  <c r="Q477" i="1"/>
  <c r="Q469" i="1"/>
  <c r="Q461" i="1"/>
  <c r="Q453" i="1"/>
  <c r="Q445" i="1"/>
  <c r="Q437" i="1"/>
  <c r="Q429" i="1"/>
  <c r="Q421" i="1"/>
  <c r="Q413" i="1"/>
  <c r="Q405" i="1"/>
  <c r="Q397" i="1"/>
  <c r="Q389" i="1"/>
  <c r="Q381" i="1"/>
  <c r="Q373" i="1"/>
  <c r="Q365" i="1"/>
  <c r="Q357" i="1"/>
  <c r="Q349" i="1"/>
  <c r="Q341" i="1"/>
  <c r="Q333" i="1"/>
  <c r="Q325" i="1"/>
  <c r="Q317" i="1"/>
  <c r="Q309" i="1"/>
  <c r="Q301" i="1"/>
  <c r="Q293" i="1"/>
  <c r="Q285" i="1"/>
  <c r="Q277" i="1"/>
  <c r="Q269" i="1"/>
  <c r="Q261" i="1"/>
  <c r="Q253" i="1"/>
  <c r="Q245" i="1"/>
  <c r="Q237" i="1"/>
  <c r="Q229" i="1"/>
  <c r="Q221" i="1"/>
  <c r="Q213" i="1"/>
  <c r="Q205" i="1"/>
  <c r="Q197" i="1"/>
  <c r="Q189" i="1"/>
  <c r="Q181" i="1"/>
  <c r="Q173" i="1"/>
  <c r="Q165" i="1"/>
  <c r="Q157" i="1"/>
  <c r="Q149" i="1"/>
  <c r="Q141" i="1"/>
  <c r="Q133" i="1"/>
  <c r="Q125" i="1"/>
  <c r="Q117" i="1"/>
  <c r="Q109" i="1"/>
  <c r="Q101" i="1"/>
  <c r="Q92" i="1"/>
  <c r="Q84" i="1"/>
  <c r="Q75" i="1"/>
  <c r="Q67" i="1"/>
  <c r="Q59" i="1"/>
  <c r="Q51" i="1"/>
  <c r="Q43" i="1"/>
  <c r="Q35" i="1"/>
  <c r="Q27" i="1"/>
  <c r="Q19" i="1"/>
  <c r="Q11" i="1"/>
  <c r="Q3" i="1"/>
  <c r="S453" i="1"/>
  <c r="S170" i="1"/>
  <c r="S283" i="1"/>
  <c r="S36" i="1"/>
  <c r="S33" i="1"/>
  <c r="S90" i="1"/>
  <c r="S300" i="1"/>
  <c r="S234" i="1"/>
  <c r="S21" i="1"/>
  <c r="S218" i="1"/>
  <c r="S19" i="1"/>
  <c r="S436" i="1"/>
  <c r="S154" i="1"/>
  <c r="S379" i="1"/>
  <c r="S106" i="1"/>
  <c r="S358" i="1"/>
  <c r="S444" i="1"/>
  <c r="S371" i="1"/>
  <c r="S291" i="1"/>
  <c r="S226" i="1"/>
  <c r="S162" i="1"/>
  <c r="S98" i="1"/>
  <c r="S34" i="1"/>
  <c r="S20" i="1"/>
  <c r="S493" i="1"/>
  <c r="S428" i="1"/>
  <c r="S350" i="1"/>
  <c r="S274" i="1"/>
  <c r="S210" i="1"/>
  <c r="S146" i="1"/>
  <c r="S82" i="1"/>
  <c r="S32" i="1"/>
  <c r="S18" i="1"/>
  <c r="S485" i="1"/>
  <c r="S415" i="1"/>
  <c r="S341" i="1"/>
  <c r="S266" i="1"/>
  <c r="S202" i="1"/>
  <c r="S138" i="1"/>
  <c r="S73" i="1"/>
  <c r="S30" i="1"/>
  <c r="S477" i="1"/>
  <c r="S404" i="1"/>
  <c r="S332" i="1"/>
  <c r="S258" i="1"/>
  <c r="S194" i="1"/>
  <c r="S130" i="1"/>
  <c r="S64" i="1"/>
  <c r="S29" i="1"/>
  <c r="S469" i="1"/>
  <c r="S396" i="1"/>
  <c r="S324" i="1"/>
  <c r="S250" i="1"/>
  <c r="S186" i="1"/>
  <c r="S122" i="1"/>
  <c r="S56" i="1"/>
  <c r="S26" i="1"/>
  <c r="S461" i="1"/>
  <c r="S388" i="1"/>
  <c r="S308" i="1"/>
  <c r="S242" i="1"/>
  <c r="S178" i="1"/>
  <c r="S114" i="1"/>
  <c r="S48" i="1"/>
  <c r="S22" i="1"/>
  <c r="S492" i="1"/>
  <c r="S484" i="1"/>
  <c r="S476" i="1"/>
  <c r="S468" i="1"/>
  <c r="S460" i="1"/>
  <c r="S452" i="1"/>
  <c r="S443" i="1"/>
  <c r="S435" i="1"/>
  <c r="S427" i="1"/>
  <c r="S414" i="1"/>
  <c r="S403" i="1"/>
  <c r="S395" i="1"/>
  <c r="S387" i="1"/>
  <c r="S378" i="1"/>
  <c r="S370" i="1"/>
  <c r="S357" i="1"/>
  <c r="S349" i="1"/>
  <c r="S340" i="1"/>
  <c r="S331" i="1"/>
  <c r="S323" i="1"/>
  <c r="S307" i="1"/>
  <c r="S299" i="1"/>
  <c r="S290" i="1"/>
  <c r="S282" i="1"/>
  <c r="S273" i="1"/>
  <c r="S265" i="1"/>
  <c r="S257" i="1"/>
  <c r="S249" i="1"/>
  <c r="S241" i="1"/>
  <c r="S233" i="1"/>
  <c r="S225" i="1"/>
  <c r="S217" i="1"/>
  <c r="S209" i="1"/>
  <c r="S201" i="1"/>
  <c r="S193" i="1"/>
  <c r="S185" i="1"/>
  <c r="S177" i="1"/>
  <c r="S169" i="1"/>
  <c r="S161" i="1"/>
  <c r="S153" i="1"/>
  <c r="S145" i="1"/>
  <c r="S137" i="1"/>
  <c r="S129" i="1"/>
  <c r="S121" i="1"/>
  <c r="S113" i="1"/>
  <c r="S105" i="1"/>
  <c r="S97" i="1"/>
  <c r="S89" i="1"/>
  <c r="S81" i="1"/>
  <c r="S72" i="1"/>
  <c r="S63" i="1"/>
  <c r="S55" i="1"/>
  <c r="S47" i="1"/>
  <c r="S491" i="1"/>
  <c r="S483" i="1"/>
  <c r="S475" i="1"/>
  <c r="S467" i="1"/>
  <c r="S459" i="1"/>
  <c r="S451" i="1"/>
  <c r="S442" i="1"/>
  <c r="S434" i="1"/>
  <c r="S426" i="1"/>
  <c r="S413" i="1"/>
  <c r="S402" i="1"/>
  <c r="S394" i="1"/>
  <c r="S386" i="1"/>
  <c r="S377" i="1"/>
  <c r="S368" i="1"/>
  <c r="S356" i="1"/>
  <c r="S348" i="1"/>
  <c r="S339" i="1"/>
  <c r="S330" i="1"/>
  <c r="S322" i="1"/>
  <c r="S306" i="1"/>
  <c r="S298" i="1"/>
  <c r="S289" i="1"/>
  <c r="S281" i="1"/>
  <c r="S272" i="1"/>
  <c r="S264" i="1"/>
  <c r="S256" i="1"/>
  <c r="S248" i="1"/>
  <c r="S240" i="1"/>
  <c r="S232" i="1"/>
  <c r="S224" i="1"/>
  <c r="S216" i="1"/>
  <c r="S208" i="1"/>
  <c r="S200" i="1"/>
  <c r="S192" i="1"/>
  <c r="S184" i="1"/>
  <c r="S176" i="1"/>
  <c r="S168" i="1"/>
  <c r="S160" i="1"/>
  <c r="S152" i="1"/>
  <c r="S144" i="1"/>
  <c r="S136" i="1"/>
  <c r="S128" i="1"/>
  <c r="S120" i="1"/>
  <c r="S112" i="1"/>
  <c r="S104" i="1"/>
  <c r="S96" i="1"/>
  <c r="S88" i="1"/>
  <c r="S80" i="1"/>
  <c r="S70" i="1"/>
  <c r="S62" i="1"/>
  <c r="S54" i="1"/>
  <c r="S46" i="1"/>
  <c r="S490" i="1"/>
  <c r="S482" i="1"/>
  <c r="S474" i="1"/>
  <c r="S466" i="1"/>
  <c r="S458" i="1"/>
  <c r="S450" i="1"/>
  <c r="S441" i="1"/>
  <c r="S433" i="1"/>
  <c r="S420" i="1"/>
  <c r="S412" i="1"/>
  <c r="S401" i="1"/>
  <c r="S393" i="1"/>
  <c r="S385" i="1"/>
  <c r="S376" i="1"/>
  <c r="S367" i="1"/>
  <c r="S355" i="1"/>
  <c r="S347" i="1"/>
  <c r="S338" i="1"/>
  <c r="S329" i="1"/>
  <c r="S321" i="1"/>
  <c r="S305" i="1"/>
  <c r="S297" i="1"/>
  <c r="S288" i="1"/>
  <c r="S280" i="1"/>
  <c r="S271" i="1"/>
  <c r="S263" i="1"/>
  <c r="S255" i="1"/>
  <c r="S247" i="1"/>
  <c r="S239" i="1"/>
  <c r="S231" i="1"/>
  <c r="S223" i="1"/>
  <c r="S215" i="1"/>
  <c r="S207" i="1"/>
  <c r="S199" i="1"/>
  <c r="S191" i="1"/>
  <c r="S183" i="1"/>
  <c r="S175" i="1"/>
  <c r="S167" i="1"/>
  <c r="S159" i="1"/>
  <c r="S151" i="1"/>
  <c r="S143" i="1"/>
  <c r="S135" i="1"/>
  <c r="S127" i="1"/>
  <c r="S119" i="1"/>
  <c r="S111" i="1"/>
  <c r="S103" i="1"/>
  <c r="S95" i="1"/>
  <c r="S87" i="1"/>
  <c r="S79" i="1"/>
  <c r="S69" i="1"/>
  <c r="S61" i="1"/>
  <c r="S53" i="1"/>
  <c r="S44" i="1"/>
  <c r="S489" i="1"/>
  <c r="S481" i="1"/>
  <c r="S473" i="1"/>
  <c r="S465" i="1"/>
  <c r="S457" i="1"/>
  <c r="S449" i="1"/>
  <c r="S440" i="1"/>
  <c r="S432" i="1"/>
  <c r="S419" i="1"/>
  <c r="S411" i="1"/>
  <c r="S400" i="1"/>
  <c r="S392" i="1"/>
  <c r="S383" i="1"/>
  <c r="S375" i="1"/>
  <c r="S366" i="1"/>
  <c r="S354" i="1"/>
  <c r="S346" i="1"/>
  <c r="S337" i="1"/>
  <c r="S328" i="1"/>
  <c r="S312" i="1"/>
  <c r="S304" i="1"/>
  <c r="S295" i="1"/>
  <c r="S287" i="1"/>
  <c r="S279" i="1"/>
  <c r="S270" i="1"/>
  <c r="S262" i="1"/>
  <c r="S254" i="1"/>
  <c r="S246" i="1"/>
  <c r="S238" i="1"/>
  <c r="S230" i="1"/>
  <c r="S222" i="1"/>
  <c r="S214" i="1"/>
  <c r="S206" i="1"/>
  <c r="S198" i="1"/>
  <c r="S190" i="1"/>
  <c r="S182" i="1"/>
  <c r="S174" i="1"/>
  <c r="S166" i="1"/>
  <c r="S158" i="1"/>
  <c r="S150" i="1"/>
  <c r="S142" i="1"/>
  <c r="S134" i="1"/>
  <c r="S126" i="1"/>
  <c r="S118" i="1"/>
  <c r="S110" i="1"/>
  <c r="S102" i="1"/>
  <c r="S94" i="1"/>
  <c r="S86" i="1"/>
  <c r="S77" i="1"/>
  <c r="S68" i="1"/>
  <c r="S60" i="1"/>
  <c r="S52" i="1"/>
  <c r="S42" i="1"/>
  <c r="S488" i="1"/>
  <c r="S480" i="1"/>
  <c r="S472" i="1"/>
  <c r="S464" i="1"/>
  <c r="S456" i="1"/>
  <c r="S448" i="1"/>
  <c r="S439" i="1"/>
  <c r="S431" i="1"/>
  <c r="S418" i="1"/>
  <c r="S410" i="1"/>
  <c r="S399" i="1"/>
  <c r="S391" i="1"/>
  <c r="S382" i="1"/>
  <c r="S374" i="1"/>
  <c r="S365" i="1"/>
  <c r="S353" i="1"/>
  <c r="S344" i="1"/>
  <c r="S335" i="1"/>
  <c r="S327" i="1"/>
  <c r="S311" i="1"/>
  <c r="S303" i="1"/>
  <c r="S294" i="1"/>
  <c r="S286" i="1"/>
  <c r="S278" i="1"/>
  <c r="S269" i="1"/>
  <c r="S261" i="1"/>
  <c r="S253" i="1"/>
  <c r="S245" i="1"/>
  <c r="S237" i="1"/>
  <c r="S229" i="1"/>
  <c r="S221" i="1"/>
  <c r="S213" i="1"/>
  <c r="S205" i="1"/>
  <c r="S197" i="1"/>
  <c r="S189" i="1"/>
  <c r="S181" i="1"/>
  <c r="S173" i="1"/>
  <c r="S165" i="1"/>
  <c r="S157" i="1"/>
  <c r="S149" i="1"/>
  <c r="S141" i="1"/>
  <c r="S133" i="1"/>
  <c r="S125" i="1"/>
  <c r="S117" i="1"/>
  <c r="S109" i="1"/>
  <c r="S101" i="1"/>
  <c r="S93" i="1"/>
  <c r="S85" i="1"/>
  <c r="S76" i="1"/>
  <c r="S67" i="1"/>
  <c r="S59" i="1"/>
  <c r="S51" i="1"/>
  <c r="S40" i="1"/>
  <c r="S487" i="1"/>
  <c r="S479" i="1"/>
  <c r="S471" i="1"/>
  <c r="S463" i="1"/>
  <c r="S455" i="1"/>
  <c r="S446" i="1"/>
  <c r="S438" i="1"/>
  <c r="S430" i="1"/>
  <c r="S417" i="1"/>
  <c r="S409" i="1"/>
  <c r="S398" i="1"/>
  <c r="S390" i="1"/>
  <c r="S381" i="1"/>
  <c r="S373" i="1"/>
  <c r="S364" i="1"/>
  <c r="S352" i="1"/>
  <c r="S343" i="1"/>
  <c r="S334" i="1"/>
  <c r="S326" i="1"/>
  <c r="S310" i="1"/>
  <c r="S302" i="1"/>
  <c r="S293" i="1"/>
  <c r="S285" i="1"/>
  <c r="S276" i="1"/>
  <c r="S268" i="1"/>
  <c r="S260" i="1"/>
  <c r="S252" i="1"/>
  <c r="S244" i="1"/>
  <c r="S236" i="1"/>
  <c r="S228" i="1"/>
  <c r="S220" i="1"/>
  <c r="S212" i="1"/>
  <c r="S204" i="1"/>
  <c r="S196" i="1"/>
  <c r="S188" i="1"/>
  <c r="S180" i="1"/>
  <c r="S172" i="1"/>
  <c r="S164" i="1"/>
  <c r="S156" i="1"/>
  <c r="S148" i="1"/>
  <c r="S140" i="1"/>
  <c r="S132" i="1"/>
  <c r="S124" i="1"/>
  <c r="S116" i="1"/>
  <c r="S108" i="1"/>
  <c r="S100" i="1"/>
  <c r="S92" i="1"/>
  <c r="S84" i="1"/>
  <c r="S75" i="1"/>
  <c r="S66" i="1"/>
  <c r="S58" i="1"/>
  <c r="S50" i="1"/>
  <c r="S39" i="1"/>
  <c r="S494" i="1"/>
  <c r="S486" i="1"/>
  <c r="S478" i="1"/>
  <c r="S470" i="1"/>
  <c r="S462" i="1"/>
  <c r="S454" i="1"/>
  <c r="S445" i="1"/>
  <c r="S437" i="1"/>
  <c r="S429" i="1"/>
  <c r="S416" i="1"/>
  <c r="S408" i="1"/>
  <c r="S397" i="1"/>
  <c r="S389" i="1"/>
  <c r="S380" i="1"/>
  <c r="S372" i="1"/>
  <c r="S359" i="1"/>
  <c r="S351" i="1"/>
  <c r="S342" i="1"/>
  <c r="S333" i="1"/>
  <c r="S325" i="1"/>
  <c r="S309" i="1"/>
  <c r="S301" i="1"/>
  <c r="S292" i="1"/>
  <c r="S284" i="1"/>
  <c r="S275" i="1"/>
  <c r="S267" i="1"/>
  <c r="S259" i="1"/>
  <c r="S251" i="1"/>
  <c r="S243" i="1"/>
  <c r="S235" i="1"/>
  <c r="S227" i="1"/>
  <c r="S219" i="1"/>
  <c r="S211" i="1"/>
  <c r="S203" i="1"/>
  <c r="S195" i="1"/>
  <c r="S187" i="1"/>
  <c r="S179" i="1"/>
  <c r="S171" i="1"/>
  <c r="S163" i="1"/>
  <c r="S155" i="1"/>
  <c r="S147" i="1"/>
  <c r="S139" i="1"/>
  <c r="S131" i="1"/>
  <c r="S123" i="1"/>
  <c r="S115" i="1"/>
  <c r="S107" i="1"/>
  <c r="S99" i="1"/>
  <c r="S91" i="1"/>
  <c r="S83" i="1"/>
  <c r="S74" i="1"/>
  <c r="S65" i="1"/>
  <c r="S57" i="1"/>
  <c r="S49" i="1"/>
  <c r="S37" i="1"/>
  <c r="S38" i="1"/>
  <c r="S28" i="1"/>
  <c r="S27" i="1"/>
  <c r="S45" i="1"/>
  <c r="S25" i="1"/>
  <c r="S24" i="1"/>
  <c r="S31"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<sst xmlns="http://schemas.openxmlformats.org/spreadsheetml/2006/main" count="8917" uniqueCount="3489">
  <si>
    <t>id</t>
  </si>
  <si>
    <t>longid</t>
  </si>
  <si>
    <t>guid</t>
  </si>
  <si>
    <t>name</t>
  </si>
  <si>
    <t>entrytype</t>
  </si>
  <si>
    <t>entrytype_text</t>
  </si>
  <si>
    <t>description_short</t>
  </si>
  <si>
    <t>rock_parent</t>
  </si>
  <si>
    <t>rock_parent2</t>
  </si>
  <si>
    <t>rock_root</t>
  </si>
  <si>
    <t>meteoritical_code</t>
  </si>
  <si>
    <t>1:1:11263:9</t>
  </si>
  <si>
    <t>35dd2df7-822d-4e7b-81e1-09979bed5df7</t>
  </si>
  <si>
    <t>Lodranite meteorite</t>
  </si>
  <si>
    <t>rock</t>
  </si>
  <si>
    <t>Lodranites can be described as chondrites that were heated to the point where FeNi and FeS reach an eutectic point. At this point partial melting occurred and some of the metal and silica melt was removed.</t>
  </si>
  <si>
    <t>Lodranite</t>
  </si>
  <si>
    <t>1:1:49515:2</t>
  </si>
  <si>
    <t>b6bb2dbe-bab1-48b6-885d-5dca1e3964fa</t>
  </si>
  <si>
    <t>Chondrite meteorite</t>
  </si>
  <si>
    <t>Chondrite-uncl</t>
  </si>
  <si>
    <t>1:1:49517:0</t>
  </si>
  <si>
    <t>f07b841d-d0ab-4f0a-85a5-b0b0261adac0</t>
  </si>
  <si>
    <t>Chondrite-fusion crust meteorite</t>
  </si>
  <si>
    <t>A piece of fusion crust that became detatched from a chondrite.</t>
  </si>
  <si>
    <t>Chondrite-fusion crust</t>
  </si>
  <si>
    <t>1:1:49518:9</t>
  </si>
  <si>
    <t>c3f1cbbc-d854-4a6d-8899-3c0165a5b761</t>
  </si>
  <si>
    <t>Ungrouped chondrite meteorite</t>
  </si>
  <si>
    <t>An ungrouped chondrite.</t>
  </si>
  <si>
    <t>Chondrite-ung</t>
  </si>
  <si>
    <t>1:1:49519:8</t>
  </si>
  <si>
    <t>d60e097d-27cd-449d-8a33-2ec70dbc05ce</t>
  </si>
  <si>
    <t>Carbonaceous chondrite meteorite</t>
  </si>
  <si>
    <t>Stony (non-metallic) meteorites that have not been modified due to melting or differentiation of the parent body._x000D_
_x000D_
They include some of the most primitive known meteorites. The C chondrites represent only a small proportion (4.6%) of meteorite falls....</t>
  </si>
  <si>
    <t>C</t>
  </si>
  <si>
    <t>1:1:49520:4</t>
  </si>
  <si>
    <t>073ad083-24ad-4527-a6a8-0c7df1a49b8c</t>
  </si>
  <si>
    <t>C chondrite meteorite</t>
  </si>
  <si>
    <t>Undifferentiated carbonaceous chondrites.</t>
  </si>
  <si>
    <t>1:1:49522:2</t>
  </si>
  <si>
    <t>60efc36c-1f8f-428f-a3af-cdcb1c2c65ef</t>
  </si>
  <si>
    <t>Ungrouped C1 chondrite meteorite</t>
  </si>
  <si>
    <t>A C chondrite that is petrologic type 1, ungrouped.</t>
  </si>
  <si>
    <t>C1-ung</t>
  </si>
  <si>
    <t>1:1:49523:1</t>
  </si>
  <si>
    <t>1f3cde5b-63a9-4e9d-9108-3e9752b411a9</t>
  </si>
  <si>
    <t>Ungrouped C1/2 chondrite meteorite</t>
  </si>
  <si>
    <t>A C chondrite that is transitional between petrologic type 1 and 2, ungrouped</t>
  </si>
  <si>
    <t>C1/2-ung</t>
  </si>
  <si>
    <t>1:1:49524:0</t>
  </si>
  <si>
    <t>9bdadcd8-6d6f-4a0a-9135-a2ae1ff68d11</t>
  </si>
  <si>
    <t>C2 chondrite meteorite</t>
  </si>
  <si>
    <t>A C chondrite that is petrologic type 2.</t>
  </si>
  <si>
    <t>C2</t>
  </si>
  <si>
    <t>1:1:49525:9</t>
  </si>
  <si>
    <t>1937d736-eb64-4ed6-81eb-3c40c8684544</t>
  </si>
  <si>
    <t>Ungrouped C2 chondrite meteorite</t>
  </si>
  <si>
    <t>A C chondrite that is petrologic type 2, ungrouped.</t>
  </si>
  <si>
    <t>C2-ung</t>
  </si>
  <si>
    <t>1:1:49526:8</t>
  </si>
  <si>
    <t>fe891aaa-521a-42d9-b417-4846c0e648e7</t>
  </si>
  <si>
    <t>C3 chondrite meteorite</t>
  </si>
  <si>
    <t>A C chondrite that is petrologic type 3.</t>
  </si>
  <si>
    <t>C3</t>
  </si>
  <si>
    <t>1:1:49527:7</t>
  </si>
  <si>
    <t>4bb6db3b-efe5-446e-a426-122e0f345b8b</t>
  </si>
  <si>
    <t>Ungrouped C3 chondrite meteorite</t>
  </si>
  <si>
    <t>A C chondrite that is petrologic type 3, ungrouped.</t>
  </si>
  <si>
    <t>C3-ung</t>
  </si>
  <si>
    <t>1:1:49528:6</t>
  </si>
  <si>
    <t>22380ef7-023a-4549-bd63-e4dec59424a9</t>
  </si>
  <si>
    <t>Ungrouped C3.0 chondrite meteorite</t>
  </si>
  <si>
    <t>A C chondrite that is petrologic type 3.0, ungrouped.</t>
  </si>
  <si>
    <t>C3.0-ung</t>
  </si>
  <si>
    <t>1:1:49529:5</t>
  </si>
  <si>
    <t>9ae4bfba-bc75-4d49-a32a-0aacef0a7f9d</t>
  </si>
  <si>
    <t>Ungrouped C3/4 chondrite meteorite</t>
  </si>
  <si>
    <t>A C chondrite that is transitional between petrologic type 3 and 4, ungrouped</t>
  </si>
  <si>
    <t>C3/4-ung</t>
  </si>
  <si>
    <t>1:1:49530:1</t>
  </si>
  <si>
    <t>16d0ed79-bd68-4f8d-9231-87009eac70d0</t>
  </si>
  <si>
    <t>C4 chondrite meteorite</t>
  </si>
  <si>
    <t>A C chondrite that is petrologic type 4.</t>
  </si>
  <si>
    <t>C4</t>
  </si>
  <si>
    <t>1:1:49531:0</t>
  </si>
  <si>
    <t>d3f3b882-0256-4aaf-8080-a07df5d5df0c</t>
  </si>
  <si>
    <t>C4-ung chondrite meteorite</t>
  </si>
  <si>
    <t>A C chondrite that is petrologic type 4, ungrouped.</t>
  </si>
  <si>
    <t>C4-ung</t>
  </si>
  <si>
    <t>1:1:49532:9</t>
  </si>
  <si>
    <t>614bfa8b-d6d2-4cee-a174-412b636ee3ea</t>
  </si>
  <si>
    <t>C4/5 chondrite meteorite</t>
  </si>
  <si>
    <t>A C chondrite that is transitional between petrologic type 4 and 5.</t>
  </si>
  <si>
    <t>C4/5</t>
  </si>
  <si>
    <t>1:1:49534:7</t>
  </si>
  <si>
    <t>67aab9d3-1a54-42dd-a6c0-e5a61480c025</t>
  </si>
  <si>
    <t>C5/6-ung chondrite meteorite</t>
  </si>
  <si>
    <t>A C chondrite that is transitional between petrologic type 5 and 6, ungrouped</t>
  </si>
  <si>
    <t>C5/6-ung</t>
  </si>
  <si>
    <t>1:1:49535:6</t>
  </si>
  <si>
    <t>97334e80-6d62-4cf5-b997-29221f6c23bf</t>
  </si>
  <si>
    <t>C6 chondrite meteorite</t>
  </si>
  <si>
    <t>A C chondrite that is petrologic type 6.</t>
  </si>
  <si>
    <t>C6</t>
  </si>
  <si>
    <t>1:1:49536:5</t>
  </si>
  <si>
    <t>0f84472d-5a87-43fa-af86-88207bcab293</t>
  </si>
  <si>
    <t>CB chondrite meteorite</t>
  </si>
  <si>
    <t>Bencubbn class carbonaceous chondrite. With metal and pyroxene. Ongoing research suggests this is the product of asteroidal collisions.</t>
  </si>
  <si>
    <t>CB</t>
  </si>
  <si>
    <t>1:1:49537:4</t>
  </si>
  <si>
    <t>05e98d0e-32a4-4d2d-81a8-1875b8851b8a</t>
  </si>
  <si>
    <t>CBa chondrite meteorite</t>
  </si>
  <si>
    <t>A CB chondrite of subtype a (contains large chondrule-like objects).</t>
  </si>
  <si>
    <t>CBa</t>
  </si>
  <si>
    <t>1:1:49538:3</t>
  </si>
  <si>
    <t>6c9ebd6b-9818-42f0-8f06-18913758a09a</t>
  </si>
  <si>
    <t>CBb chondrite meteorite</t>
  </si>
  <si>
    <t>A CB chondrite of subtype b (contains small chondrules).</t>
  </si>
  <si>
    <t>CBb</t>
  </si>
  <si>
    <t>1:1:49540:8</t>
  </si>
  <si>
    <t>c62da41e-297f-41f2-83c1-fdd7141a0d19</t>
  </si>
  <si>
    <t>CH3 chondrite meteorite</t>
  </si>
  <si>
    <t>A CH chondrite that is of petrologic type 3.</t>
  </si>
  <si>
    <t>CH3</t>
  </si>
  <si>
    <t>1:1:49542:6</t>
  </si>
  <si>
    <t>76107c20-b745-47eb-83e2-c5a3c6b74ec8</t>
  </si>
  <si>
    <t>CI1 chondrite meteorite</t>
  </si>
  <si>
    <t>A CI chondrite that is of petrologic type 1.</t>
  </si>
  <si>
    <t>CI1</t>
  </si>
  <si>
    <t>1:1:49543:5</t>
  </si>
  <si>
    <t>546fcda5-726c-4cb2-8e0a-fa64b4256f1c</t>
  </si>
  <si>
    <t>CK chondrite meteorite</t>
  </si>
  <si>
    <t>The Karoonda (CK) chemical group of carbonaceous chondrites, distinguished by abundant fine-grained matrix (~75 vol%), mm-sized chondrules that lack igneous rims,  relatively few refractory inclusions, and a high degree of oxidation; most CK chondrites...</t>
  </si>
  <si>
    <t>CK</t>
  </si>
  <si>
    <t>1:1:49544:4</t>
  </si>
  <si>
    <t>f792d969-4fe2-41a9-9ade-3cd7351a377c</t>
  </si>
  <si>
    <t>CK3 chondrite meteorite</t>
  </si>
  <si>
    <t>A CK chondrite that is of petrologic type 3.</t>
  </si>
  <si>
    <t>CK3</t>
  </si>
  <si>
    <t>1:1:49545:3</t>
  </si>
  <si>
    <t>472cd3e3-4f50-4ede-8a19-078269804d58</t>
  </si>
  <si>
    <t>Anomalous CK3 chondrite meteorite</t>
  </si>
  <si>
    <t>A CK chondrite that is petrologic type 3 and has anomalous properties.</t>
  </si>
  <si>
    <t>CK3-an</t>
  </si>
  <si>
    <t>1:1:49546:2</t>
  </si>
  <si>
    <t>9309c198-b69d-40de-8ef3-8cefbec613a0</t>
  </si>
  <si>
    <t>CK3.8 chondrite meteorite</t>
  </si>
  <si>
    <t>A CK chondrite that is of petrologic type 3.8.</t>
  </si>
  <si>
    <t>CK3.8</t>
  </si>
  <si>
    <t>1:1:49547:1</t>
  </si>
  <si>
    <t>56a3971f-2209-4f11-a1c6-e6c81ad6d0c4</t>
  </si>
  <si>
    <t>CK3/4 chondrite meteorite</t>
  </si>
  <si>
    <t>A CK chondrite that is transitional between petrologic type 3 and 4.</t>
  </si>
  <si>
    <t>CK3/4</t>
  </si>
  <si>
    <t>1:1:49548:0</t>
  </si>
  <si>
    <t>bac4d1b1-5ca5-48c4-833a-efa7bdbfa7f9</t>
  </si>
  <si>
    <t>CK4 chondrite meteorite</t>
  </si>
  <si>
    <t>A CK chondrite that is of petrologic type 4.</t>
  </si>
  <si>
    <t>CK4</t>
  </si>
  <si>
    <t>1:1:49549:9</t>
  </si>
  <si>
    <t>2b5c9ad5-2336-4eab-bc7a-21d732f71048</t>
  </si>
  <si>
    <t>Anomalous CK4 chondrite meteorite</t>
  </si>
  <si>
    <t>A CK chondrite that is petrologic type 4 and has anomalous properties.</t>
  </si>
  <si>
    <t>CK4-an</t>
  </si>
  <si>
    <t>1:1:49550:5</t>
  </si>
  <si>
    <t>513fb5ea-383d-4083-845f-4adc811cdf19</t>
  </si>
  <si>
    <t>CK5 chondrite meteorite</t>
  </si>
  <si>
    <t>A CK chondrite that is of petrologic type 5.</t>
  </si>
  <si>
    <t>CK5</t>
  </si>
  <si>
    <t>1:1:49551:4</t>
  </si>
  <si>
    <t>193188ee-067e-4c59-8e92-ca8fc0d9de95</t>
  </si>
  <si>
    <t>CK6 chondrite meteorite</t>
  </si>
  <si>
    <t>A CK chondrite that is of petrologic type 6.</t>
  </si>
  <si>
    <t>CK6</t>
  </si>
  <si>
    <t>1:1:49552:3</t>
  </si>
  <si>
    <t>c47d65df-ead8-4caa-a956-02b3f4aad3f1</t>
  </si>
  <si>
    <t>CM chondrite meteorite</t>
  </si>
  <si>
    <t>The Mighei (CM) chemical group of carbonaceous chondrites, distinguished by small chondrules and refractory inclusions (0.3 mm), abundant fine-grained matrix (~70 vol%), and abundant hydrated minerals.</t>
  </si>
  <si>
    <t>CM</t>
  </si>
  <si>
    <t>1:1:49553:2</t>
  </si>
  <si>
    <t>39357c7e-ccc2-489f-8af7-1307b5af80c5</t>
  </si>
  <si>
    <t>CM1 chondrite meteorite</t>
  </si>
  <si>
    <t>A CM chondrite that is of petrologic type 1.</t>
  </si>
  <si>
    <t>CM1</t>
  </si>
  <si>
    <t>1:1:49554:1</t>
  </si>
  <si>
    <t>22953eae-618c-4a2e-b59b-8f007e57e1b5</t>
  </si>
  <si>
    <t>CM1/2 chondrite meteorite</t>
  </si>
  <si>
    <t>A CM chondrite that is transitional between petrologic type 1 and 2.</t>
  </si>
  <si>
    <t>CM1/2</t>
  </si>
  <si>
    <t>1:1:49556:9</t>
  </si>
  <si>
    <t>57fc2a17-e4f1-4e4f-ad9f-5d113d5c9750</t>
  </si>
  <si>
    <t>Anomalous CM chondrite meteorite</t>
  </si>
  <si>
    <t>A CM chondrite that is anomalous and for which the petrologic type has not been determined.</t>
  </si>
  <si>
    <t>CM-an</t>
  </si>
  <si>
    <t>1:1:49557:8</t>
  </si>
  <si>
    <t>8e49d88a-ea6e-4c87-bb2e-15b97fc6761b</t>
  </si>
  <si>
    <t>CM2 chondrite meteorite</t>
  </si>
  <si>
    <t>A CM chondrite that is of petrologic type 2.</t>
  </si>
  <si>
    <t>CM2</t>
  </si>
  <si>
    <t>1:1:49558:7</t>
  </si>
  <si>
    <t>6c0acc28-062b-4c12-945d-8d1ef46217e1</t>
  </si>
  <si>
    <t>Anomalous CM2 chondrite meteorite</t>
  </si>
  <si>
    <t>A CM chondrite that is petrologic type 2 and has anomalous properties.</t>
  </si>
  <si>
    <t>CM2-an</t>
  </si>
  <si>
    <t>1:1:49559:6</t>
  </si>
  <si>
    <t>c8e646e8-80a2-46a2-aa78-7eda291f9b7e</t>
  </si>
  <si>
    <t>CO chondrite meteorite</t>
  </si>
  <si>
    <t>The Ornans (CO) chemical group of carbonaceous chondrites, distinguished by small chondrules and refractory inclusions.</t>
  </si>
  <si>
    <t>CO</t>
  </si>
  <si>
    <t>1:1:49560:2</t>
  </si>
  <si>
    <t>6e9c9a96-850e-4856-a6eb-c8ee889b65e2</t>
  </si>
  <si>
    <t>CO3 chondrite meteorite</t>
  </si>
  <si>
    <t>A CO chondrite that is of petrologic type 3.</t>
  </si>
  <si>
    <t>CO3</t>
  </si>
  <si>
    <t>1:1:49561:1</t>
  </si>
  <si>
    <t>f57839ed-9ab9-483c-ad7d-21b347430735</t>
  </si>
  <si>
    <t>CO3.0 chondrite meteorite</t>
  </si>
  <si>
    <t>A CO chondrite that is of petrologic type 3.0.</t>
  </si>
  <si>
    <t>CO3.0</t>
  </si>
  <si>
    <t>1:1:49562:0</t>
  </si>
  <si>
    <t>3851f784-e79d-4ba2-9815-5849ff2e7476</t>
  </si>
  <si>
    <t>CO3.1 chondrite meteorite</t>
  </si>
  <si>
    <t>A CO chondrite that is of petrologic type 3.1.</t>
  </si>
  <si>
    <t>CO3.1</t>
  </si>
  <si>
    <t>1:1:49563:9</t>
  </si>
  <si>
    <t>2f326050-e8c9-4af3-a233-bbad12f70608</t>
  </si>
  <si>
    <t>CO3.2 chondrite meteorite</t>
  </si>
  <si>
    <t>A CO chondrite that is of petrologic type 3.2.</t>
  </si>
  <si>
    <t>CO3.2</t>
  </si>
  <si>
    <t>1:1:49564:8</t>
  </si>
  <si>
    <t>e672b1fe-5f0c-46bf-98fd-a0324ae7af13</t>
  </si>
  <si>
    <t>CO3.3 chondrite meteorite</t>
  </si>
  <si>
    <t>A CO chondrite that is of petrologic type 3.3.</t>
  </si>
  <si>
    <t>CO3.3</t>
  </si>
  <si>
    <t>1:1:49565:7</t>
  </si>
  <si>
    <t>29fe331e-5f36-4768-907f-b43786a5e044</t>
  </si>
  <si>
    <t>CO3.4 chondrite meteorite</t>
  </si>
  <si>
    <t>A CO chondrite that is of petrologic type 3.4.</t>
  </si>
  <si>
    <t>CO3.4</t>
  </si>
  <si>
    <t>1:1:49566:6</t>
  </si>
  <si>
    <t>5dff6f4a-f152-458e-bba8-0da5365c53c3</t>
  </si>
  <si>
    <t>CO3.5 chondrite meteorite</t>
  </si>
  <si>
    <t>A CO chondrite that is of petrologic type 3.5.</t>
  </si>
  <si>
    <t>CO3.5</t>
  </si>
  <si>
    <t>1:1:49567:5</t>
  </si>
  <si>
    <t>0e707f4a-f5df-4a13-992e-a9dcc3251be2</t>
  </si>
  <si>
    <t>CO3.6 chondrite meteorite</t>
  </si>
  <si>
    <t>A CO chondrite that is of petrologic type 3.6.</t>
  </si>
  <si>
    <t>CO3.6</t>
  </si>
  <si>
    <t>1:1:49568:4</t>
  </si>
  <si>
    <t>1c6e283e-f2bb-4661-bb66-6d4ef6c9d674</t>
  </si>
  <si>
    <t>CO3.7 chondrite meteorite</t>
  </si>
  <si>
    <t>A CO chondrite that is of petrologic type 3.7.</t>
  </si>
  <si>
    <t>CO3.7</t>
  </si>
  <si>
    <t>1:1:49569:3</t>
  </si>
  <si>
    <t>7408f756-274b-4085-8e57-6af17225cee2</t>
  </si>
  <si>
    <t>CO3.8 chondrite meteorite</t>
  </si>
  <si>
    <t>A CO chondrite that is of petrologic type 3.8.</t>
  </si>
  <si>
    <t>CO3.8</t>
  </si>
  <si>
    <t>1:1:49571:8</t>
  </si>
  <si>
    <t>a60b0d08-6edb-4e44-8b23-d2d7e6818c28</t>
  </si>
  <si>
    <t>CR chondrite meteorite</t>
  </si>
  <si>
    <t>The Renazzo (CR) chemical group of carbonaceous chondrites, distinguished by large, abundant porphyritic chondrules (0.7 mm, 50 vol%), many of which have igneous rims, few refractory inclusions, abundant metal (5-8 vol%), and fine-grained matrix that i...</t>
  </si>
  <si>
    <t>CR</t>
  </si>
  <si>
    <t>1:1:49572:7</t>
  </si>
  <si>
    <t>ba12f512-4d41-4c83-9d48-729038ac9133</t>
  </si>
  <si>
    <t>CR1 chondrite meteorite</t>
  </si>
  <si>
    <t>A CR chondrite that is of petrologic type 1.</t>
  </si>
  <si>
    <t>CR1</t>
  </si>
  <si>
    <t>1:1:49573:6</t>
  </si>
  <si>
    <t>10ebeb1c-ecd1-4781-a7da-f0bba9810795</t>
  </si>
  <si>
    <t>CR2 chondrite meteorite</t>
  </si>
  <si>
    <t>A CR chondrite that is of petrologic type 2.</t>
  </si>
  <si>
    <t>CR2</t>
  </si>
  <si>
    <t>1:1:49574:5</t>
  </si>
  <si>
    <t>fb84f221-eda6-44e2-9363-706e03e2486a</t>
  </si>
  <si>
    <t>Anomalous CR2 chondrite meteorite</t>
  </si>
  <si>
    <t>A CR chondrite that is of petrologic type 2 and has anomalous properties.</t>
  </si>
  <si>
    <t>CR2-an</t>
  </si>
  <si>
    <t>1:1:49575:4</t>
  </si>
  <si>
    <t>17f0d5ea-6ce9-4f08-b104-d64d1356ec10</t>
  </si>
  <si>
    <t>CR6 chondrite meteorite</t>
  </si>
  <si>
    <t>A CR chondrite that is of petrologic type 6.</t>
  </si>
  <si>
    <t>CR6</t>
  </si>
  <si>
    <t>1:1:49576:3</t>
  </si>
  <si>
    <t>8cb422e1-c90d-43b2-8283-7366657af48a</t>
  </si>
  <si>
    <t>CR7 chondrite meteorite</t>
  </si>
  <si>
    <t>A CR chondrite that is of petrologic type 7. Note that perologic type 7 is not used consistently or widely accepted in the literature.</t>
  </si>
  <si>
    <t>CR7</t>
  </si>
  <si>
    <t>1:1:49578:1</t>
  </si>
  <si>
    <t>9d219462-5247-4fd6-b504-0b5e8a6632b1</t>
  </si>
  <si>
    <t>CV2 chondrite meteorite</t>
  </si>
  <si>
    <t>A CV chondrite that is of petrologic type 2.</t>
  </si>
  <si>
    <t>CV2</t>
  </si>
  <si>
    <t>1:1:49579:0</t>
  </si>
  <si>
    <t>cd4cfee4-b843-4a07-821c-1d54406ae707</t>
  </si>
  <si>
    <t>CV3 chondrite meteorite</t>
  </si>
  <si>
    <t>A CV chondrite that is of petrologic type 3.</t>
  </si>
  <si>
    <t>CV3</t>
  </si>
  <si>
    <t>1:1:49580:6</t>
  </si>
  <si>
    <t>ff0fdfa5-70eb-477a-9bd4-b215f75265f3</t>
  </si>
  <si>
    <t>Anomalous CV3 chondrite meteorite</t>
  </si>
  <si>
    <t>A CV chondrite that is petrologic type 3 and has anomalous properties.</t>
  </si>
  <si>
    <t>CV3-an</t>
  </si>
  <si>
    <t>1:1:49581:5</t>
  </si>
  <si>
    <t>5fb782f3-f128-4673-9aed-cd03e235802b</t>
  </si>
  <si>
    <t>Ordinary chondrite meteorite</t>
  </si>
  <si>
    <t>A major class of chondrites, distinguished by sub-solar Mg/Si and refractory/Si ratios, oxygen isotope compositions that plot above the terrestrial fractionation line, and a large volume percentage of chondrules, with only 10-15 vol% fine-grained matrix.</t>
  </si>
  <si>
    <t>OC</t>
  </si>
  <si>
    <t>1:1:49584:2</t>
  </si>
  <si>
    <t>bb27e2e2-9331-4bb5-9cbf-b7fae43b5420</t>
  </si>
  <si>
    <t>H chondrite meteorite</t>
  </si>
  <si>
    <t>The high-iron (H) chemical group of ordinary chondrites, distinguished by their high siderophile element content, relatively small chondrules (~0.3 mm), and oxygen isotope compositions that are closer to the terrestrial fractionation line than those of...</t>
  </si>
  <si>
    <t>H</t>
  </si>
  <si>
    <t>1:1:49585:1</t>
  </si>
  <si>
    <t>f417c8c1-a218-4ae7-a79d-0e8213892c59</t>
  </si>
  <si>
    <t>H3 chondrite meteorite</t>
  </si>
  <si>
    <t>An H chondrite that is of petrologic type 3.</t>
  </si>
  <si>
    <t>H3</t>
  </si>
  <si>
    <t>1:1:49586:0</t>
  </si>
  <si>
    <t>3a16c078-cc59-4041-ab45-5a13a080c731</t>
  </si>
  <si>
    <t>H(L)3 chondrite meteorite</t>
  </si>
  <si>
    <t>An H chondrite (or less likely, an L chondrite) that is of petrologic type 3.</t>
  </si>
  <si>
    <t>H(L)3</t>
  </si>
  <si>
    <t>1:1:49587:9</t>
  </si>
  <si>
    <t>8bb2335a-eea4-4f2b-a38d-cdf355bc1842</t>
  </si>
  <si>
    <t>H/L3.5 chondrite meteorite</t>
  </si>
  <si>
    <t>An H chondrite or L chondrite that is of petrological type 3.5.</t>
  </si>
  <si>
    <t>H/L3.5</t>
  </si>
  <si>
    <t>1:1:49588:8</t>
  </si>
  <si>
    <t>60671b38-1d34-4038-b6a1-f75036433e73</t>
  </si>
  <si>
    <t>H/L3.6 chondrite meteorite</t>
  </si>
  <si>
    <t>An H chondrite or L chondrite that is of petrological type 3.6.</t>
  </si>
  <si>
    <t>H/L3.6</t>
  </si>
  <si>
    <t>1:1:49589:7</t>
  </si>
  <si>
    <t>60684aab-ec16-4a7d-ae8b-576e15bf7956</t>
  </si>
  <si>
    <t>H/L3.7 chondrite meteorite</t>
  </si>
  <si>
    <t>An H chondrite or L chondrite that is of petrological type 3.7.</t>
  </si>
  <si>
    <t>H/L3.7</t>
  </si>
  <si>
    <t>1:1:49590:3</t>
  </si>
  <si>
    <t>5ff4b41c-2af2-4241-845c-1019b8ce6c85</t>
  </si>
  <si>
    <t>H/L3.9 chondrite meteorite</t>
  </si>
  <si>
    <t>An H chondrite or L chondrite that is of petrological type 3.9.</t>
  </si>
  <si>
    <t>H/L3.9</t>
  </si>
  <si>
    <t>1:1:49591:2</t>
  </si>
  <si>
    <t>8b1fe643-0cf5-4ab3-9dcb-927d85450468</t>
  </si>
  <si>
    <t>H/L3-4 chondrite meteorite</t>
  </si>
  <si>
    <t>An H chondrite or L chondrite that is a breccia of petrological type 3 and 4 components.</t>
  </si>
  <si>
    <t>H/L3-4</t>
  </si>
  <si>
    <t>1:1:49592:1</t>
  </si>
  <si>
    <t>818a5c48-b7c4-46a1-a6bb-1d956127e2ec</t>
  </si>
  <si>
    <t>H3/4 chondrite meteorite</t>
  </si>
  <si>
    <t>An H chondrite that is transitional between petrologic type 3 and 4.</t>
  </si>
  <si>
    <t>H3/4</t>
  </si>
  <si>
    <t>1:1:49593:0</t>
  </si>
  <si>
    <t>b0c051a3-e0de-48e8-b322-ebf2d5f4675b</t>
  </si>
  <si>
    <t>H3-an chondrite meteorite</t>
  </si>
  <si>
    <t>An H chondrite that is petrologic type 3 and has anomalous properties.</t>
  </si>
  <si>
    <t>H3-an</t>
  </si>
  <si>
    <t>1:1:49595:8</t>
  </si>
  <si>
    <t>cd1496c6-c79f-4aac-b5e7-06e70d459f88</t>
  </si>
  <si>
    <t>H(L)3-an chondrite meteorite</t>
  </si>
  <si>
    <t>An H chondrite (or less likely, an L chondrite) that is of petrologic type 3 and has anomalous properties.</t>
  </si>
  <si>
    <t>H(L)3-an</t>
  </si>
  <si>
    <t>1:1:49596:7</t>
  </si>
  <si>
    <t>34562df1-857e-4af6-aa3e-9e44b3d4b267</t>
  </si>
  <si>
    <t>H(L)3.1 chondrite meteorite</t>
  </si>
  <si>
    <t>An H chondrite (or less likely, an L chondrite) that is of petrologic type 3.1.</t>
  </si>
  <si>
    <t>H(L)3.1</t>
  </si>
  <si>
    <t>1:1:49597:6</t>
  </si>
  <si>
    <t>12ecf616-0fc4-4cd7-a955-497fa850a976</t>
  </si>
  <si>
    <t>H3.0 chondrite meteorite</t>
  </si>
  <si>
    <t>An H chondrite that is petrologic type 3.0.</t>
  </si>
  <si>
    <t>H3.0</t>
  </si>
  <si>
    <t>1:1:49599:4</t>
  </si>
  <si>
    <t>3e9c5d06-d018-485a-91c9-08eab2691129</t>
  </si>
  <si>
    <t>H3.0-3.4 chondrite meteorite</t>
  </si>
  <si>
    <t>An H chondrite that is a breccia of components ranging from petrologic type 3.0 to type 3.4</t>
  </si>
  <si>
    <t>H3.0-3.4</t>
  </si>
  <si>
    <t>1:1:49600:9</t>
  </si>
  <si>
    <t>3492f466-e09c-47aa-8516-46ccb98be18c</t>
  </si>
  <si>
    <t>H3.1 chondrite meteorite</t>
  </si>
  <si>
    <t>An H chondrite that is petrologic type 3.1.</t>
  </si>
  <si>
    <t>H3.1</t>
  </si>
  <si>
    <t>1:1:49603:6</t>
  </si>
  <si>
    <t>3146b065-b754-4396-8583-4a5f61deb852</t>
  </si>
  <si>
    <t>H3.2 chondrite meteorite</t>
  </si>
  <si>
    <t>An H chondrite that is petrologic type 3.2.</t>
  </si>
  <si>
    <t>H3.2</t>
  </si>
  <si>
    <t>1:1:49604:5</t>
  </si>
  <si>
    <t>19b13557-4394-45ae-a04f-4f9b61d5f29f</t>
  </si>
  <si>
    <t>H3.2-3.7 chondrite meteorite</t>
  </si>
  <si>
    <t>An H chondrite that is a breccia of components ranging from petrologic type 3.2 to type 3.7.</t>
  </si>
  <si>
    <t>H3.2-3.7</t>
  </si>
  <si>
    <t>1:1:49606:3</t>
  </si>
  <si>
    <t>31c0bbab-1e30-4573-a590-9bb0cbaacc3a</t>
  </si>
  <si>
    <t>H4 chondrite meteorite</t>
  </si>
  <si>
    <t>An H chondrite that is of petrologic type 4.</t>
  </si>
  <si>
    <t>H4</t>
  </si>
  <si>
    <t>1:1:49607:2</t>
  </si>
  <si>
    <t>6aaa2e0c-98e7-4aa9-b281-af7e6d3261ec</t>
  </si>
  <si>
    <t>H4-melt breccia chondrite meteorite</t>
  </si>
  <si>
    <t>An H4 chondrite that is a breccia with melted material forming the matrix.</t>
  </si>
  <si>
    <t>H4-melt breccia</t>
  </si>
  <si>
    <t>1:1:49608:1</t>
  </si>
  <si>
    <t>f9ddf8b9-02ed-4786-b084-8bf39957e9b2</t>
  </si>
  <si>
    <t>H4-an chondrite meteorite</t>
  </si>
  <si>
    <t>An H chondrite that is petrologic type 4 and has anomalous properties.</t>
  </si>
  <si>
    <t>H4-an</t>
  </si>
  <si>
    <t>1:1:49609:0</t>
  </si>
  <si>
    <t>5cb47d89-8e89-47c0-a1e1-7242458a7559</t>
  </si>
  <si>
    <t>H/L4 chondrite meteorite</t>
  </si>
  <si>
    <t>An H chondrite or L chondrite that is of petrological type 4.</t>
  </si>
  <si>
    <t>H/L4</t>
  </si>
  <si>
    <t>1:1:49610:6</t>
  </si>
  <si>
    <t>3b0c1eb4-915e-41a1-92d9-cb0bf6840302</t>
  </si>
  <si>
    <t>H/L4/5 chondrite meteorite</t>
  </si>
  <si>
    <t>An H chondrite or L chondrite that is transitional between petrological types 4 and 5.</t>
  </si>
  <si>
    <t>H/L4/5</t>
  </si>
  <si>
    <t>1:1:49612:4</t>
  </si>
  <si>
    <t>237f492a-4a57-48a3-9d0f-4ef463d8cca3</t>
  </si>
  <si>
    <t>H4/5 chondrite meteorite</t>
  </si>
  <si>
    <t>An H chondrite that is transitional between petrological types 4 and 5.</t>
  </si>
  <si>
    <t>H4/5</t>
  </si>
  <si>
    <t>1:1:49614:2</t>
  </si>
  <si>
    <t>45d9ff26-d3da-4115-99fd-272a86210cb0</t>
  </si>
  <si>
    <t>H5 chondrite meteorite</t>
  </si>
  <si>
    <t>An H chondrite that is of petrologic type 5.</t>
  </si>
  <si>
    <t>H5</t>
  </si>
  <si>
    <t>1:1:49615:1</t>
  </si>
  <si>
    <t>dfcf265f-e120-4f3d-88f3-0e28ffcfcd5b</t>
  </si>
  <si>
    <t>H5-an chondrite meteorite</t>
  </si>
  <si>
    <t>An H chondrite that is petrologic type 5 and has anomalous properties.</t>
  </si>
  <si>
    <t>H5-an</t>
  </si>
  <si>
    <t>1:1:49616:0</t>
  </si>
  <si>
    <t>658f02d0-fc45-4988-90d4-e4abe7e6a55d</t>
  </si>
  <si>
    <t>H5-melt breccia chondrite meteorite</t>
  </si>
  <si>
    <t>An H5 chondrite that is a breccia with melted material forming the matrix.</t>
  </si>
  <si>
    <t>H5-melt breccia</t>
  </si>
  <si>
    <t>1:1:49617:9</t>
  </si>
  <si>
    <t>cfe11f69-3225-4659-ad2a-654b913f8a47</t>
  </si>
  <si>
    <t>H/L5 chondrite meteorite</t>
  </si>
  <si>
    <t>An H chondrite or L chondrite that is of petrological type 5.</t>
  </si>
  <si>
    <t>H/L5</t>
  </si>
  <si>
    <t>1:1:49618:8</t>
  </si>
  <si>
    <t>98807f94-de06-4386-9995-46ee6b538694</t>
  </si>
  <si>
    <t>H5-6 chondrite meteorite</t>
  </si>
  <si>
    <t>An H chondrite that is a breccia of petrological type 5 and 6 components.</t>
  </si>
  <si>
    <t>H5-6</t>
  </si>
  <si>
    <t>1:1:49619:7</t>
  </si>
  <si>
    <t>0d2409c5-725c-4a1c-9835-e9fd536b2ff1</t>
  </si>
  <si>
    <t>H6 chondrite meteorite</t>
  </si>
  <si>
    <t>An H chondrite that is of petrologic type 6.</t>
  </si>
  <si>
    <t>H6</t>
  </si>
  <si>
    <t>1:1:49620:3</t>
  </si>
  <si>
    <t>cf02a121-3ad0-4d8d-9eed-17696ca5fe8d</t>
  </si>
  <si>
    <t>H6-an chondrite meteorite</t>
  </si>
  <si>
    <t>An H chondrite that is petrologic type 6 and has anomalous properties.</t>
  </si>
  <si>
    <t>H6-an</t>
  </si>
  <si>
    <t>1:1:49621:2</t>
  </si>
  <si>
    <t>460ce072-ac4b-4754-9c00-ca89147af82b</t>
  </si>
  <si>
    <t>H6-melt breccia chondrite meteorite</t>
  </si>
  <si>
    <t>An H6 chondrite that is a breccia with melted material forming the matrix.</t>
  </si>
  <si>
    <t>H6-melt breccia</t>
  </si>
  <si>
    <t>1:1:49622:1</t>
  </si>
  <si>
    <t>ffa0454c-5e52-471a-aab9-26a8f975aed4</t>
  </si>
  <si>
    <t>H(L)6 chondrite meteorite</t>
  </si>
  <si>
    <t>An H chondrite (or less likely, an L chondrite) that is of petrologic type 6.</t>
  </si>
  <si>
    <t>H(L)6</t>
  </si>
  <si>
    <t>1:1:49623:0</t>
  </si>
  <si>
    <t>5b06c4a6-ef54-4fcc-9e06-5823f7ea0be5</t>
  </si>
  <si>
    <t>H/L6-melt rock chondrite meteorite</t>
  </si>
  <si>
    <t>An H chondrite or L chondrite that is of petrological type 6 and has experienced secondary melting.</t>
  </si>
  <si>
    <t>H/L6-melt rock</t>
  </si>
  <si>
    <t>1:1:49625:8</t>
  </si>
  <si>
    <t>a2e7d04e-8f0d-4a38-a9db-2b7ee300c0e0</t>
  </si>
  <si>
    <t>H7 chondrite meteorite</t>
  </si>
  <si>
    <t>An H chondrite that is of petrologic type 7. Note that petrologic type 7 is not used consistently or widely accepted in the literature.</t>
  </si>
  <si>
    <t>H7</t>
  </si>
  <si>
    <t>1:1:49626:7</t>
  </si>
  <si>
    <t>36c10022-7478-4387-a9b4-80d48c63e637</t>
  </si>
  <si>
    <t>H-an chondrite meteorite</t>
  </si>
  <si>
    <t>An H chondrite that is anomalous and for which the petrologic type has not been determined.</t>
  </si>
  <si>
    <t>H-an</t>
  </si>
  <si>
    <t>1:1:49627:6</t>
  </si>
  <si>
    <t>cfde21b7-2b18-47a6-be2d-1f4040e5ed72</t>
  </si>
  <si>
    <t>H-imp melt chondrite meteorite</t>
  </si>
  <si>
    <t>An H chondrite that has experienced impact melting and for which the petrologic type has not been determined.</t>
  </si>
  <si>
    <t>H-imp melt</t>
  </si>
  <si>
    <t>1:1:49628:5</t>
  </si>
  <si>
    <t>d907cef8-0fed-4b52-9a3a-dec05572c4d7</t>
  </si>
  <si>
    <t>H-melt breccia chondrite meteorite</t>
  </si>
  <si>
    <t>An H chondrite that is a breccia with melted material forming the matrix and for which the petrologic type has not been determined.</t>
  </si>
  <si>
    <t>H-melt breccia</t>
  </si>
  <si>
    <t>1:1:49629:4</t>
  </si>
  <si>
    <t>442d3f95-9675-4006-91ae-9cafb7d97daa</t>
  </si>
  <si>
    <t>H-melt rock chondrite meteorite</t>
  </si>
  <si>
    <t>An H chondrite that has experienced secondary melting and for which the petrologic type has not been determined.</t>
  </si>
  <si>
    <t>H-melt rock</t>
  </si>
  <si>
    <t>1:1:49630:0</t>
  </si>
  <si>
    <t>ea18cebb-5c58-4e90-ada1-50f2dacbbd03</t>
  </si>
  <si>
    <t>H-metal chondrite meteorite</t>
  </si>
  <si>
    <t>A meteorite that is dominantly composed of Fe-Ni metal. It seems likely that the object was derived from an ordinary H chondrite and was not once part of an extended metal-rich body.</t>
  </si>
  <si>
    <t>H-metal</t>
  </si>
  <si>
    <t>1:1:49631:9</t>
  </si>
  <si>
    <t>1ee6c554-a82d-4e77-88d6-8c9c0bd85d30</t>
  </si>
  <si>
    <t>H? chondrite meteorite</t>
  </si>
  <si>
    <t>variety</t>
  </si>
  <si>
    <t>An ordinary chondrite that may be from the H chondrite group and for which petrologic type has not been determined.</t>
  </si>
  <si>
    <t>H?</t>
  </si>
  <si>
    <t>1:1:49632:8</t>
  </si>
  <si>
    <t>03504bb6-23b3-4bc5-983f-92c61e647d89</t>
  </si>
  <si>
    <t>H~4 chondrite meteorite</t>
  </si>
  <si>
    <t>An H chondrite that is approximately petrologic type 4.</t>
  </si>
  <si>
    <t>H~4</t>
  </si>
  <si>
    <t>1:1:49633:7</t>
  </si>
  <si>
    <t>5edb1182-ee6a-40c5-830a-d4b393fd7fbc</t>
  </si>
  <si>
    <t>H~4/5 chondrite meteorite</t>
  </si>
  <si>
    <t>An H chondrite that is approximately petrologic type 4 or 5.</t>
  </si>
  <si>
    <t>H~4/5</t>
  </si>
  <si>
    <t>1:1:49634:6</t>
  </si>
  <si>
    <t>7341c59d-064d-4254-937d-044c02cd7e50</t>
  </si>
  <si>
    <t>H~5 chondrite meteorite</t>
  </si>
  <si>
    <t>An H chondrite that is approximately petrologic type 5.</t>
  </si>
  <si>
    <t>H~5</t>
  </si>
  <si>
    <t>1:1:49635:5</t>
  </si>
  <si>
    <t>760f4650-25fd-4ecc-9748-644277aa8828</t>
  </si>
  <si>
    <t>H~6 chondrite meteorite</t>
  </si>
  <si>
    <t>An H chondrite that is approximately petrologic type 6.</t>
  </si>
  <si>
    <t>H~6</t>
  </si>
  <si>
    <t>1:1:49636:4</t>
  </si>
  <si>
    <t>9ec78d81-20c0-4cbb-8487-d1b989e6b3b6</t>
  </si>
  <si>
    <t>H(5?) chondrite meteorite</t>
  </si>
  <si>
    <t>An H chondrite that is possibly petrologic type 5.</t>
  </si>
  <si>
    <t>H(5?)</t>
  </si>
  <si>
    <t>1:1:49637:3</t>
  </si>
  <si>
    <t>492a4c1f-6727-4e37-9684-c8f424f9f631</t>
  </si>
  <si>
    <t>H5-7 chondrite meteorite</t>
  </si>
  <si>
    <t>An H chondrite that is a breccia of petrological types 5 to 7.</t>
  </si>
  <si>
    <t>H5-7</t>
  </si>
  <si>
    <t>1:1:49638:2</t>
  </si>
  <si>
    <t>5dfc8cba-f497-4e7d-ae75-c8fa10d149ac</t>
  </si>
  <si>
    <t>H/L~4 chondrite meteorite</t>
  </si>
  <si>
    <t>An H chondrite or L chondrite that is approximately of petrological type 4.</t>
  </si>
  <si>
    <t>H/L~4</t>
  </si>
  <si>
    <t>1:1:49639:1</t>
  </si>
  <si>
    <t>e518925e-84a3-40c1-a9db-3e03c66aecc3</t>
  </si>
  <si>
    <t>H4(?) chondrite meteorite</t>
  </si>
  <si>
    <t>An ordinary chondrite that may be of petrologic type 4 and that is possibly an H chondrite.</t>
  </si>
  <si>
    <t>H4(?)</t>
  </si>
  <si>
    <t>1:1:49640:7</t>
  </si>
  <si>
    <t>ae845d58-8b3c-4ede-9ac7-bf4a6b55caf1</t>
  </si>
  <si>
    <t>H(?)4 chondrite meteorite</t>
  </si>
  <si>
    <t>An ordinary chondrite of petrologic type 4 that is possibly an H chondrite.</t>
  </si>
  <si>
    <t>H(?)4</t>
  </si>
  <si>
    <t>1:1:49641:6</t>
  </si>
  <si>
    <t>25667d04-8b13-4030-a8ec-8df125317356</t>
  </si>
  <si>
    <t>H3-5 chondrite meteorite</t>
  </si>
  <si>
    <t>An H chondrite that is a breccia of petrological types 3 to 5.</t>
  </si>
  <si>
    <t>H3-5</t>
  </si>
  <si>
    <t>1:1:49642:5</t>
  </si>
  <si>
    <t>5d9dbd66-200e-4d20-8c20-abd9ade46c22</t>
  </si>
  <si>
    <t>H3-6 chondrite meteorite</t>
  </si>
  <si>
    <t>An H chondrite that is a breccia of petrological types 3 to 6.</t>
  </si>
  <si>
    <t>H3-6</t>
  </si>
  <si>
    <t>1:1:49643:4</t>
  </si>
  <si>
    <t>174d54ed-5259-4f4f-a913-8d0c063b3bcd</t>
  </si>
  <si>
    <t>H3.2-6 chondrite meteorite</t>
  </si>
  <si>
    <t>An H chondrite that is a breccia of petrological types 3.2 to 6.</t>
  </si>
  <si>
    <t>H3.2-6</t>
  </si>
  <si>
    <t>1:1:49644:3</t>
  </si>
  <si>
    <t>cc8dc9e1-1fb7-41fd-9135-4bae10e6e87e</t>
  </si>
  <si>
    <t>H3.9-5 chondrite meteorite</t>
  </si>
  <si>
    <t>An H chondrite that is a breccia of petrological types 3.9 to 5.</t>
  </si>
  <si>
    <t>H3.9-5</t>
  </si>
  <si>
    <t>1:1:49645:2</t>
  </si>
  <si>
    <t>707a5ca5-893f-4a43-bf15-de45c43d0be3</t>
  </si>
  <si>
    <t>H3.9-6 chondrite meteorite</t>
  </si>
  <si>
    <t>H3.9-6</t>
  </si>
  <si>
    <t>1:1:49646:1</t>
  </si>
  <si>
    <t>fb8954eb-b23d-48cf-9d62-4ca6bfb4051d</t>
  </si>
  <si>
    <t>H4-6 chondrite meteorite</t>
  </si>
  <si>
    <t>An H chondrite that is a breccia of petrological types 4 to 6.</t>
  </si>
  <si>
    <t>H4-6</t>
  </si>
  <si>
    <t>1:1:49647:0</t>
  </si>
  <si>
    <t>c2b6725e-c8cf-44e5-a8d0-7253436d2222</t>
  </si>
  <si>
    <t>H4/6 chondrite meteorite</t>
  </si>
  <si>
    <t>An H chondrite that is petrological type 4, 5 or 6.</t>
  </si>
  <si>
    <t>H4/6</t>
  </si>
  <si>
    <t>1:1:49648:9</t>
  </si>
  <si>
    <t>f2bd2c79-3606-4846-83c9-e635cf21587b</t>
  </si>
  <si>
    <t>L chondrite meteorite</t>
  </si>
  <si>
    <t>The low-iron (L) chemical group of ordinary chondrites, distinguished by their relatively low siderophile element content, moderate sized chondrules (~0.7 mm), and oxygen isotope compositions that intermediate between H chondrites and LL chondrites._x000D_
_x000D_...</t>
  </si>
  <si>
    <t>L</t>
  </si>
  <si>
    <t>1:1:49649:8</t>
  </si>
  <si>
    <t>bc750161-ed54-4fac-a8d0-4e6cc8000b80</t>
  </si>
  <si>
    <t>L3 chondrite meteorite</t>
  </si>
  <si>
    <t>An L chondrite that is of petrologic type 3.</t>
  </si>
  <si>
    <t>L3</t>
  </si>
  <si>
    <t>1:1:49650:4</t>
  </si>
  <si>
    <t>6ddad9c4-9c3a-4927-8298-c07b1aaac2c4</t>
  </si>
  <si>
    <t>L3.0-3.9 chondrite meteorite</t>
  </si>
  <si>
    <t>An ordinary chondrite from the L group that is a breccia of components that are between 3.0 and 3.9</t>
  </si>
  <si>
    <t>L3.0-3.9</t>
  </si>
  <si>
    <t>1:1:49651:3</t>
  </si>
  <si>
    <t>8da54203-3e51-4228-8953-96882c64ee75</t>
  </si>
  <si>
    <t>L3-melt breccia chondrite meteorite</t>
  </si>
  <si>
    <t>An L3 chondrite that is a breccia with melted material forming the matrix.</t>
  </si>
  <si>
    <t>L3-melt breccia</t>
  </si>
  <si>
    <t>1:1:49652:2</t>
  </si>
  <si>
    <t>95a1f90d-b886-4b05-8173-64034e0c54ae</t>
  </si>
  <si>
    <t>L3.0 chondrite meteorite</t>
  </si>
  <si>
    <t>An L chondrite that is petrologic type 3.0.</t>
  </si>
  <si>
    <t>L3.0</t>
  </si>
  <si>
    <t>1:1:49653:1</t>
  </si>
  <si>
    <t>8fc3adff-4663-41d8-ba67-b85855467909</t>
  </si>
  <si>
    <t>L3.00 chondrite meteorite</t>
  </si>
  <si>
    <t>An ordinary chondrite from the L group that is petrologic type 3.00</t>
  </si>
  <si>
    <t>L3.00</t>
  </si>
  <si>
    <t>1:1:49654:0</t>
  </si>
  <si>
    <t>9872eb61-3177-4fef-85c2-5c364ccdf80b</t>
  </si>
  <si>
    <t>L3.05 chondrite meteorite</t>
  </si>
  <si>
    <t>An ordinary chondrite from the L group that is petrologic type 3.05</t>
  </si>
  <si>
    <t>L3.05</t>
  </si>
  <si>
    <t>1:1:49655:9</t>
  </si>
  <si>
    <t>e026c96c-dfbe-4310-ad40-9dc088b5f5d2</t>
  </si>
  <si>
    <t>L3.0-3.7 chondrite meteorite</t>
  </si>
  <si>
    <t>An L chondrite that is a breccia of petrological types 3.2 to 3.7.</t>
  </si>
  <si>
    <t>L3.0-3.7</t>
  </si>
  <si>
    <t>1:1:49656:8</t>
  </si>
  <si>
    <t>4d9bc823-cdcc-4ebe-ae0d-b87a72d8f88f</t>
  </si>
  <si>
    <t>L3.1 chondrite meteorite</t>
  </si>
  <si>
    <t>An L chondrite that is petrologic type 3.1.</t>
  </si>
  <si>
    <t>L3.1</t>
  </si>
  <si>
    <t>1:1:49657:7</t>
  </si>
  <si>
    <t>96441c84-b13c-414b-8bb1-7e4f489e9891</t>
  </si>
  <si>
    <t>L3.10 chondrite meteorite</t>
  </si>
  <si>
    <t>An ordinary chondrite from the L group that is petrologic type 3.10</t>
  </si>
  <si>
    <t>L3.10</t>
  </si>
  <si>
    <t>1:1:49658:6</t>
  </si>
  <si>
    <t>90c502e3-aa1d-4f49-afe7-da088446d814</t>
  </si>
  <si>
    <t>L3.15 chondrite meteorite</t>
  </si>
  <si>
    <t>An ordinary chondrite from the L group that is petrologic type 3.15</t>
  </si>
  <si>
    <t>L3.15</t>
  </si>
  <si>
    <t>1:1:49659:5</t>
  </si>
  <si>
    <t>2221b80a-c1a8-41fb-b416-72b6268e317c</t>
  </si>
  <si>
    <t>L3.2 chondrite meteorite</t>
  </si>
  <si>
    <t>An L chondrite that is petrologic type 3.2.</t>
  </si>
  <si>
    <t>L3.2</t>
  </si>
  <si>
    <t>1:1:49660:1</t>
  </si>
  <si>
    <t>64bc2537-a4d6-4c1c-8e3c-d12f1d8defb7</t>
  </si>
  <si>
    <t>L3.2-3.5 chondrite meteorite</t>
  </si>
  <si>
    <t>An L chondrite that is a breccia of petrological types 3.2 to 3.5.</t>
  </si>
  <si>
    <t>L3.2-3.5</t>
  </si>
  <si>
    <t>1:1:49661:0</t>
  </si>
  <si>
    <t>12dd945e-7360-41f1-8290-b25752ff7f2f</t>
  </si>
  <si>
    <t>L3.2-3.6 chondrite meteorite</t>
  </si>
  <si>
    <t>An L chondrite that is a breccia of petrological types 3.2 to 3.6.</t>
  </si>
  <si>
    <t>L3.2-3.6</t>
  </si>
  <si>
    <t>1:1:49662:9</t>
  </si>
  <si>
    <t>d63c1b23-eebb-4b1e-8f67-bfa495affa89</t>
  </si>
  <si>
    <t>L3.3 chondrite meteorite</t>
  </si>
  <si>
    <t>An L chondrite that is petrologic type 3.3.</t>
  </si>
  <si>
    <t>L3.3</t>
  </si>
  <si>
    <t>1:1:49663:8</t>
  </si>
  <si>
    <t>d4a54e89-2f77-4aa2-af43-298e03d9dfef</t>
  </si>
  <si>
    <t>L3.3-3.5 chondrite meteorite</t>
  </si>
  <si>
    <t>An L chondrite that is a breccia of petrological types 3.3 to 3.5.</t>
  </si>
  <si>
    <t>L3.3-3.5</t>
  </si>
  <si>
    <t>1:1:49664:7</t>
  </si>
  <si>
    <t>e6e1c65b-afa8-4a88-8773-a35ca70515ae</t>
  </si>
  <si>
    <t>L3.3-3.6 chondrite meteorite</t>
  </si>
  <si>
    <t>An L chondrite that is a breccia of petrological types 3.3 to 3.6.</t>
  </si>
  <si>
    <t>L3.3-3.6</t>
  </si>
  <si>
    <t>1:1:49665:6</t>
  </si>
  <si>
    <t>6cc474e2-6447-4054-adbe-901c3e8b0815</t>
  </si>
  <si>
    <t>L3.3-3.7 chondrite meteorite</t>
  </si>
  <si>
    <t>An L chondrite that is a breccia of petrological types 3.3 to 3.7.</t>
  </si>
  <si>
    <t>L3.3-3.7</t>
  </si>
  <si>
    <t>1:1:49666:5</t>
  </si>
  <si>
    <t>8b1298c9-4dd4-493e-8295-4bbfd652a5fa</t>
  </si>
  <si>
    <t>L3-4 chondrite meteorite</t>
  </si>
  <si>
    <t>An L chondrite that is a breccia of petrological types 3 to 4.</t>
  </si>
  <si>
    <t>L3-4</t>
  </si>
  <si>
    <t>1:1:49667:4</t>
  </si>
  <si>
    <t>cf8eba89-1beb-4619-9ff4-d25b9fe77954</t>
  </si>
  <si>
    <t>L3.5 chondrite meteorite</t>
  </si>
  <si>
    <t>An L chondrite that is petrologic type 3.5.</t>
  </si>
  <si>
    <t>L3.5</t>
  </si>
  <si>
    <t>1:1:49668:3</t>
  </si>
  <si>
    <t>aa319d5f-a7fa-4de7-a684-86e7f29215d2</t>
  </si>
  <si>
    <t>L3.5-3.7 chondrite meteorite</t>
  </si>
  <si>
    <t>An L chondrite that is a breccia of petrological types 3.5 tto 3.7.</t>
  </si>
  <si>
    <t>L3.5-3.7</t>
  </si>
  <si>
    <t>1:1:49669:2</t>
  </si>
  <si>
    <t>6c9faa4d-77f5-4d4d-bc07-222f633b22d2</t>
  </si>
  <si>
    <t>L3.5-3.8 chondrite meteorite</t>
  </si>
  <si>
    <t>An L chondrite that is a breccia of petrological types 3.5 to 3.8.</t>
  </si>
  <si>
    <t>L3.5-3.8</t>
  </si>
  <si>
    <t>1:1:49670:8</t>
  </si>
  <si>
    <t>bf8cc732-9109-4d31-9f43-def12fd8d38e</t>
  </si>
  <si>
    <t>L3.5-3.9 chondrite meteorite</t>
  </si>
  <si>
    <t>An L chondrite that is a breccia of petrological types 3.5 to 3.9.</t>
  </si>
  <si>
    <t>L3.5-3.9</t>
  </si>
  <si>
    <t>1:1:49671:7</t>
  </si>
  <si>
    <t>705d207e-6499-4d73-9d5b-e9ddca39d396</t>
  </si>
  <si>
    <t>L3.6 chondrite meteorite</t>
  </si>
  <si>
    <t>An L chondrite that is petrologic type 3.6.</t>
  </si>
  <si>
    <t>L3.6</t>
  </si>
  <si>
    <t>1:1:49672:6</t>
  </si>
  <si>
    <t>0f4f4389-e590-4267-bde6-deecc35e5087</t>
  </si>
  <si>
    <t>L3.6-4 chondrite meteorite</t>
  </si>
  <si>
    <t>An L chondrite that is a breccia of petrological types 3.6 to 4.</t>
  </si>
  <si>
    <t>L3.6-4</t>
  </si>
  <si>
    <t>1:1:49673:5</t>
  </si>
  <si>
    <t>92e1290b-48ad-437d-90c4-ae8b520fcc11</t>
  </si>
  <si>
    <t>L3.7 chondrite meteorite</t>
  </si>
  <si>
    <t>An L chondrite that is petrologic type 3.7.</t>
  </si>
  <si>
    <t>L3.7</t>
  </si>
  <si>
    <t>1:1:49674:4</t>
  </si>
  <si>
    <t>f9884c16-1af9-4da2-80a1-305740ad6dd9</t>
  </si>
  <si>
    <t>L3.7/3.8 chondrite meteorite</t>
  </si>
  <si>
    <t>An L chondrite that is petrologic type 3.7 to 3.8.</t>
  </si>
  <si>
    <t>L3.7/3.8</t>
  </si>
  <si>
    <t>1:1:49675:3</t>
  </si>
  <si>
    <t>28410f24-e989-45c6-98d7-30776a1cb02e</t>
  </si>
  <si>
    <t>L3.7-3.9 chondrite meteorite</t>
  </si>
  <si>
    <t>An L chondrite that is a breccia of petrological types 3.7 to 3.9.</t>
  </si>
  <si>
    <t>L3.7-3.9</t>
  </si>
  <si>
    <t>1:1:49676:2</t>
  </si>
  <si>
    <t>37bba41b-8a2a-4c1e-8312-6d0dbca56d44</t>
  </si>
  <si>
    <t>L3.7-4 chondrite meteorite</t>
  </si>
  <si>
    <t>An L chondrite that is a breccia of petrological types 3.7 to 4.</t>
  </si>
  <si>
    <t>L3.7-4</t>
  </si>
  <si>
    <t>1:1:49677:1</t>
  </si>
  <si>
    <t>ebd44cf8-d808-414e-98ac-bc3d742f9b7e</t>
  </si>
  <si>
    <t>L3.8 chondrite meteorite</t>
  </si>
  <si>
    <t>An L chondrite that is petrologic type 3.8.</t>
  </si>
  <si>
    <t>L3.8</t>
  </si>
  <si>
    <t>1:1:49678:0</t>
  </si>
  <si>
    <t>52631750-5f26-4b1e-b796-c887c26ef655</t>
  </si>
  <si>
    <t>L3.8-an chondrite meteorite</t>
  </si>
  <si>
    <t>An L chondrite that is petrologic type 3.8 and has anomalous properties.</t>
  </si>
  <si>
    <t>L3.8-an</t>
  </si>
  <si>
    <t>1:1:49679:9</t>
  </si>
  <si>
    <t>3c9c270f-6d05-4f3c-9406-ab06903fd80a</t>
  </si>
  <si>
    <t>L3.9 chondrite meteorite</t>
  </si>
  <si>
    <t>An L chondrite that is petrologic type 3.9.</t>
  </si>
  <si>
    <t>L3.9</t>
  </si>
  <si>
    <t>1:1:49680:5</t>
  </si>
  <si>
    <t>ba89debf-0b77-40e1-a053-6a5653f7b663</t>
  </si>
  <si>
    <t>L3.9/4 chondrite meteorite</t>
  </si>
  <si>
    <t>An L chondrite that is petrologic type 3.9 to 4.</t>
  </si>
  <si>
    <t>L3.9/4</t>
  </si>
  <si>
    <t>1:1:49682:3</t>
  </si>
  <si>
    <t>480569b2-8d42-49b6-9618-5d684783256d</t>
  </si>
  <si>
    <t>L(H)3 chondrite meteorite</t>
  </si>
  <si>
    <t>An L chondrite (or less likely, an H chondrite) that is of petrologic type 3.</t>
  </si>
  <si>
    <t>L(H)3</t>
  </si>
  <si>
    <t>1:1:49683:2</t>
  </si>
  <si>
    <t>99213eac-5e15-4ad0-aa65-beae3c4a7907</t>
  </si>
  <si>
    <t>LL(L)3 chondrite meteorite</t>
  </si>
  <si>
    <t>An LL chondrite (or less likely, an L chondrite) that is of petrologic type 3.</t>
  </si>
  <si>
    <t>LL(L)3</t>
  </si>
  <si>
    <t>1:1:49684:1</t>
  </si>
  <si>
    <t>ce36912d-1d63-4f26-852b-2d3296c55794</t>
  </si>
  <si>
    <t>L(LL)3.0 chondrite meteorite</t>
  </si>
  <si>
    <t>An L chondrite (or less likely, an LL chondrite) that is of petrologic type 3.0.</t>
  </si>
  <si>
    <t>L(LL)3.0</t>
  </si>
  <si>
    <t>1:1:49685:0</t>
  </si>
  <si>
    <t>ab546a4f-8cbe-4895-95af-9b9db7395389</t>
  </si>
  <si>
    <t>L(LL)3.05 chondrite meteorite</t>
  </si>
  <si>
    <t>An ordinary chondrite from either the L group or, less likely, the LL group that is petrologic type 3.05</t>
  </si>
  <si>
    <t>L(LL)3.05</t>
  </si>
  <si>
    <t>1:1:49686:9</t>
  </si>
  <si>
    <t>847b387d-a455-4006-9f41-cf754b124c4b</t>
  </si>
  <si>
    <t>L(LL)3.5-3.7 chondrite meteorite</t>
  </si>
  <si>
    <t>An L chondrite (or less likely, an LL chondrite) that is a breccia of components ranging from petrologic type 3.5 to 3.7.</t>
  </si>
  <si>
    <t>L(LL)3.5-3.7</t>
  </si>
  <si>
    <t>1:1:49688:7</t>
  </si>
  <si>
    <t>12518482-8bc2-4fd3-b221-0b814d89a16a</t>
  </si>
  <si>
    <t>LL(L)3.1 chondrite meteorite</t>
  </si>
  <si>
    <t>An LL chondrite (or less likely, an L chondrite) that is of petrologic type 3.1.</t>
  </si>
  <si>
    <t>LL(L)3.1</t>
  </si>
  <si>
    <t>1:1:49689:6</t>
  </si>
  <si>
    <t>f787b80f-b4cd-43c2-a8ac-68097c9d440d</t>
  </si>
  <si>
    <t>LL(L)3.2 chondrite meteorite</t>
  </si>
  <si>
    <t>An LL chondrite (or less likely, an L chondrite) that is of petrologic type 3.2.</t>
  </si>
  <si>
    <t>LL(L)3.2</t>
  </si>
  <si>
    <t>1:1:49690:2</t>
  </si>
  <si>
    <t>860a1fc0-4396-43d2-a163-729e56be0e14</t>
  </si>
  <si>
    <t>L/LL3.4 chondrite meteorite</t>
  </si>
  <si>
    <t>An L chondrite or LL chondrite that is of petrological type 3.4.</t>
  </si>
  <si>
    <t>L/LL3.4</t>
  </si>
  <si>
    <t>1:1:49691:1</t>
  </si>
  <si>
    <t>de1af478-d97d-4ec7-9588-71dc9f4be138</t>
  </si>
  <si>
    <t>L/LL3.10 chondrite meteorite</t>
  </si>
  <si>
    <t>An ordinary chondrite from either the L group or LL group that is petrologic type 3.10</t>
  </si>
  <si>
    <t>L/LL3.10</t>
  </si>
  <si>
    <t>1:1:49692:0</t>
  </si>
  <si>
    <t>0a95301a-0a27-4680-948b-bf3fde11ee1f</t>
  </si>
  <si>
    <t>L/LL3.5 chondrite meteorite</t>
  </si>
  <si>
    <t>An L chondrite or LL chondrite that is of petrological type 3.5</t>
  </si>
  <si>
    <t>L/LL3.5</t>
  </si>
  <si>
    <t>1:1:49693:9</t>
  </si>
  <si>
    <t>06475afc-791a-473f-97c0-6a9b9bb808be</t>
  </si>
  <si>
    <t>L/LL3.6/3.7 chondrite meteorite</t>
  </si>
  <si>
    <t>An L chondrite or LL chondrite that is either petrological type 3.6 or 3.7.</t>
  </si>
  <si>
    <t>L/LL3.6/3.7</t>
  </si>
  <si>
    <t>1:1:49695:7</t>
  </si>
  <si>
    <t>fa939035-1ca8-4139-b906-8a1c14d0c28c</t>
  </si>
  <si>
    <t>L4 chondrite meteorite</t>
  </si>
  <si>
    <t>An L chondrite that is of petrologic type 4.</t>
  </si>
  <si>
    <t>L4</t>
  </si>
  <si>
    <t>1:1:49696:6</t>
  </si>
  <si>
    <t>a935d6ca-d2fc-434f-bed8-e584f35a473d</t>
  </si>
  <si>
    <t>L4-an chondrite meteorite</t>
  </si>
  <si>
    <t>An L chondrite that is petrologic type 4 and has anomalous properties.</t>
  </si>
  <si>
    <t>L4-an</t>
  </si>
  <si>
    <t>1:1:49697:5</t>
  </si>
  <si>
    <t>2008330c-c089-4371-9be1-7cfda44b3036</t>
  </si>
  <si>
    <t>L4-melt breccia chondrite meteorite</t>
  </si>
  <si>
    <t>An L4 chondrite that is a breccia with melted material forming the matrix.</t>
  </si>
  <si>
    <t>L4-melt breccia</t>
  </si>
  <si>
    <t>1:1:49698:4</t>
  </si>
  <si>
    <t>5bc5435e-c2c4-4f0a-8ddc-8c47ef6f723b</t>
  </si>
  <si>
    <t>L4-melt rock chondrite meteorite</t>
  </si>
  <si>
    <t>An L4 chondrite that has experienced secondary melting.</t>
  </si>
  <si>
    <t>L4-melt rock</t>
  </si>
  <si>
    <t>1:1:49699:3</t>
  </si>
  <si>
    <t>5dbb8dc7-f2b7-4321-868b-429c0bd3c1e9</t>
  </si>
  <si>
    <t>L/LL4 chondrite meteorite</t>
  </si>
  <si>
    <t>An L chondrite or LL chondrite that is of petrological type 4.</t>
  </si>
  <si>
    <t>L/LL4</t>
  </si>
  <si>
    <t>1:1:49700:8</t>
  </si>
  <si>
    <t>d8143638-9014-47ec-9e96-a92b35918388</t>
  </si>
  <si>
    <t>L4/5 chondrite meteorite</t>
  </si>
  <si>
    <t>An L chondrite that is petrologic type 4 to 5.</t>
  </si>
  <si>
    <t>L4/5</t>
  </si>
  <si>
    <t>1:1:49702:6</t>
  </si>
  <si>
    <t>1d6c0559-20f0-4a57-9800-f043cdcac38a</t>
  </si>
  <si>
    <t>L5 chondrite meteorite</t>
  </si>
  <si>
    <t>An L chondrite that is of petrologic type 5.</t>
  </si>
  <si>
    <t>L5</t>
  </si>
  <si>
    <t>1:1:49703:5</t>
  </si>
  <si>
    <t>768eea8d-be06-46e6-af4b-081956dee0f4</t>
  </si>
  <si>
    <t>L/LL5 chondrite meteorite</t>
  </si>
  <si>
    <t>An L chondrite or LL chondrite that is of petrological type 5.</t>
  </si>
  <si>
    <t>L/LL5</t>
  </si>
  <si>
    <t>1:1:49705:3</t>
  </si>
  <si>
    <t>aea3a63f-029e-4ba3-ac27-297df08d7519</t>
  </si>
  <si>
    <t>L/LL5/6 chondrite meteorite</t>
  </si>
  <si>
    <t>An L chondrite or LL chondrite that is either petrological type 5 or 6.</t>
  </si>
  <si>
    <t>L/LL5/6</t>
  </si>
  <si>
    <t>1:1:49707:1</t>
  </si>
  <si>
    <t>828535fc-dc24-40b2-ab3c-aac7992d9b05</t>
  </si>
  <si>
    <t>L5-6 chrondite</t>
  </si>
  <si>
    <t>An L chondrite that is a breccia of components ranging from petrologic type 5 to 6.</t>
  </si>
  <si>
    <t>L5-6</t>
  </si>
  <si>
    <t>1:1:49708:0</t>
  </si>
  <si>
    <t>061ee847-556f-4f3b-9dee-4373ff6906f1</t>
  </si>
  <si>
    <t>L5/6 chondrite meteorite</t>
  </si>
  <si>
    <t>An L chondrite that is either petrological type 5 or 6.</t>
  </si>
  <si>
    <t>L5/6</t>
  </si>
  <si>
    <t>1:1:49709:9</t>
  </si>
  <si>
    <t>ca8a0667-0504-408c-aa49-13dc17c4a3d7</t>
  </si>
  <si>
    <t>L5-melt breccia chondrite meteorite</t>
  </si>
  <si>
    <t>An L5 chondrite that is a breccia with melted material forming the matrix.</t>
  </si>
  <si>
    <t>L5-melt breccia</t>
  </si>
  <si>
    <t>1:1:49710:5</t>
  </si>
  <si>
    <t>69b5dbed-a113-47a4-a29b-c06a2bfd8ed0</t>
  </si>
  <si>
    <t>L6 chondrite meteorite</t>
  </si>
  <si>
    <t>An L chondrite that is of petrologic type 6.</t>
  </si>
  <si>
    <t>L6</t>
  </si>
  <si>
    <t>1:1:49711:4</t>
  </si>
  <si>
    <t>34ed69f4-34ef-4504-997a-d086ced34d8a</t>
  </si>
  <si>
    <t>L6-melt breccia chondrite meteorite</t>
  </si>
  <si>
    <t>An L6 chondrite that is a breccia with melted material forming the matrix.</t>
  </si>
  <si>
    <t>L6-melt breccia</t>
  </si>
  <si>
    <t>1:1:49712:3</t>
  </si>
  <si>
    <t>735f2bd3-fcca-4990-b94f-fcf7f68b1396</t>
  </si>
  <si>
    <t>L6-melt rock chondrite meteorite</t>
  </si>
  <si>
    <t>An L6 chondrite that has experienced secondary melting.</t>
  </si>
  <si>
    <t>L6-melt rock</t>
  </si>
  <si>
    <t>1:1:49713:2</t>
  </si>
  <si>
    <t>54888a59-3a66-4daa-bd85-a6961a44a433</t>
  </si>
  <si>
    <t>L/LL6 chondrite meteorite</t>
  </si>
  <si>
    <t>An L chondrite or LL chondrite that is of petrological type 6.</t>
  </si>
  <si>
    <t>L/LL6</t>
  </si>
  <si>
    <t>1:1:49715:0</t>
  </si>
  <si>
    <t>9b7a5928-f94c-42ab-8de2-646f0df13dde</t>
  </si>
  <si>
    <t>L/LL6-an chondrite meteorite</t>
  </si>
  <si>
    <t>An L chondrite or LL chondrite that is of petrological type 6 and has anomalous properties.</t>
  </si>
  <si>
    <t>L/LL6-an</t>
  </si>
  <si>
    <t>1:1:49716:9</t>
  </si>
  <si>
    <t>bbdb799b-cb90-460e-934a-03cea48ebf6c</t>
  </si>
  <si>
    <t>L6/7 chondrite meteorite</t>
  </si>
  <si>
    <t>An L chondrite that is either petrological type 6 or 7.</t>
  </si>
  <si>
    <t>L6/7</t>
  </si>
  <si>
    <t>1:1:49717:8</t>
  </si>
  <si>
    <t>2b637516-2bca-4698-90b0-f960d0c08e05</t>
  </si>
  <si>
    <t>L7 chondrite meteorite</t>
  </si>
  <si>
    <t>An L chondrite that is of petrologic type 7. Note that petrologic type 7 is not used consistently or widely accepted in the literature.</t>
  </si>
  <si>
    <t>L7</t>
  </si>
  <si>
    <t>1:1:49718:7</t>
  </si>
  <si>
    <t>cfa8db8a-4ff2-4bb6-b8ac-ec70f822398f</t>
  </si>
  <si>
    <t>L-imp melt chondrite meteorite</t>
  </si>
  <si>
    <t>An L chondrite that has experienced impact melting and for which the petrologic type has not been determined.</t>
  </si>
  <si>
    <t>L-imp melt</t>
  </si>
  <si>
    <t>1:1:49719:6</t>
  </si>
  <si>
    <t>bace3323-2fb5-4cad-810c-c0056e4a3a1d</t>
  </si>
  <si>
    <t>L-melt breccia chondrite meteorite</t>
  </si>
  <si>
    <t>An L chondrite that is a breccia with melted material forming the matrix and for which the petrologic type has not been determined.</t>
  </si>
  <si>
    <t>L-melt breccia</t>
  </si>
  <si>
    <t>1:1:49720:2</t>
  </si>
  <si>
    <t>f297980d-76d2-49eb-abbd-4c04dc34cc50</t>
  </si>
  <si>
    <t>L-melt rock chondrite meteorite</t>
  </si>
  <si>
    <t>An L chondrite that has experienced secondary melting.</t>
  </si>
  <si>
    <t>L-melt rock</t>
  </si>
  <si>
    <t>1:1:49721:1</t>
  </si>
  <si>
    <t>db6c5e37-bc09-4b92-b53e-756e0e9ec450</t>
  </si>
  <si>
    <t>L-metal chondrite meteorite</t>
  </si>
  <si>
    <t>A meteorite that is dominantly composed of Fe-Ni metal. It seems likely that the object was derived from an ordinary L chondrite and was not once part of an extended metal-rich body.</t>
  </si>
  <si>
    <t>L-metal</t>
  </si>
  <si>
    <t>1:1:49722:0</t>
  </si>
  <si>
    <t>22c04e75-e418-4ce2-b58e-6bb82f445d24</t>
  </si>
  <si>
    <t>L/LL-melt rock chondrite meteorite</t>
  </si>
  <si>
    <t>An L chondrite or LL chondrite that has experienced secondary melting.</t>
  </si>
  <si>
    <t>L/LL-melt rock</t>
  </si>
  <si>
    <t>1:1:49723:9</t>
  </si>
  <si>
    <t>14f3012f-10e3-48a3-b39d-9d37e95935c6</t>
  </si>
  <si>
    <t>L/LL3-6 chondrite meteorite</t>
  </si>
  <si>
    <t>An L chondrite or LL chondrite that is a breccia of petrological type 3 to 6 components.</t>
  </si>
  <si>
    <t>L/LL3-6</t>
  </si>
  <si>
    <t>1:1:49724:8</t>
  </si>
  <si>
    <t>27aaff4b-2324-4b07-9048-60adbc6e6f0f</t>
  </si>
  <si>
    <t>L/LL3-5 chondrite meteorite</t>
  </si>
  <si>
    <t>An L chondrite or LL chondrite that is a breccia of petrological type 3 to 5 components.</t>
  </si>
  <si>
    <t>L/LL3-5</t>
  </si>
  <si>
    <t>1:1:49725:7</t>
  </si>
  <si>
    <t>6e999f44-2a15-4525-bbdd-92483909fcf8</t>
  </si>
  <si>
    <t>L/LL(?)3 chondrite meteorite</t>
  </si>
  <si>
    <t>An ordinary chondrite, probably an L chondrite or LL chondrite that is of petrological type 3.</t>
  </si>
  <si>
    <t>L/LL(?)3</t>
  </si>
  <si>
    <t>1:1:49726:6</t>
  </si>
  <si>
    <t>74b74510-8c2a-4f67-ad31-f3f728410ef5</t>
  </si>
  <si>
    <t>L(?)3 chondrite meteorite</t>
  </si>
  <si>
    <t>An ordinary chondrite, probably an L chondrite that is of petrological type 3.</t>
  </si>
  <si>
    <t>L(?)3</t>
  </si>
  <si>
    <t>1:1:49727:5</t>
  </si>
  <si>
    <t>801335bb-f8da-4d59-bcae-9da795bae252</t>
  </si>
  <si>
    <t>L(LL)~4 chondrite meteorite</t>
  </si>
  <si>
    <t>An L chondrite (or less likely, an LL chondrite) that is approximately of petrologic type 4.</t>
  </si>
  <si>
    <t>L(LL)~4</t>
  </si>
  <si>
    <t>1:1:49728:4</t>
  </si>
  <si>
    <t>d7c40311-b069-44dd-a0ab-6c84149edad0</t>
  </si>
  <si>
    <t>L/LL~4 chondrite meteorite</t>
  </si>
  <si>
    <t>An L chondrite or LL chondrite that is approximately of petrologic type 4.</t>
  </si>
  <si>
    <t>L/LL~4</t>
  </si>
  <si>
    <t>1:1:49729:3</t>
  </si>
  <si>
    <t>95da825e-e1ea-44f4-b9f0-c9f9d5a103b4</t>
  </si>
  <si>
    <t>L/LL~5 chondrite meteorite</t>
  </si>
  <si>
    <t>An L chondrite or LL chondrite that is approximately of petrologic type 5.</t>
  </si>
  <si>
    <t>L/LL~5</t>
  </si>
  <si>
    <t>1:1:49730:9</t>
  </si>
  <si>
    <t>c1a6ec87-cd72-4746-b015-31f967d2feb1</t>
  </si>
  <si>
    <t>L/LL~6 chondrite meteorite</t>
  </si>
  <si>
    <t>An L chondrite or LL chondrite that is approximately of petrologic type 6.</t>
  </si>
  <si>
    <t>L/LL~6</t>
  </si>
  <si>
    <t>1:1:49731:8</t>
  </si>
  <si>
    <t>f23539dd-752e-4559-b47b-638fd515a6c4</t>
  </si>
  <si>
    <t>L3-5 chondrite meteorite</t>
  </si>
  <si>
    <t>An L chondrite that is a breccia of petrological types 3 to 5.</t>
  </si>
  <si>
    <t>L3-5</t>
  </si>
  <si>
    <t>1:1:49732:7</t>
  </si>
  <si>
    <t>6de80977-7651-4715-b137-77d732063dbe</t>
  </si>
  <si>
    <t>L3-6 chondrite meteorite</t>
  </si>
  <si>
    <t>An L chondrite that is a breccia of petrological types 3 to 6.</t>
  </si>
  <si>
    <t>L3-6</t>
  </si>
  <si>
    <t>1:1:49733:6</t>
  </si>
  <si>
    <t>483c4522-8faa-452d-a121-26bb9506b7ed</t>
  </si>
  <si>
    <t>L3-7 chondrite meteorite</t>
  </si>
  <si>
    <t>An L chondrite that is a breccia of petrological types 3 to 7.</t>
  </si>
  <si>
    <t>L3-7</t>
  </si>
  <si>
    <t>1:1:49734:5</t>
  </si>
  <si>
    <t>3d4ed9c4-74d2-4051-83d9-4a9dc105015c</t>
  </si>
  <si>
    <t>L3.5-5 chondrite meteorite</t>
  </si>
  <si>
    <t>An L chondrite that is a breccia of petrological types 3.5 to 5.</t>
  </si>
  <si>
    <t>L3.5-5</t>
  </si>
  <si>
    <t>1:1:49735:4</t>
  </si>
  <si>
    <t>d0356cdf-49f8-483f-9127-6a18ff330df0</t>
  </si>
  <si>
    <t>L3.7-6 chondrite meteorite</t>
  </si>
  <si>
    <t>An L chondrite that is a breccia of petrological types 3.7 to 6.</t>
  </si>
  <si>
    <t>L3.7-6</t>
  </si>
  <si>
    <t>1:1:49736:3</t>
  </si>
  <si>
    <t>ca7f45ea-0196-4d24-b998-490461544229</t>
  </si>
  <si>
    <t>L3.8-5 chondrite meteorite</t>
  </si>
  <si>
    <t>An L chondrite that is a breccia of petrological types 3.8 to 5.</t>
  </si>
  <si>
    <t>L3.8-5</t>
  </si>
  <si>
    <t>1:1:49737:2</t>
  </si>
  <si>
    <t>72205be5-47a8-4101-ba4c-18a69faf603c</t>
  </si>
  <si>
    <t>L3.8-6 chondrite meteorite</t>
  </si>
  <si>
    <t>An L chondrite that is a breccia of petrological types 3.8 to 6.</t>
  </si>
  <si>
    <t>L3.8-6</t>
  </si>
  <si>
    <t>1:1:49738:1</t>
  </si>
  <si>
    <t>d68139c3-8cb3-41bc-952b-b649ab0fddf8</t>
  </si>
  <si>
    <t>L4-6 chondrite meteorite</t>
  </si>
  <si>
    <t>An L chondrite that is a breccia of petrological types 4 to 6.</t>
  </si>
  <si>
    <t>L4-6</t>
  </si>
  <si>
    <t>1:1:49739:0</t>
  </si>
  <si>
    <t>379c6810-b7ee-4ef0-a936-29580f3d4320</t>
  </si>
  <si>
    <t>L5-7 chondrite meteorite</t>
  </si>
  <si>
    <t>An L chondrite that is a breccia of petrological types 5 to 7.</t>
  </si>
  <si>
    <t>L5-7</t>
  </si>
  <si>
    <t>1:1:49740:6</t>
  </si>
  <si>
    <t>9d4ee798-6ecf-444e-adca-425f472e2982</t>
  </si>
  <si>
    <t>L~3 chondrite meteorite</t>
  </si>
  <si>
    <t>An L chondrite that is approximately of petrologic type 3.</t>
  </si>
  <si>
    <t>L~3</t>
  </si>
  <si>
    <t>1:1:49741:5</t>
  </si>
  <si>
    <t>05887095-5734-4c4f-830d-54e2dec557b2</t>
  </si>
  <si>
    <t>L~4 chondrite meteorite</t>
  </si>
  <si>
    <t>An L chondrite that is approximately of petrologic type 4.</t>
  </si>
  <si>
    <t>L~4</t>
  </si>
  <si>
    <t>1:1:49742:4</t>
  </si>
  <si>
    <t>908fb195-8844-4889-a851-8af34107b0ee</t>
  </si>
  <si>
    <t>L~4-6 chondrite meteorite</t>
  </si>
  <si>
    <t>An L chondrite that is a breccia of components of approximate petrological types 4 to 6.</t>
  </si>
  <si>
    <t>L~4-6</t>
  </si>
  <si>
    <t>1:1:49743:3</t>
  </si>
  <si>
    <t>227bfa2f-64fb-451b-8e55-fa22f45fe94f</t>
  </si>
  <si>
    <t>L~5 chondrite meteorite</t>
  </si>
  <si>
    <t>An L chondrite that is approximately of petrologic type 5.</t>
  </si>
  <si>
    <t>L~5</t>
  </si>
  <si>
    <t>1:1:49744:2</t>
  </si>
  <si>
    <t>764d0793-e775-4570-9b83-3f8c04fba596</t>
  </si>
  <si>
    <t>L~6 chondrite meteorite</t>
  </si>
  <si>
    <t>An L chondrite that is approximately of petrologic type 6.</t>
  </si>
  <si>
    <t>L~6</t>
  </si>
  <si>
    <t>1:1:49745:1</t>
  </si>
  <si>
    <t>ff8c75b0-40cb-4488-b84f-0f5ad876bafa</t>
  </si>
  <si>
    <t>LL chondrite meteorite</t>
  </si>
  <si>
    <t>The low-iron, low metal (LL) chemical group of ordinary chondrites, distinguished by their low siderophile element content, fairly large chondrules (~0.9 mm), and oxygen isotope compositions that are further above the terrestrial fractionation line tha...</t>
  </si>
  <si>
    <t>LL</t>
  </si>
  <si>
    <t>1:1:49746:0</t>
  </si>
  <si>
    <t>5ddb6759-f844-4c29-9d84-fe5909440f3d</t>
  </si>
  <si>
    <t>LL3 chondrite meteorite</t>
  </si>
  <si>
    <t>An LL chondrite that is of petrologic type 3.</t>
  </si>
  <si>
    <t>LL3</t>
  </si>
  <si>
    <t>1:1:49750:3</t>
  </si>
  <si>
    <t>132fea97-5b97-4fbd-889d-cb34d93e0a6b</t>
  </si>
  <si>
    <t>LL3/4 chondrite meteorite</t>
  </si>
  <si>
    <t>An LL chondrite that is either petrological type 3 or 4.</t>
  </si>
  <si>
    <t>LL3/4</t>
  </si>
  <si>
    <t>1:1:49751:2</t>
  </si>
  <si>
    <t>5b623876-315f-43c1-b697-16faee7d1e0d</t>
  </si>
  <si>
    <t>LL3.0 chondrite meteorite</t>
  </si>
  <si>
    <t>An LL chondrite that is petrologic type 3.0.</t>
  </si>
  <si>
    <t>LL3.0</t>
  </si>
  <si>
    <t>1:1:49752:1</t>
  </si>
  <si>
    <t>9f746916-0d62-43fa-97dc-32b9803afb98</t>
  </si>
  <si>
    <t>LL3.00 chondrite meteorite</t>
  </si>
  <si>
    <t>An ordinary chondrite from the LL group that is petrologic type 3.00</t>
  </si>
  <si>
    <t>LL3.00</t>
  </si>
  <si>
    <t>1:1:49753:0</t>
  </si>
  <si>
    <t>38af8a4a-fcb7-42d3-ba30-de6d37ab0789</t>
  </si>
  <si>
    <t>LL3.05 chondrite meteorite</t>
  </si>
  <si>
    <t>An ordinary chondrite from the LL group that is petrologic type 3.05</t>
  </si>
  <si>
    <t>LL3.05</t>
  </si>
  <si>
    <t>1:1:49754:9</t>
  </si>
  <si>
    <t>316f5691-cc60-42cc-8091-ecd39691a4f3</t>
  </si>
  <si>
    <t>LL3.1 chondrite meteorite</t>
  </si>
  <si>
    <t>An LL chondrite that is petrologic type 3.1.</t>
  </si>
  <si>
    <t>LL3.1</t>
  </si>
  <si>
    <t>1:1:49755:8</t>
  </si>
  <si>
    <t>7beb27e7-fd49-4971-b8ec-6fb9706538ee</t>
  </si>
  <si>
    <t>LL3.10 chondrite meteorite</t>
  </si>
  <si>
    <t>An ordinary chondrite from the LL group that is petrologic type 3.10</t>
  </si>
  <si>
    <t>LL3.10</t>
  </si>
  <si>
    <t>1:1:49756:7</t>
  </si>
  <si>
    <t>85c1b43d-e69a-4a3f-a9fa-b8200acceb02</t>
  </si>
  <si>
    <t>LL3.15 chondrite meteorite</t>
  </si>
  <si>
    <t>An ordinary chondrite from the LL group that is of petrologic type 3.15</t>
  </si>
  <si>
    <t>LL3.15</t>
  </si>
  <si>
    <t>1:1:49757:6</t>
  </si>
  <si>
    <t>cf960442-46ca-4d01-b5b9-240dbf9457d9</t>
  </si>
  <si>
    <t>LL3.2 chondrite meteorite</t>
  </si>
  <si>
    <t>An LL chondrite that is petrologic type 3.2.</t>
  </si>
  <si>
    <t>LL3.2</t>
  </si>
  <si>
    <t>1:1:49758:5</t>
  </si>
  <si>
    <t>078bc54e-0863-4c94-a457-612b98289782</t>
  </si>
  <si>
    <t>LL3.3 chondrite meteorite</t>
  </si>
  <si>
    <t>An LL chondrite that is petrologic type 3.3.</t>
  </si>
  <si>
    <t>LL3.3</t>
  </si>
  <si>
    <t>1:1:49760:0</t>
  </si>
  <si>
    <t>e50549e7-b34a-4e42-af32-d50d9fdac703</t>
  </si>
  <si>
    <t>LL3.5 chondrite meteorite</t>
  </si>
  <si>
    <t>An LL chondrite that is petrologic type 3.5.</t>
  </si>
  <si>
    <t>LL3.5</t>
  </si>
  <si>
    <t>1:1:49761:9</t>
  </si>
  <si>
    <t>14e81c0f-b487-43eb-aa2f-df3742b69b86</t>
  </si>
  <si>
    <t>LL3.6 chondrite meteorite</t>
  </si>
  <si>
    <t>An LL chondrite that is petrologic type 3.6.</t>
  </si>
  <si>
    <t>LL3.6</t>
  </si>
  <si>
    <t>1:1:49762:8</t>
  </si>
  <si>
    <t>c52b1515-b435-4b06-8165-443b4cc92ff0</t>
  </si>
  <si>
    <t>LL3.6/3.7 chondrite meteorite</t>
  </si>
  <si>
    <t>An LL chondrite that is either petrological type 3.6 or 3.7.</t>
  </si>
  <si>
    <t>LL3.6/3.7</t>
  </si>
  <si>
    <t>1:1:49763:7</t>
  </si>
  <si>
    <t>d8456964-b1a3-4b36-8140-59a95223520d</t>
  </si>
  <si>
    <t>LL3.7 chondrite meteorite</t>
  </si>
  <si>
    <t>An LL chondrite that is petrologic type 3.7.</t>
  </si>
  <si>
    <t>LL3.7</t>
  </si>
  <si>
    <t>1:1:49764:6</t>
  </si>
  <si>
    <t>75c27186-1d15-4991-9d8b-2de88a7a49e2</t>
  </si>
  <si>
    <t>LL3.8 chondrite meteorite</t>
  </si>
  <si>
    <t>An LL chondrite that is petrologic type 3.8.</t>
  </si>
  <si>
    <t>LL3.8</t>
  </si>
  <si>
    <t>1:1:49765:5</t>
  </si>
  <si>
    <t>535eeecc-d402-4f20-ae75-a713c51a0dab</t>
  </si>
  <si>
    <t>LL3.9 chondrite meteorite</t>
  </si>
  <si>
    <t>An LL chondrite that is petrologic type 3.9.</t>
  </si>
  <si>
    <t>LL3.9</t>
  </si>
  <si>
    <t>1:1:49767:3</t>
  </si>
  <si>
    <t>5692e599-a301-472a-ac4c-3db3b36ef161</t>
  </si>
  <si>
    <t>LL3.9/4 chondrite meteorite</t>
  </si>
  <si>
    <t>An LL chondrite that is either petrological type 3.9 or 4.</t>
  </si>
  <si>
    <t>LL3.9/4</t>
  </si>
  <si>
    <t>1:1:49768:2</t>
  </si>
  <si>
    <t>1dd7ca62-f672-4c83-92e7-c2456689b35a</t>
  </si>
  <si>
    <t>LL4 chondrite meteorite</t>
  </si>
  <si>
    <t>An LL chondrite that is of petrologic type 4.</t>
  </si>
  <si>
    <t>LL4</t>
  </si>
  <si>
    <t>1:1:49769:1</t>
  </si>
  <si>
    <t>73d4acfc-933c-46b7-8c23-7f378a66ed63</t>
  </si>
  <si>
    <t>LL4/5 chondrite meteorite</t>
  </si>
  <si>
    <t>An LL chondrite that is either petrological type 4 or 5.</t>
  </si>
  <si>
    <t>LL4/5</t>
  </si>
  <si>
    <t>1:1:49770:7</t>
  </si>
  <si>
    <t>7a32c525-10e8-498b-842a-b614ad7b591f</t>
  </si>
  <si>
    <t>LL4-melt breccia chondrite meteorite</t>
  </si>
  <si>
    <t>An LL4 chondrite that is a breccia with melted material forming the matrix.</t>
  </si>
  <si>
    <t>LL4-melt breccia</t>
  </si>
  <si>
    <t>1:1:49772:5</t>
  </si>
  <si>
    <t>0a072f51-0182-4dcc-a0a5-c4c561008e8a</t>
  </si>
  <si>
    <t>LL5 chondrite meteorite</t>
  </si>
  <si>
    <t>An LL chondrite that is of petrologic type 5.</t>
  </si>
  <si>
    <t>LL5</t>
  </si>
  <si>
    <t>1:1:49773:4</t>
  </si>
  <si>
    <t>db573613-a3e9-4cef-8dfd-e22ac49bbaf2</t>
  </si>
  <si>
    <t>LL5/6 chondrite meteorite</t>
  </si>
  <si>
    <t>An LL chondrite that is either petrological type 5 or 6.</t>
  </si>
  <si>
    <t>LL5/6</t>
  </si>
  <si>
    <t>1:1:49774:3</t>
  </si>
  <si>
    <t>85e4f5c9-6685-4770-a51c-7dc60cd5dcb8</t>
  </si>
  <si>
    <t>LL5-melt breccia chondrite meteorite</t>
  </si>
  <si>
    <t>An LL5 chondrite that is a breccia with melted material forming the matrix.</t>
  </si>
  <si>
    <t>LL5-melt breccia</t>
  </si>
  <si>
    <t>1:1:49776:1</t>
  </si>
  <si>
    <t>11700699-2f1a-48f8-b42f-7ddf85e62b83</t>
  </si>
  <si>
    <t>LL6 chondrite meteorite</t>
  </si>
  <si>
    <t>An LL chondrite that is of petrologic type 6.</t>
  </si>
  <si>
    <t>LL6</t>
  </si>
  <si>
    <t>1:1:49777:0</t>
  </si>
  <si>
    <t>c7384636-48cc-4f53-a9dc-879d18951965</t>
  </si>
  <si>
    <t>LL6-an chondrite meteorite</t>
  </si>
  <si>
    <t>An LL chondrite that is of petrological type 6 and has anomalous properties.</t>
  </si>
  <si>
    <t>LL6-an</t>
  </si>
  <si>
    <t>1:1:49778:9</t>
  </si>
  <si>
    <t>0484fe6c-c5d3-4268-9461-570c46298948</t>
  </si>
  <si>
    <t>LL6-melt breccia chondrite meteorite</t>
  </si>
  <si>
    <t>An LL6 chondrite that is a breccia with melted material forming the matrix.</t>
  </si>
  <si>
    <t>LL6-melt breccia</t>
  </si>
  <si>
    <t>1:1:49779:8</t>
  </si>
  <si>
    <t>3fb0502d-6822-4fd7-beec-c29d3bebdb93</t>
  </si>
  <si>
    <t>LL6/7 chondrite meteorite</t>
  </si>
  <si>
    <t>An LL chondrite that is either petrological type 6 or 7.</t>
  </si>
  <si>
    <t>LL6/7</t>
  </si>
  <si>
    <t>1:1:49780:4</t>
  </si>
  <si>
    <t>9116d0b6-d500-4ea7-a76c-37f2d0cf520a</t>
  </si>
  <si>
    <t>LL-imp melt chondrite meteorite</t>
  </si>
  <si>
    <t>An LL chondrite that has experienced impact melting and for which the petrologic type has not been determined.</t>
  </si>
  <si>
    <t>LL-imp melt</t>
  </si>
  <si>
    <t>1:1:49781:3</t>
  </si>
  <si>
    <t>d6fabdc5-8822-4f3d-8fa3-42bd074028ab</t>
  </si>
  <si>
    <t>LL-melt breccia chondrite meteorite</t>
  </si>
  <si>
    <t>An LL chondrite that is a breccia with melted material forming the matrix and for which the petrologic type has not been determined.</t>
  </si>
  <si>
    <t>LL-melt breccia</t>
  </si>
  <si>
    <t>1:1:49782:2</t>
  </si>
  <si>
    <t>86e021a9-03c1-401e-ad06-b34595721508</t>
  </si>
  <si>
    <t>LL-melt rock chondrite meteorite</t>
  </si>
  <si>
    <t>LL-melt rock</t>
  </si>
  <si>
    <t>1:1:49783:1</t>
  </si>
  <si>
    <t>b7330f56-3403-4f07-9de3-7d1ae4100be9</t>
  </si>
  <si>
    <t>LL3-5 chondrite meteorite</t>
  </si>
  <si>
    <t>An LL chondrite that is a breccia of petrological types 3 to 5.</t>
  </si>
  <si>
    <t>LL3-5</t>
  </si>
  <si>
    <t>1:1:49784:0</t>
  </si>
  <si>
    <t>ab4963db-d082-4862-a2e5-93c49473d1dd</t>
  </si>
  <si>
    <t>LL3-6 chondrite meteorite</t>
  </si>
  <si>
    <t>An LL chondrite that is a breccia of petrological types 3 to 6.</t>
  </si>
  <si>
    <t>LL3-6</t>
  </si>
  <si>
    <t>1:1:49785:9</t>
  </si>
  <si>
    <t>6418ef92-4975-4d18-bb23-d03b6aa27115</t>
  </si>
  <si>
    <t>LL3.7-6 chondrite meteorite</t>
  </si>
  <si>
    <t>An LL chondrite that is a breccia of petrological types 3.7 to 6.</t>
  </si>
  <si>
    <t>LL3.7-6</t>
  </si>
  <si>
    <t>1:1:49786:8</t>
  </si>
  <si>
    <t>a33c0df3-3092-47b6-b0c8-e94f7ce20e02</t>
  </si>
  <si>
    <t>LL3.8-4 chondrite meteorite</t>
  </si>
  <si>
    <t>An LL chondrite that is a breccia of petrological types 3.8 to 4.</t>
  </si>
  <si>
    <t>LL3.8-4</t>
  </si>
  <si>
    <t>1:1:49787:7</t>
  </si>
  <si>
    <t>c020ccac-f35f-4ee6-b4b6-506d67f63afe</t>
  </si>
  <si>
    <t>LL3.8-6 chondrite meteorite</t>
  </si>
  <si>
    <t>An LL chondrite that is a breccia of petrological types 3.8 to 6.</t>
  </si>
  <si>
    <t>LL3.8-6</t>
  </si>
  <si>
    <t>1:1:49788:6</t>
  </si>
  <si>
    <t>3cdc8d54-66b8-42c0-8586-dd463e38f887</t>
  </si>
  <si>
    <t>LL4-6 chondrite meteorite</t>
  </si>
  <si>
    <t>An LL chondrite that is a breccia of petrological types 4 to 6.</t>
  </si>
  <si>
    <t>LL4-6</t>
  </si>
  <si>
    <t>1:1:49789:5</t>
  </si>
  <si>
    <t>646781d2-26e7-4a49-b00c-69983825fe28</t>
  </si>
  <si>
    <t>LL4-7 chondrite meteorite</t>
  </si>
  <si>
    <t>An LL chondrite that is a breccia of petrological types 4 to 7.</t>
  </si>
  <si>
    <t>LL4-7</t>
  </si>
  <si>
    <t>1:1:49790:1</t>
  </si>
  <si>
    <t>da43724a-aa9e-44da-8761-b7ce88f3a094</t>
  </si>
  <si>
    <t>LL4/6 chondrite meteorite</t>
  </si>
  <si>
    <t>An LL chondrite that is either petrological type 4, 5 or 6.</t>
  </si>
  <si>
    <t>LL4/6</t>
  </si>
  <si>
    <t>1:1:49791:0</t>
  </si>
  <si>
    <t>74f74580-e2e2-4124-90be-80650e89b90a</t>
  </si>
  <si>
    <t>LL6(?) chondrite meteorite</t>
  </si>
  <si>
    <t>An ordinary chondrite that may be of petrologic type 6 and that is possibly an LL chondrite.</t>
  </si>
  <si>
    <t>LL6(?)</t>
  </si>
  <si>
    <t>1:1:49792:9</t>
  </si>
  <si>
    <t>7790cc33-ab9c-44b0-8827-b2a5cf587582</t>
  </si>
  <si>
    <t>LL7(?) chondrite meteorite</t>
  </si>
  <si>
    <t>An ordinary chondrite that may be of petrologic type 7 and that is possibly an LL chondrite.</t>
  </si>
  <si>
    <t>LL7(?)</t>
  </si>
  <si>
    <t>1:1:49793:8</t>
  </si>
  <si>
    <t>907aca43-4e8d-42d0-868c-16251de39f9b</t>
  </si>
  <si>
    <t>LL&lt;3.5 chondrite meteorite</t>
  </si>
  <si>
    <t>An LL chondrite that has a petrological type below 3.5.</t>
  </si>
  <si>
    <t>LL&lt;3.5</t>
  </si>
  <si>
    <t>1:1:49794:7</t>
  </si>
  <si>
    <t>01c9cfbb-11d6-47b3-9631-ea7e750420f4</t>
  </si>
  <si>
    <t>LL~3 chondrite meteorite</t>
  </si>
  <si>
    <t>An LL chondrite that is approximately of petrologic type 3.</t>
  </si>
  <si>
    <t>LL~3</t>
  </si>
  <si>
    <t>1:1:49795:6</t>
  </si>
  <si>
    <t>9b3a1f90-036c-4747-b2c5-7db5828a2fb8</t>
  </si>
  <si>
    <t>LL~4 chondrite meteorite</t>
  </si>
  <si>
    <t>An LL chondrite that is approximately of petrologic type 4.</t>
  </si>
  <si>
    <t>LL~4</t>
  </si>
  <si>
    <t>1:1:49796:5</t>
  </si>
  <si>
    <t>c466ef69-56e3-47cc-b43a-509ffad8ceb4</t>
  </si>
  <si>
    <t>LL~4/5 chondrite meteorite</t>
  </si>
  <si>
    <t>An LL chondrite that is approximately of petrologic type 4 or 5.</t>
  </si>
  <si>
    <t>LL~4/5</t>
  </si>
  <si>
    <t>1:1:49797:4</t>
  </si>
  <si>
    <t>3e3cb97e-a123-4774-a96a-829173b29f11</t>
  </si>
  <si>
    <t>LL~5 chondrite meteorite</t>
  </si>
  <si>
    <t>LL~5</t>
  </si>
  <si>
    <t>1:1:49798:3</t>
  </si>
  <si>
    <t>af4150c4-759e-4325-97e6-4e6a29b2bf16</t>
  </si>
  <si>
    <t>LL~6 chondrite meteorite</t>
  </si>
  <si>
    <t>An L chondrite that is approximately of petrologic type 7.</t>
  </si>
  <si>
    <t>LL~6</t>
  </si>
  <si>
    <t>1:1:49799:2</t>
  </si>
  <si>
    <t>304eb579-4ad3-4977-96ba-7946cd254f82</t>
  </si>
  <si>
    <t>LL? chondrite meteorite</t>
  </si>
  <si>
    <t>An ordinary chondrite that may an LL chondrite.</t>
  </si>
  <si>
    <t>LL?</t>
  </si>
  <si>
    <t>1:1:49802:5</t>
  </si>
  <si>
    <t>09057454-7bac-4dfe-ad1a-058d39bf4788</t>
  </si>
  <si>
    <t>Anomalous E chondrite meteorite</t>
  </si>
  <si>
    <t>An E chondrite that is anomalous and for which the petrologic type has not been determined.</t>
  </si>
  <si>
    <t>E-an</t>
  </si>
  <si>
    <t>1:1:49803:4</t>
  </si>
  <si>
    <t>0b46439f-c587-4429-b0d4-c0d4dd803789</t>
  </si>
  <si>
    <t>E-melt breccia chondrite meteorite</t>
  </si>
  <si>
    <t>An E chondrite that is a breccia with melted material forming the matrix and for which the petrologic type has not been determined.</t>
  </si>
  <si>
    <t>E-melt breccia</t>
  </si>
  <si>
    <t>1:1:49804:3</t>
  </si>
  <si>
    <t>7ae759cc-befb-443f-92d8-e0bac26dc78c</t>
  </si>
  <si>
    <t>E3 chondrite meteorite</t>
  </si>
  <si>
    <t>An E chondrite that is of petrologic type 3.</t>
  </si>
  <si>
    <t>E3</t>
  </si>
  <si>
    <t>1:1:49805:2</t>
  </si>
  <si>
    <t>b80bd0d7-fe50-4314-bd47-4feda5761fcb</t>
  </si>
  <si>
    <t>Anomalous E3 chondrite meteorite</t>
  </si>
  <si>
    <t>An E chondrite that is petrologic type 3 and has anomalous properties.</t>
  </si>
  <si>
    <t>E3-an</t>
  </si>
  <si>
    <t>1:1:49806:1</t>
  </si>
  <si>
    <t>387d7ef5-2747-4a96-80c6-ce7cc91cf128</t>
  </si>
  <si>
    <t>E4 chondrite meteorite</t>
  </si>
  <si>
    <t>An E chondrite that is of petrologic type 4.</t>
  </si>
  <si>
    <t>E4</t>
  </si>
  <si>
    <t>1:1:49807:0</t>
  </si>
  <si>
    <t>490e296a-320d-482a-9c3b-a1015e0ff6f8</t>
  </si>
  <si>
    <t>E5 chondrite meteorite</t>
  </si>
  <si>
    <t>An E chondrite that is of petrologic type 5.</t>
  </si>
  <si>
    <t>E5</t>
  </si>
  <si>
    <t>1:1:49808:9</t>
  </si>
  <si>
    <t>cf5eb406-5fe4-4426-b21a-a30799000a04</t>
  </si>
  <si>
    <t>Anomalous E5 chondrite meteorite</t>
  </si>
  <si>
    <t>An E chondrite that is petrologic type 5 and has anomalous properties.</t>
  </si>
  <si>
    <t>E5-an</t>
  </si>
  <si>
    <t>1:1:49809:8</t>
  </si>
  <si>
    <t>e9b2ad2e-6286-4a0f-913a-0dbea339b180</t>
  </si>
  <si>
    <t>E6 chondrite meteorite</t>
  </si>
  <si>
    <t>An E chondrite that is of petrologic type 6.</t>
  </si>
  <si>
    <t>E6</t>
  </si>
  <si>
    <t>1:1:49810:4</t>
  </si>
  <si>
    <t>5108acbf-62be-4665-9b0d-70064bc859fc</t>
  </si>
  <si>
    <t>EH chondrite meteorite</t>
  </si>
  <si>
    <t>The high-iron (EH) chemical group of enstatite chondrites, distinguished by small chondrules (0.2 mm), abundant metal (~10 vol%) that is rich in Si (~3 wt%), and an extremely reduced mineral assemblage including niningerite (MgS) and perryite (Fe-Ni si...</t>
  </si>
  <si>
    <t>EH</t>
  </si>
  <si>
    <t>1:1:49811:3</t>
  </si>
  <si>
    <t>5dad0c5f-5300-4217-b557-36d1e8b13b8b</t>
  </si>
  <si>
    <t>EH3 chondrite meteorite</t>
  </si>
  <si>
    <t>An EH chondrite that is of petrologic type 3.</t>
  </si>
  <si>
    <t>EH3</t>
  </si>
  <si>
    <t>1:1:49812:2</t>
  </si>
  <si>
    <t>996461c4-3c50-473d-830e-bbcaf25f0946</t>
  </si>
  <si>
    <t>Anomalous EH3/4 chondrite meteorite</t>
  </si>
  <si>
    <t>An EH chondrite that is transitional between petrologic types 3 and 4 and has anomalous properties.</t>
  </si>
  <si>
    <t>EH3/4-an</t>
  </si>
  <si>
    <t>1:1:49813:1</t>
  </si>
  <si>
    <t>3e436388-0466-428e-8cbb-5940f1c0c49e</t>
  </si>
  <si>
    <t>EH4 chondrite meteorite</t>
  </si>
  <si>
    <t>An EH chondrite that is of petrologic type 4.</t>
  </si>
  <si>
    <t>EH4</t>
  </si>
  <si>
    <t>1:1:49814:0</t>
  </si>
  <si>
    <t>8a8d7afb-3cc1-4f7f-ba2f-6872365badcb</t>
  </si>
  <si>
    <t>EH5 chondrite meteorite</t>
  </si>
  <si>
    <t>An EH chondrite that is of petrologic type 5.</t>
  </si>
  <si>
    <t>EH5</t>
  </si>
  <si>
    <t>1:1:49815:9</t>
  </si>
  <si>
    <t>fd0134eb-b99c-4d05-b0ed-8175bf3cb429</t>
  </si>
  <si>
    <t>EH6 chondrite meteorite</t>
  </si>
  <si>
    <t>An EH chondrite that is of petrologic type 6.</t>
  </si>
  <si>
    <t>EH6</t>
  </si>
  <si>
    <t>1:1:49816:8</t>
  </si>
  <si>
    <t>b5563dd0-653c-4d7b-96ae-890ead6d8f95</t>
  </si>
  <si>
    <t>EH6-melt breccia chondrite meteorite</t>
  </si>
  <si>
    <t>An EH6 chondrite that is a breccia with melted material forming the matrix.</t>
  </si>
  <si>
    <t>EH6-melt breccia</t>
  </si>
  <si>
    <t>1:1:49817:7</t>
  </si>
  <si>
    <t>57d4a97c-fbe7-4e1b-b97d-7d82e7fda534</t>
  </si>
  <si>
    <t>Impact melted EH chondrite meteorite</t>
  </si>
  <si>
    <t>An EH chondrite that has been impact melted.</t>
  </si>
  <si>
    <t>EH-imp melt</t>
  </si>
  <si>
    <t>1:1:49818:6</t>
  </si>
  <si>
    <t>4db0c598-5757-4489-9e3c-a93c4fc72bbe</t>
  </si>
  <si>
    <t>EH-melt rock chondrite meteorite</t>
  </si>
  <si>
    <t>An EH chondrite that has experienced secondary melting.</t>
  </si>
  <si>
    <t>EH-melt rock</t>
  </si>
  <si>
    <t>1:1:49819:5</t>
  </si>
  <si>
    <t>36c673b0-40a1-453c-b35b-979bd6ac798b</t>
  </si>
  <si>
    <t>EH7 chondrite meteorite</t>
  </si>
  <si>
    <t>An EH chondrite that is of petrologic type 7. Note that perologic type 7 is not used consistently or widely accepted in the literature.</t>
  </si>
  <si>
    <t>EH7</t>
  </si>
  <si>
    <t>1:1:49821:0</t>
  </si>
  <si>
    <t>fdbde2de-d28a-41a9-bb40-29e1eb3729b4</t>
  </si>
  <si>
    <t>EL-melt rock chondrite meteorite</t>
  </si>
  <si>
    <t>An EL chondrite that has experienced secondary melting.</t>
  </si>
  <si>
    <t>EL-melt rock</t>
  </si>
  <si>
    <t>1:1:49822:9</t>
  </si>
  <si>
    <t>a8fb40a7-c6df-4f57-9565-f4d9e7c65412</t>
  </si>
  <si>
    <t>EL3 chondrite meteorite</t>
  </si>
  <si>
    <t>An EL chondrite that is petrologic type 3.</t>
  </si>
  <si>
    <t>EL3</t>
  </si>
  <si>
    <t>1:1:49823:8</t>
  </si>
  <si>
    <t>9491800e-8b63-4306-9ff3-c1dc7f4a38c4</t>
  </si>
  <si>
    <t>EL4 chondrite meteorite</t>
  </si>
  <si>
    <t>An EL chondrite that is of petrologic type 4.</t>
  </si>
  <si>
    <t>EL4</t>
  </si>
  <si>
    <t>1:1:49824:7</t>
  </si>
  <si>
    <t>5e6d25d6-2ced-4f9a-9f37-b729e8fe0353</t>
  </si>
  <si>
    <t>EL5 chondrite meteorite</t>
  </si>
  <si>
    <t>An EL chondrite that is of petrologic type 5.</t>
  </si>
  <si>
    <t>EL5</t>
  </si>
  <si>
    <t>1:1:49825:6</t>
  </si>
  <si>
    <t>363931e2-5c20-445a-8b9f-c3841f9c0c06</t>
  </si>
  <si>
    <t>EL5-melt breccia chondrite meteorite</t>
  </si>
  <si>
    <t>An EL5 chondrite that is a breccia with melted material forming the matrix.</t>
  </si>
  <si>
    <t>EL5-melt breccia</t>
  </si>
  <si>
    <t>1:1:49826:5</t>
  </si>
  <si>
    <t>4bc5babc-c7b3-4493-8636-fd6353cc12e9</t>
  </si>
  <si>
    <t>EL6 chondrite meteorite</t>
  </si>
  <si>
    <t>An EL chondrite that is of petrologic type 6.</t>
  </si>
  <si>
    <t>EL6</t>
  </si>
  <si>
    <t>1:1:49827:4</t>
  </si>
  <si>
    <t>d2d28760-fb22-4975-bf5b-961acd1465b8</t>
  </si>
  <si>
    <t>EL6/7 chondrite meteorite</t>
  </si>
  <si>
    <t>An EL chondrite that is transitional between petrologic types 6 and 7. Note that perologic type 7 is not used consistently or widely accepted in the literature.</t>
  </si>
  <si>
    <t>EL6/7</t>
  </si>
  <si>
    <t>1:1:49828:3</t>
  </si>
  <si>
    <t>bd810682-31ba-460a-9591-fdb9ad110c63</t>
  </si>
  <si>
    <t>EL7 chondrite meteorite</t>
  </si>
  <si>
    <t>An EL chondrite that is of petrologic type 7. Note that perologic type 7 is not used consistently or widely accepted in the literature.</t>
  </si>
  <si>
    <t>EL7</t>
  </si>
  <si>
    <t>1:1:49829:2</t>
  </si>
  <si>
    <t>54f0a81c-60d3-4a22-9069-ea992a60597a</t>
  </si>
  <si>
    <t>K chondrite meteorite</t>
  </si>
  <si>
    <t>A chondrite characterised by large amounts of dusty matrix and oxygen isotope compositions similar to carbonaceous chondrites, highly reduced mineral compositions and high metal abundances (6% to 10% by volume) that are most like enstatite chondrites, ...</t>
  </si>
  <si>
    <t>K</t>
  </si>
  <si>
    <t>1:1:49831:7</t>
  </si>
  <si>
    <t>9ce88674-912c-4688-ac58-23655b2ee316</t>
  </si>
  <si>
    <t>K3 chondrite meteorite</t>
  </si>
  <si>
    <t>A K chondrite that is petrologic type 3.</t>
  </si>
  <si>
    <t>K3</t>
  </si>
  <si>
    <t>1:1:49832:6</t>
  </si>
  <si>
    <t>80070857-c71c-4cad-88d9-3b9f07e12c83</t>
  </si>
  <si>
    <t>K4 chondrite meteorite</t>
  </si>
  <si>
    <t>A K chondrite that is petrologic type 4.</t>
  </si>
  <si>
    <t>K4</t>
  </si>
  <si>
    <t>1:1:49833:5</t>
  </si>
  <si>
    <t>1c902a1b-cb30-4b1d-b0b6-0537a4bba626</t>
  </si>
  <si>
    <t>R chondrite meteorite</t>
  </si>
  <si>
    <t>A chondrite, different from ordinary chondrite in having a more dusty matrix (about 50% of the rock), more oxidized, containing little metallic Fe-Ni and with a higher #17#O ratio. Most of the metal is in the form of sulfides. They appear to come from ...</t>
  </si>
  <si>
    <t>R</t>
  </si>
  <si>
    <t>1:1:49835:3</t>
  </si>
  <si>
    <t>293ffde0-c1c8-419b-8b2c-7fd2969fb410</t>
  </si>
  <si>
    <t>R3 chondrite meteorite</t>
  </si>
  <si>
    <t>An R chondrite that is petrologic type 3.</t>
  </si>
  <si>
    <t>R3</t>
  </si>
  <si>
    <t>1:1:49836:2</t>
  </si>
  <si>
    <t>a5086af1-8303-4517-a1d0-43da75cd7532</t>
  </si>
  <si>
    <t>R4 chondrite meteorite</t>
  </si>
  <si>
    <t>An R chondrite that is petrologic type 4.</t>
  </si>
  <si>
    <t>R4</t>
  </si>
  <si>
    <t>1:1:49837:1</t>
  </si>
  <si>
    <t>aedf0e32-94ff-4052-86a5-f668918183a3</t>
  </si>
  <si>
    <t>R5 chondrite meteorite</t>
  </si>
  <si>
    <t>An R chondrite that is petrologic type 5.</t>
  </si>
  <si>
    <t>R5</t>
  </si>
  <si>
    <t>1:1:49838:0</t>
  </si>
  <si>
    <t>1b07935a-fe4a-4727-83c9-2e032e012bdc</t>
  </si>
  <si>
    <t>R6 chondrite meteorite</t>
  </si>
  <si>
    <t>An R chondrite that is petrologic type 6.</t>
  </si>
  <si>
    <t>R6</t>
  </si>
  <si>
    <t>1:1:49847:8</t>
  </si>
  <si>
    <t>655bcaa0-1cb7-4c6c-a3d2-ee459ff2e974</t>
  </si>
  <si>
    <t>Primitive achondrite meteorite</t>
  </si>
  <si>
    <t>A meteorite that has lost its chondritic texture due to heating and partial melting, but still has nearly chondritic composition.</t>
  </si>
  <si>
    <t>Achondrite-prim</t>
  </si>
  <si>
    <t>1:1:49848:7</t>
  </si>
  <si>
    <t>d1b752a7-b1d7-4f74-80c3-fe0851448cca</t>
  </si>
  <si>
    <t>Acapulcoite meteorite</t>
  </si>
  <si>
    <t>Acapulcoites, named after the Acapulco, Mexico, fall of 1913, and lodranites, named after the Lodran, Pakistan, fall of 1868, are closely related, equigranular meteorites; acapulcoites are finer grained than lodranites and contain rare, relict chondrul...</t>
  </si>
  <si>
    <t>Acapulcoite</t>
  </si>
  <si>
    <t>1:1:49849:6</t>
  </si>
  <si>
    <t>f6346c2c-1459-4488-bb29-f7637f579ad2</t>
  </si>
  <si>
    <t>Acapulcoite-lodranite meteorite</t>
  </si>
  <si>
    <t>A transitional type between acapulcoite and lodranite.</t>
  </si>
  <si>
    <t>Acapulcoite/lodranite</t>
  </si>
  <si>
    <t>1:1:49850:2</t>
  </si>
  <si>
    <t>6d7e81e7-a557-47b8-b528-23f2e87f5f10</t>
  </si>
  <si>
    <t>Brachinite meteorite</t>
  </si>
  <si>
    <t>Primitive achondrite meteorites almost entirely made from olivine; the parent body might be the Nenetta Asteroid (289 Nenetta)._x000D_
_x000D_
Named after Brachina, a meteorite found in Australia in 1974.</t>
  </si>
  <si>
    <t>Brachinite</t>
  </si>
  <si>
    <t>1:1:49851:1</t>
  </si>
  <si>
    <t>6a28a7e2-cf35-41e3-88a0-d7c0778da703</t>
  </si>
  <si>
    <t>IAB complex iron meteorite</t>
  </si>
  <si>
    <t>Composed of meteoritic iron and silicate inclusions.</t>
  </si>
  <si>
    <t>Iron, IAB complex</t>
  </si>
  <si>
    <t>1:1:49852:0</t>
  </si>
  <si>
    <t>9b7eb712-5927-426d-9d7a-79cc4174196e</t>
  </si>
  <si>
    <t>IAB-MG iron meteorite</t>
  </si>
  <si>
    <t>An IAB complex iron meteorite belonging to the main group (MG).</t>
  </si>
  <si>
    <t>Iron, IAB-MG</t>
  </si>
  <si>
    <t>1:1:49853:9</t>
  </si>
  <si>
    <t>8a0d1e5e-4076-4b46-9ccf-ad726a45fc83</t>
  </si>
  <si>
    <t>IAB-sLL iron meteorite</t>
  </si>
  <si>
    <t>An iron meteorite belonging to the low-Au, low-Ni subgroup (sLL) of the IAB complex.</t>
  </si>
  <si>
    <t>Iron, IAB-sLL</t>
  </si>
  <si>
    <t>1:1:49854:8</t>
  </si>
  <si>
    <t>0f8dbd86-4f55-42b3-8924-9b7097259ee8</t>
  </si>
  <si>
    <t>IAB-sLM iron meteorite</t>
  </si>
  <si>
    <t>An iron meteorite belonging to the low-Au, medium-Ni subgroup (sLM) of the IAB complex.</t>
  </si>
  <si>
    <t>Iron, IAB-sLM</t>
  </si>
  <si>
    <t>1:1:49856:6</t>
  </si>
  <si>
    <t>755b66cc-e021-4283-b826-74cfa437e176</t>
  </si>
  <si>
    <t>Anomalous IAB-sLM iron meteorite</t>
  </si>
  <si>
    <t>An IAB-sLM iron meteorite that has anomalous properties.</t>
  </si>
  <si>
    <t>Iron, IAB-sLM-an</t>
  </si>
  <si>
    <t>1:1:49857:5</t>
  </si>
  <si>
    <t>670238da-2411-40fe-bedd-2862f0fdcaf6</t>
  </si>
  <si>
    <t>IAB-sLH iron meteorite</t>
  </si>
  <si>
    <t>An iron meteorite belonging to the low-Au, high-Ni subgroup (sLH) of the IAB complex.</t>
  </si>
  <si>
    <t>Iron, IAB-sLH</t>
  </si>
  <si>
    <t>1:1:49859:3</t>
  </si>
  <si>
    <t>84eff70a-e3b1-43c7-822f-c8bdd504a259</t>
  </si>
  <si>
    <t>IAB-sHL iron meteorite</t>
  </si>
  <si>
    <t>An iron meteorite belonging to the high-Au, low-Ni subgroup (sHL) of the IAB complex.</t>
  </si>
  <si>
    <t>Iron, IAB-sHL</t>
  </si>
  <si>
    <t>1:1:49860:9</t>
  </si>
  <si>
    <t>43a06f7e-8c9e-4f7e-92ff-92bd11e00646</t>
  </si>
  <si>
    <t>Anomalous IAB-sHL iron meteorite</t>
  </si>
  <si>
    <t>An IAB-sHL iron meteorite that has anomalous properties.</t>
  </si>
  <si>
    <t>Iron, IAB-sHL-an</t>
  </si>
  <si>
    <t>1:1:49861:8</t>
  </si>
  <si>
    <t>9590118b-a3a6-4d50-9996-91c4430f3ddb</t>
  </si>
  <si>
    <t>IAB-sHH iron meteorite</t>
  </si>
  <si>
    <t>An iron meteorite belonging to the high-Au, high-Ni subgroup (sHH) of the IAB complex.</t>
  </si>
  <si>
    <t>Iron, IAB-sHH</t>
  </si>
  <si>
    <t>1:1:49862:7</t>
  </si>
  <si>
    <t>e1ddf11a-2d0b-466d-98d6-d7ba980c8ca0</t>
  </si>
  <si>
    <t>Ungrouped IAB iron meteorite</t>
  </si>
  <si>
    <t>An iron meteorite belonging to the IAB complex that does not fit into the known subgroups.</t>
  </si>
  <si>
    <t>Iron, IAB-ung</t>
  </si>
  <si>
    <t>1:1:49863:6</t>
  </si>
  <si>
    <t>373edc9f-6e69-42f0-8778-91005e37cef1</t>
  </si>
  <si>
    <t>Anomalous IAB iron meteorite</t>
  </si>
  <si>
    <t>An IAB complex iron meteorite that has anomalous properties.</t>
  </si>
  <si>
    <t>Iron, IAB-an</t>
  </si>
  <si>
    <t>1:1:49865:4</t>
  </si>
  <si>
    <t>94cfa9b3-cfbd-4cfa-821d-0127e95b617f</t>
  </si>
  <si>
    <t>Lodranite-an meteorite</t>
  </si>
  <si>
    <t>An lodranite that has anomalous properties.</t>
  </si>
  <si>
    <t>Lodranite-an</t>
  </si>
  <si>
    <t>1:1:49866:3</t>
  </si>
  <si>
    <t>0d4ae1a8-b703-49f4-bf4c-45aabe185cb4</t>
  </si>
  <si>
    <t>Ureilite meteorite</t>
  </si>
  <si>
    <t>Ureilites, named after the Novo-Urei, Russia, fall of 1886, are ultramafic achondrites that contain interstitial carbon as graphite or diamond.  The majority consist of olivine + uninverted pigeonite.  In a few, the pyroxene is augite and/or orthopyrox...</t>
  </si>
  <si>
    <t>Ureilite</t>
  </si>
  <si>
    <t>1:1:49867:2</t>
  </si>
  <si>
    <t>1006c6b4-b228-4101-bccc-4c881ada20ad</t>
  </si>
  <si>
    <t>Anomalous ureilite meteorite</t>
  </si>
  <si>
    <t>An achondrite belonging to the ureilite group with anomalous properties.</t>
  </si>
  <si>
    <t>Ureilite-an</t>
  </si>
  <si>
    <t>1:1:49868:1</t>
  </si>
  <si>
    <t>d3def1d9-2d4a-44d6-a73b-336a4a76a1e8</t>
  </si>
  <si>
    <t>Polymict ureilite meteorite</t>
  </si>
  <si>
    <t>Ureilite-pmict</t>
  </si>
  <si>
    <t>1:1:49869:0</t>
  </si>
  <si>
    <t>16ec1ec5-5f1e-4b12-af52-d0f22d924dee</t>
  </si>
  <si>
    <t>Winonaite meteorite</t>
  </si>
  <si>
    <t>Winonaites, named after the Winona, Arizona, find of 1928, are equigranular rocks, some of which may contain relict chondrules, that have mineralogy and composition that are similar to chondrites.The mineral assemblage is more reduced than that of H ch...</t>
  </si>
  <si>
    <t>Winonaite</t>
  </si>
  <si>
    <t>1:1:49872:4</t>
  </si>
  <si>
    <t>6d312631-87d1-4c15-a4eb-0a50ad985bd7</t>
  </si>
  <si>
    <t>Angrite meteorite</t>
  </si>
  <si>
    <t>Angrites, named after the Angra dos Reis, Brazil, fall of 1869, are a relatively rare type of basaltic achondrite with low alkali contents, high Ca/Al ratios, and a distinctive mineral assemblage, generally including Al-Ca-Ti-rich pyroxene, Ca-rich pla...</t>
  </si>
  <si>
    <t>Angrite</t>
  </si>
  <si>
    <t>1:1:49873:3</t>
  </si>
  <si>
    <t>222eecfb-3b33-44fe-b185-5e0dde0aa465</t>
  </si>
  <si>
    <t>Aubrite meteorite</t>
  </si>
  <si>
    <t>Aubrites, named after the Aubres, France, fall of 1836, are enstatite achondrites. Most are breccias (Shallowater being a notable exception) containing igneous and impact-melted clasts.  Like enstatite chondrites, aubrites have highly reduced mineralog...</t>
  </si>
  <si>
    <t>Aubrite</t>
  </si>
  <si>
    <t>1:1:49876:0</t>
  </si>
  <si>
    <t>099d9c57-b065-4a60-b36b-bfb68da17a0a</t>
  </si>
  <si>
    <t>Ungrouped enstatite-rich achondrite meteorite</t>
  </si>
  <si>
    <t>An enstatite-rich achondrite that is ungrouped.</t>
  </si>
  <si>
    <t>Enst achon-ung</t>
  </si>
  <si>
    <t>1:1:49878:8</t>
  </si>
  <si>
    <t>cb59f2f6-5e40-4466-8caf-e7e63ade0a3f</t>
  </si>
  <si>
    <t>Howardite meteorite</t>
  </si>
  <si>
    <t>Howardites are an abundant group of polymict-breccia achondrites that appear to represent mixtures of eucrites and diogenites (these three linked groups are collectively known as HED meteorites and may come from asteroid 4 Vesta). The main minerals in ...</t>
  </si>
  <si>
    <t>Howardite</t>
  </si>
  <si>
    <t>1:1:49879:7</t>
  </si>
  <si>
    <t>433c4f3d-bc8b-4425-8575-04d7b049770b</t>
  </si>
  <si>
    <t>Anomalous howardite meteorite</t>
  </si>
  <si>
    <t>An howardite that has anomalous properties.</t>
  </si>
  <si>
    <t>Howardite-an</t>
  </si>
  <si>
    <t>1:1:49880:3</t>
  </si>
  <si>
    <t>ebf11e97-ae68-4cda-88b2-5ddafb80c623</t>
  </si>
  <si>
    <t>Eucrite meteorite</t>
  </si>
  <si>
    <t>Eucrites are the most abundant type of basaltic achondrite, linked by geochemical traits such as oxygen isotopic ratios and certain elemental ratios, of which Fe/Mn is the most widely cited. The main minerals in eucrites are Fe-rich pyroxene and Na-poo...</t>
  </si>
  <si>
    <t>Eucrite</t>
  </si>
  <si>
    <t>1:1:49881:2</t>
  </si>
  <si>
    <t>833c506a-cd2c-4a00-8072-24ea90c11fcb</t>
  </si>
  <si>
    <t>Anomalous eucrite meteorite</t>
  </si>
  <si>
    <t>An anomalous Eucrite.</t>
  </si>
  <si>
    <t>Eucrite-an</t>
  </si>
  <si>
    <t>1:1:49882:1</t>
  </si>
  <si>
    <t>e839c1a5-e642-4576-bc32-78183478f8b5</t>
  </si>
  <si>
    <t>Eucrite breccia meteorite</t>
  </si>
  <si>
    <t>An achondrite from the eucrite group; the meteorite is brecciated.</t>
  </si>
  <si>
    <t>Eucrite-br</t>
  </si>
  <si>
    <t>1:1:49883:0</t>
  </si>
  <si>
    <t>ca4d467c-487f-49c2-bfe4-d65ea710ebc5</t>
  </si>
  <si>
    <t>Eucrite cumulate meteorite</t>
  </si>
  <si>
    <t>An achondrite from the eucrite group; the meteorite is a cumulate eucrite.</t>
  </si>
  <si>
    <t>Eucrite-cm</t>
  </si>
  <si>
    <t>1:1:49884:9</t>
  </si>
  <si>
    <t>bcb17e2e-d658-464c-a573-e0e3ab482595</t>
  </si>
  <si>
    <t>Eucrite melt breccia meteorite</t>
  </si>
  <si>
    <t>An eucrite that is a breccia with melted material forming the matrix and for which the petrologic type has not been determined.</t>
  </si>
  <si>
    <t>Eucrite-melt breccia</t>
  </si>
  <si>
    <t>1:1:49885:8</t>
  </si>
  <si>
    <t>5e2793d3-52f9-453e-be4a-e04ed5d417cc</t>
  </si>
  <si>
    <t>Mg-rich eucrite meteorite</t>
  </si>
  <si>
    <t>An achondrite from the eucrite group; the meteorite is magneisum-rich.</t>
  </si>
  <si>
    <t>Eucrite-Mg rich</t>
  </si>
  <si>
    <t>1:1:49886:7</t>
  </si>
  <si>
    <t>ded51dfb-adc1-4691-9452-97148335dedf</t>
  </si>
  <si>
    <t>Eucrite monomict breccia meteorite</t>
  </si>
  <si>
    <t>An achondrite from the eucrite group; the meteorite is a monomict breccia.</t>
  </si>
  <si>
    <t>Eucrite-mmict</t>
  </si>
  <si>
    <t>1:1:49887:6</t>
  </si>
  <si>
    <t>a0bf87a0-3abf-41ae-a8f6-ec2ff80ea64d</t>
  </si>
  <si>
    <t>Eucrite polymict breccia meteorite</t>
  </si>
  <si>
    <t>An achondrite from the eucrite group; the meteorite is a polymict breccia.</t>
  </si>
  <si>
    <t>Eucrite-pmict</t>
  </si>
  <si>
    <t>1:1:49888:5</t>
  </si>
  <si>
    <t>a4daa482-11aa-43cf-b3b4-23b0fcbd032e</t>
  </si>
  <si>
    <t>Unbrecciated eucrite meteorite</t>
  </si>
  <si>
    <t>An achondrite from the eucrite group; the meteorite is unbrecciated.</t>
  </si>
  <si>
    <t>Eucrite-unbr</t>
  </si>
  <si>
    <t>1:1:49889:4</t>
  </si>
  <si>
    <t>67fcf4fb-a0a7-4cd5-b1fb-e30559327954</t>
  </si>
  <si>
    <t>Diogenite meteorite</t>
  </si>
  <si>
    <t>Diogenites are an abundant type of achondrite, linked by geochemical traits such as oxygen isotopic ratios and certain elemental ratios, of which Fe/Mn is the most widely cited. The dominant mineral in diogenites is orthopyroxene. The diogenites are st...</t>
  </si>
  <si>
    <t>Diogenite</t>
  </si>
  <si>
    <t>1:1:49890:0</t>
  </si>
  <si>
    <t>68b66aa1-d51b-4971-96fc-94ce11bc35a8</t>
  </si>
  <si>
    <t>Polymict breccia diogenite meteorite</t>
  </si>
  <si>
    <t>A diogenite which is a polymict breccia.</t>
  </si>
  <si>
    <t>Diogenite-pm</t>
  </si>
  <si>
    <t>1:1:49891:9</t>
  </si>
  <si>
    <t>ef586af1-7c67-4a45-b084-fd810178f1ef</t>
  </si>
  <si>
    <t>Anomalous diogenite meteorite</t>
  </si>
  <si>
    <t>A diogenite which has anomalous properties.</t>
  </si>
  <si>
    <t>Diogenite-an</t>
  </si>
  <si>
    <t>1:1:49896:4</t>
  </si>
  <si>
    <t>9615b07a-3fa7-42a6-9b02-9afcd952b926</t>
  </si>
  <si>
    <t>Dunitic diogenite meteorite</t>
  </si>
  <si>
    <t>A diogenite composed of â‰¥90 vol% olivine</t>
  </si>
  <si>
    <t>Diogenite-olivine</t>
  </si>
  <si>
    <t>1:1:49898:2</t>
  </si>
  <si>
    <t>b0de4b52-a7de-4513-abfd-b2d01cbae916</t>
  </si>
  <si>
    <t>Pallasite meteorite</t>
  </si>
  <si>
    <t>A stony-iron meteorite composed essentially of large single glassy crystals of olivine (forsterite) embedded in a network of nickel-iron, with accessory troilite, chromite, phosphide, various phosphate minerals, and sometimes pyroxene. Pallasites are b...</t>
  </si>
  <si>
    <t>Pallasite</t>
  </si>
  <si>
    <t>1:1:49899:1</t>
  </si>
  <si>
    <t>40f41c7d-0ab9-4a01-89d8-e8f004aed9a8</t>
  </si>
  <si>
    <t>PMG pallasite meteorite</t>
  </si>
  <si>
    <t>A pallasite belonging to the main chemical group. Metal compositions in all PMG are closely related to those in evolved IIIAB irons, and are generally consistent with their formation in the IIIAB parent asteroid. The O-isotope composition of their oliv...</t>
  </si>
  <si>
    <t>Pallasite, PMG</t>
  </si>
  <si>
    <t>1:1:49901:5</t>
  </si>
  <si>
    <t>478223e5-b3b2-4885-8c61-93eec6afc4e3</t>
  </si>
  <si>
    <t>Anomalous PMG pallasite meteorite</t>
  </si>
  <si>
    <t>A PMG pallasite with anomalous properties (deviant metal composition or appreciably higher olivine Fa content).</t>
  </si>
  <si>
    <t>Pallasite, PMG-an</t>
  </si>
  <si>
    <t>1:1:49902:4</t>
  </si>
  <si>
    <t>14486dfe-4a57-402f-a2f1-e48fc020446e</t>
  </si>
  <si>
    <t>PES pallasite meteorite</t>
  </si>
  <si>
    <t>A grouplet named for a pallasite that was found near Eagle Station, Kentucky, in 1880. They all contain highly fragmented olivines, intermixed with small, irregular olivine splinters, in a nickel-iron matrix. Although their mineral assemblage is simila...</t>
  </si>
  <si>
    <t>Pallasite, PES</t>
  </si>
  <si>
    <t>1:1:49905:1</t>
  </si>
  <si>
    <t>e9e2883f-7809-45b5-b5b1-5c47d0be3b53</t>
  </si>
  <si>
    <t>Mesosiderite meteorite</t>
  </si>
  <si>
    <t>A brecciated meteorite containing subequal silicate (mostly igneous rock fragments) and metallic components.</t>
  </si>
  <si>
    <t>Mesosiderite</t>
  </si>
  <si>
    <t>1:1:49906:0</t>
  </si>
  <si>
    <t>2cdcd01a-b928-4aed-a11f-f7a3054145ec</t>
  </si>
  <si>
    <t>Mesosiderite-A meteorite</t>
  </si>
  <si>
    <t>A mesosiderite of petrologic class A.</t>
  </si>
  <si>
    <t>Mesosiderite-A</t>
  </si>
  <si>
    <t>1:1:49907:9</t>
  </si>
  <si>
    <t>ce72a259-7ef5-4ebe-96e3-9bef5c1adee4</t>
  </si>
  <si>
    <t>Mesosiderite-A1 meteorite</t>
  </si>
  <si>
    <t>A mesosiderite of petrologic class A and metamorphic grade 1.</t>
  </si>
  <si>
    <t>Mesosiderite-A1</t>
  </si>
  <si>
    <t>1:1:49908:8</t>
  </si>
  <si>
    <t>5c1e8d0c-c232-43e3-9b53-f7025c193245</t>
  </si>
  <si>
    <t>Mesosiderite-A2 meteorite</t>
  </si>
  <si>
    <t>A mesosiderite of petrologic class A and metamorphic grade 2.</t>
  </si>
  <si>
    <t>Mesosiderite-A2</t>
  </si>
  <si>
    <t>1:1:49909:7</t>
  </si>
  <si>
    <t>b5931cfb-5ac1-426e-a114-c92215530dae</t>
  </si>
  <si>
    <t>Mesosiderite-A3 meteorite</t>
  </si>
  <si>
    <t>A mesosiderite of petrologic class A and metamorphic grade 3.</t>
  </si>
  <si>
    <t>Mesosiderite-A3</t>
  </si>
  <si>
    <t>1:1:49910:3</t>
  </si>
  <si>
    <t>6b221571-0930-48db-a2b1-eef2d8698562</t>
  </si>
  <si>
    <t>Mesosiderite-A4 meteorite</t>
  </si>
  <si>
    <t>A mesosiderite of petrologic class A and metamorphic grade 4.</t>
  </si>
  <si>
    <t>Mesosiderite-A4</t>
  </si>
  <si>
    <t>1:1:49911:2</t>
  </si>
  <si>
    <t>d024057d-96d5-463e-84c6-f6a9d7076154</t>
  </si>
  <si>
    <t>Anomalous mesosiderite meteorite</t>
  </si>
  <si>
    <t>A mesosiderite with anomalous properties.</t>
  </si>
  <si>
    <t>Mesosiderite-an</t>
  </si>
  <si>
    <t>1:1:49912:1</t>
  </si>
  <si>
    <t>a1d5370d-f10f-440b-a382-b5f8d3547ef6</t>
  </si>
  <si>
    <t>Mesosiderite-B meteorite</t>
  </si>
  <si>
    <t>A mesosiderite of petrologic class B.</t>
  </si>
  <si>
    <t>Mesosiderite-B</t>
  </si>
  <si>
    <t>1:1:49913:0</t>
  </si>
  <si>
    <t>63882ec4-13c2-4ce6-8928-eec412727cc2</t>
  </si>
  <si>
    <t>Mesosiderite-B1 meteorite</t>
  </si>
  <si>
    <t>A mesosiderite of petrologic class B and metamorphic grade 1.</t>
  </si>
  <si>
    <t>Mesosiderite-B1</t>
  </si>
  <si>
    <t>1:1:49914:9</t>
  </si>
  <si>
    <t>3882da26-1afe-433b-8a85-136664511bce</t>
  </si>
  <si>
    <t>Mesosiderite-B2 meteorite</t>
  </si>
  <si>
    <t>A mesosiderite of petrologic class B and metamorphic grade 2.</t>
  </si>
  <si>
    <t>Mesosiderite-B2</t>
  </si>
  <si>
    <t>1:1:49915:8</t>
  </si>
  <si>
    <t>5b791908-d051-498f-8d4b-66200e3a3ada</t>
  </si>
  <si>
    <t>Mesosiderite-B3 meteorite</t>
  </si>
  <si>
    <t>A mesosiderite of petrologic class B and metamorphic grade 3.</t>
  </si>
  <si>
    <t>Mesosiderite-B3</t>
  </si>
  <si>
    <t>1:1:49916:7</t>
  </si>
  <si>
    <t>96bb9375-746c-48aa-8ebc-0a2630fddad8</t>
  </si>
  <si>
    <t>Mesosiderite-B4 meteorite</t>
  </si>
  <si>
    <t>A mesosiderite of petrologic class B and metamorphic grade 4.</t>
  </si>
  <si>
    <t>Mesosiderite-B4</t>
  </si>
  <si>
    <t>1:1:49917:6</t>
  </si>
  <si>
    <t>6f50b8d4-b4f0-4965-8c9a-0c9703499d21</t>
  </si>
  <si>
    <t>Mesosiderite-C meteorite</t>
  </si>
  <si>
    <t>A mesosiderite of petrologic class C.</t>
  </si>
  <si>
    <t>Mesosiderite-C</t>
  </si>
  <si>
    <t>1:1:49918:5</t>
  </si>
  <si>
    <t>5f6c1961-5756-4ced-8c57-83e8af52e973</t>
  </si>
  <si>
    <t>Mesosiderite-C2 meteorite</t>
  </si>
  <si>
    <t>A mesosiderite of petrologic class C and metamorphic grade 2.</t>
  </si>
  <si>
    <t>Mesosiderite-C2</t>
  </si>
  <si>
    <t>1:1:49920:0</t>
  </si>
  <si>
    <t>a78bf539-3d90-4712-9c3d-8f9024a8c017</t>
  </si>
  <si>
    <t>IC iron meteorite</t>
  </si>
  <si>
    <t>An iron group meteorite of chemical group IC.</t>
  </si>
  <si>
    <t>Iron, IC</t>
  </si>
  <si>
    <t>1:1:49921:9</t>
  </si>
  <si>
    <t>540c9c36-9fd6-4f73-95df-f72ed6075c50</t>
  </si>
  <si>
    <t>Anomalous IC iron meteorite</t>
  </si>
  <si>
    <t>An IC iron meteorite with anomalous properties.</t>
  </si>
  <si>
    <t>Iron, IC-an</t>
  </si>
  <si>
    <t>1:1:49922:8</t>
  </si>
  <si>
    <t>1f20f4c4-2264-4016-9c85-a85c953ff439</t>
  </si>
  <si>
    <t>IIAB iron meteorite</t>
  </si>
  <si>
    <t>An iron group meteorite of chemical group IIAB.</t>
  </si>
  <si>
    <t>Iron, IIAB</t>
  </si>
  <si>
    <t>1:1:49923:7</t>
  </si>
  <si>
    <t>629ebd15-3754-47b8-8f09-4134607b0951</t>
  </si>
  <si>
    <t>Anomalous IIAB iron meteorite</t>
  </si>
  <si>
    <t>An IIAB iron meteorite with anomalous properties.</t>
  </si>
  <si>
    <t>Iron, IIAB-an</t>
  </si>
  <si>
    <t>1:1:49924:6</t>
  </si>
  <si>
    <t>3fb9d5e2-b364-4299-aa1c-624733779014</t>
  </si>
  <si>
    <t>IIC iron meteorite</t>
  </si>
  <si>
    <t>An iron group meteorite of chemical group IIC.</t>
  </si>
  <si>
    <t>Iron, IIC</t>
  </si>
  <si>
    <t>1:1:49925:5</t>
  </si>
  <si>
    <t>7534d660-3f26-40b8-9b3f-ccb8e3de2d85</t>
  </si>
  <si>
    <t>IID iron meteorite</t>
  </si>
  <si>
    <t>An iron group meteorite of chemical group IID.</t>
  </si>
  <si>
    <t>Iron, IID</t>
  </si>
  <si>
    <t>1:1:49926:4</t>
  </si>
  <si>
    <t>7cadd355-7a3e-4cd3-ac07-ba6202fbd701</t>
  </si>
  <si>
    <t>Anomalous IID iron meteorite</t>
  </si>
  <si>
    <t>An IID iron meteorite with anomalous properties.</t>
  </si>
  <si>
    <t>Iron, IID-an</t>
  </si>
  <si>
    <t>1:1:49927:3</t>
  </si>
  <si>
    <t>f77b36e2-da95-4f28-a8e4-52846e25b019</t>
  </si>
  <si>
    <t>IIE iron meteorite</t>
  </si>
  <si>
    <t>An iron group meteorite of chemical group IIE.</t>
  </si>
  <si>
    <t>Iron, IIE</t>
  </si>
  <si>
    <t>1:1:49928:2</t>
  </si>
  <si>
    <t>46878fe3-9ef3-4cd1-bc81-e30b6bc58500</t>
  </si>
  <si>
    <t>Anomalous IIE iron meteorite</t>
  </si>
  <si>
    <t>An IIE iron meteorite with anomalous properties.</t>
  </si>
  <si>
    <t>Iron, IIE-an</t>
  </si>
  <si>
    <t>1:1:49929:1</t>
  </si>
  <si>
    <t>36970600-fadf-445f-8451-df43628f5843</t>
  </si>
  <si>
    <t>IIF iron meteorite</t>
  </si>
  <si>
    <t>An iron group meteorite of chemical group IIF.</t>
  </si>
  <si>
    <t>Iron, IIF</t>
  </si>
  <si>
    <t>1:1:49930:7</t>
  </si>
  <si>
    <t>dfe3f97c-13fa-4604-af14-3a2298f39cc5</t>
  </si>
  <si>
    <t>IIIAB iron meteorite</t>
  </si>
  <si>
    <t>An iron group meteorite of chemical group IIIAB.</t>
  </si>
  <si>
    <t>Iron, IIIAB</t>
  </si>
  <si>
    <t>1:1:49931:6</t>
  </si>
  <si>
    <t>c2267948-1277-4801-ac1d-7e6c29d50010</t>
  </si>
  <si>
    <t>Anomalous IIIAB iron meteorite</t>
  </si>
  <si>
    <t>An IIIAB iron meteorite with anomalous properties.</t>
  </si>
  <si>
    <t>Iron, IIIAB-an</t>
  </si>
  <si>
    <t>1:1:49932:5</t>
  </si>
  <si>
    <t>2ec69de7-e3c0-4962-a4e2-02a593599f3c</t>
  </si>
  <si>
    <t>IIIE iron meteorite</t>
  </si>
  <si>
    <t>An iron group meteorite of chemical group IIIE.</t>
  </si>
  <si>
    <t>Iron, IIIE</t>
  </si>
  <si>
    <t>1:1:49933:4</t>
  </si>
  <si>
    <t>5ca9578f-f5e7-4dff-9696-38996f4c179c</t>
  </si>
  <si>
    <t>Anomalous IIIE iron meteorite</t>
  </si>
  <si>
    <t>An IIIE iron meteorite with anomalous properties.</t>
  </si>
  <si>
    <t>Iron, IIIE-an</t>
  </si>
  <si>
    <t>1:1:49934:3</t>
  </si>
  <si>
    <t>952e7d7a-1bfd-44dd-8802-1deb34d76af8</t>
  </si>
  <si>
    <t>IIIF iron meteorite</t>
  </si>
  <si>
    <t>An iron group meteorite of chemical group IIIF.</t>
  </si>
  <si>
    <t>Iron, IIIF</t>
  </si>
  <si>
    <t>1:1:49935:2</t>
  </si>
  <si>
    <t>b97ddf32-93b2-4dfa-b664-5ae84f0aae23</t>
  </si>
  <si>
    <t>IVA iron meteorite</t>
  </si>
  <si>
    <t>An iron group meteorite of chemical group IVA.</t>
  </si>
  <si>
    <t>Iron, IVA</t>
  </si>
  <si>
    <t>1:1:49936:1</t>
  </si>
  <si>
    <t>cce2b356-52be-4bdb-a4a5-642d0889d53b</t>
  </si>
  <si>
    <t>Anomalous IVA iron meteorite</t>
  </si>
  <si>
    <t>An IVA iron meteorite with anomalous properties.</t>
  </si>
  <si>
    <t>Iron, IVA-an</t>
  </si>
  <si>
    <t>1:1:49937:0</t>
  </si>
  <si>
    <t>77a222ef-0b68-4df8-87ea-ee2971792b10</t>
  </si>
  <si>
    <t>IVB iron meteorite</t>
  </si>
  <si>
    <t>An iron group meteorite of chemical group IVB.</t>
  </si>
  <si>
    <t>Iron, IVB</t>
  </si>
  <si>
    <t>1:1:49938:9</t>
  </si>
  <si>
    <t>7b6606ff-2a54-42cc-8771-71e5f0df91db</t>
  </si>
  <si>
    <t>Martian achrondite meteorite</t>
  </si>
  <si>
    <t>A class of achronditic Martian meteorites.</t>
  </si>
  <si>
    <t>Martian</t>
  </si>
  <si>
    <t>1:1:49939:8</t>
  </si>
  <si>
    <t>3a904449-9db3-44d3-95ee-e9eebba3fa27</t>
  </si>
  <si>
    <t>Shergottite meteorite</t>
  </si>
  <si>
    <t>A class of Martian meteorites comprising basalt and gabbro formed from subalkaline magmas.</t>
  </si>
  <si>
    <t>Martian (shergottite)</t>
  </si>
  <si>
    <t>1:1:49945:9</t>
  </si>
  <si>
    <t>e6fab993-759a-4ed5-9224-14f5dd5201ff</t>
  </si>
  <si>
    <t>Nakhlite meteorite</t>
  </si>
  <si>
    <t>A clinopyroxenite composition Martian meteorite.</t>
  </si>
  <si>
    <t>Martian (nakhlite)</t>
  </si>
  <si>
    <t>1:1:49947:7</t>
  </si>
  <si>
    <t>f47c1f7b-29ba-46f9-b05e-67cf19c89202</t>
  </si>
  <si>
    <t>Chassignite meteorite</t>
  </si>
  <si>
    <t>A dunite composition Martian meteorite.</t>
  </si>
  <si>
    <t>Martian (chassignite)</t>
  </si>
  <si>
    <t>1:1:49950:1</t>
  </si>
  <si>
    <t>978e8e25-b66d-4b0d-8809-e61d97c93777</t>
  </si>
  <si>
    <t>Anorthositic Lunar meteorite</t>
  </si>
  <si>
    <t>A lunar achondrite meteorite that is primarily anorthositic.</t>
  </si>
  <si>
    <t>Lunar (anorth)</t>
  </si>
  <si>
    <t>1:1:49951:0</t>
  </si>
  <si>
    <t>6cd27a86-cee6-4ce1-8512-32de2c3322ca</t>
  </si>
  <si>
    <t>Basaltic breccia Lunar meteorite</t>
  </si>
  <si>
    <t>A lunar achondrite meteorite that is a breccia of primarily basaltic lithologies.</t>
  </si>
  <si>
    <t>Lunar (bas. breccia)</t>
  </si>
  <si>
    <t>1:1:49952:9</t>
  </si>
  <si>
    <t>062fab5b-768e-461c-9195-c15e9113ca8c</t>
  </si>
  <si>
    <t>Basaltic and anorthositic Lunar meteorite</t>
  </si>
  <si>
    <t>A lunar achondrite meteorite that has both basaltic and anorthositic lithologies.</t>
  </si>
  <si>
    <t>Lunar (bas/anor)</t>
  </si>
  <si>
    <t>1:1:49953:8</t>
  </si>
  <si>
    <t>7c4e3dfb-d331-4731-808a-489935bee85b</t>
  </si>
  <si>
    <t>Basaltic and gabbroic breccia Lunar meteorite</t>
  </si>
  <si>
    <t>A lunar achondrite meteorite that is a breccia of both basaltic and gabbroic lithologies.</t>
  </si>
  <si>
    <t>Lunar (bas/gab brec)</t>
  </si>
  <si>
    <t>1:1:49954:7</t>
  </si>
  <si>
    <t>27b42bee-6c8a-4969-987c-f0da316aaeca</t>
  </si>
  <si>
    <t>Feldspathic breccia Lunar meteorite</t>
  </si>
  <si>
    <t>A lunar achondrite meteorite that is a breccia of primarily feldspathic lithologies.</t>
  </si>
  <si>
    <t>Lunar (feldsp. breccia)</t>
  </si>
  <si>
    <t>1:1:49955:6</t>
  </si>
  <si>
    <t>03b32744-29ca-4702-9ee4-bfa43a3e13ef</t>
  </si>
  <si>
    <t>Basaltic Lunar meteorite</t>
  </si>
  <si>
    <t>A lunar achondrite meteorite that is primarily basaltic.</t>
  </si>
  <si>
    <t>Lunar (basalt)</t>
  </si>
  <si>
    <t>1:1:49956:5</t>
  </si>
  <si>
    <t>96bbd174-9ca5-49c5-846a-c5d3e4dcc004</t>
  </si>
  <si>
    <t>Gabbroic Lunar meteorite</t>
  </si>
  <si>
    <t>A lunar achondrite meteorite that is primarily gabbroic.</t>
  </si>
  <si>
    <t>Lunar (gabbro)</t>
  </si>
  <si>
    <t>1:1:49957:4</t>
  </si>
  <si>
    <t>6fb24188-8a42-4e37-a49d-1c4b3f94bcf5</t>
  </si>
  <si>
    <t>Noritic Lunar meteorite</t>
  </si>
  <si>
    <t>A lunar achondrite meteorite that is primarily noritic.</t>
  </si>
  <si>
    <t>Lunar (norite)</t>
  </si>
  <si>
    <t>1:1:49958:3</t>
  </si>
  <si>
    <t>8b762edc-3f81-49d2-909f-fbbed2799346</t>
  </si>
  <si>
    <t>Olivine-bearing gabbroic Lunar meteorite</t>
  </si>
  <si>
    <t>A lunar achondrite meteorite that is primarily an olivine-bearing gabbro.</t>
  </si>
  <si>
    <t>Lunar (olivine gabbro)</t>
  </si>
  <si>
    <t>1:1:49959:2</t>
  </si>
  <si>
    <t>0409a6f4-4820-46ea-9b68-60541d64c351</t>
  </si>
  <si>
    <t>Trocolitic anorthositic Lunar meteorite</t>
  </si>
  <si>
    <t>A lunar achondrite meteorite that is primarily made up of troctolitic anorthosite.</t>
  </si>
  <si>
    <t>Lunar (troct. anorth.)</t>
  </si>
  <si>
    <t>1:1:49960:8</t>
  </si>
  <si>
    <t>e1b31fb3-fa01-44b8-a385-8daab584a987</t>
  </si>
  <si>
    <t>Iron meteorite</t>
  </si>
  <si>
    <t>Meteorites composed primarily of meteoritic iron - this is an alternative classification category.</t>
  </si>
  <si>
    <t>Iron</t>
  </si>
  <si>
    <t>1:1:50275:3</t>
  </si>
  <si>
    <t>5517bf65-d88b-49b0-a9ed-93e17744c7c1</t>
  </si>
  <si>
    <t>Lunar achondrite meteorite</t>
  </si>
  <si>
    <t>Lunar</t>
  </si>
  <si>
    <t>1:1:50444:1</t>
  </si>
  <si>
    <t>0b72ea3f-0fcf-4b40-a744-243d37c28d9d</t>
  </si>
  <si>
    <t>CM1-2 chondrite meteorite</t>
  </si>
  <si>
    <t>A CM chondrite that is a breccia containing materials of petrologic type 1 and 2.</t>
  </si>
  <si>
    <t>CM1-2</t>
  </si>
  <si>
    <t>1:1:50445:0</t>
  </si>
  <si>
    <t>ec0d255d-cb78-4b90-afae-ee9a66caedb5</t>
  </si>
  <si>
    <t>H/L3 chondrite meteorite</t>
  </si>
  <si>
    <t>An H chondrite or L chondrite that is of petrological type 3.</t>
  </si>
  <si>
    <t>H/L3</t>
  </si>
  <si>
    <t>1:1:50446:9</t>
  </si>
  <si>
    <t>86d625ac-7bb3-4416-a875-228cbd45f055</t>
  </si>
  <si>
    <t>H3-4 chondrite meteorite</t>
  </si>
  <si>
    <t>An H chondrite that is a breccia of components ranging from petrologic type 3 to type 4.</t>
  </si>
  <si>
    <t>H3-4</t>
  </si>
  <si>
    <t>1:1:50447:8</t>
  </si>
  <si>
    <t>f27efe15-9952-4893-bcac-3342950f52aa</t>
  </si>
  <si>
    <t>H/L4-5 chondrite meteorite</t>
  </si>
  <si>
    <t>An H chondrite or L chondrite that is a breccia of petrological type 4 and 5 components.</t>
  </si>
  <si>
    <t>H/L4-5</t>
  </si>
  <si>
    <t>1:1:50448:7</t>
  </si>
  <si>
    <t>6324bd2f-5fd7-4664-b7f9-d8a8de4a59f0</t>
  </si>
  <si>
    <t>H4-5 chondrite meteorite</t>
  </si>
  <si>
    <t>An H chondrite that is a breccia of petrological type 4 and 5 components.</t>
  </si>
  <si>
    <t>H4-5</t>
  </si>
  <si>
    <t>1:1:50449:6</t>
  </si>
  <si>
    <t>eea90411-b766-4b39-b71a-c02db5e23573</t>
  </si>
  <si>
    <t>H/L6 chondrite meteorite</t>
  </si>
  <si>
    <t>An H chondrite or L chondrite that is of petrological type 6.</t>
  </si>
  <si>
    <t>H/L6</t>
  </si>
  <si>
    <t>1:1:50450:2</t>
  </si>
  <si>
    <t>9c3d523f-fbdc-4779-924f-71fcbaa2f477</t>
  </si>
  <si>
    <t>L3.4 chondrite meteorite</t>
  </si>
  <si>
    <t>An L chondrite that is petrologic type 3.4.</t>
  </si>
  <si>
    <t>L3.4</t>
  </si>
  <si>
    <t>1:1:50451:1</t>
  </si>
  <si>
    <t>6d1a011e-6dcf-41e4-99d9-be3ec8056996</t>
  </si>
  <si>
    <t>L3/4 chondrite meteorite</t>
  </si>
  <si>
    <t>An L chondrite that is petrologic type 3 to 4.</t>
  </si>
  <si>
    <t>L3/4</t>
  </si>
  <si>
    <t>1:1:50452:0</t>
  </si>
  <si>
    <t>3492fab8-1f27-4dab-b892-498394b6de9a</t>
  </si>
  <si>
    <t>L(LL)3 chondrite meteorite</t>
  </si>
  <si>
    <t>An L chondrite (or less likely, an LL chondrite) that is of petrologic type 3.</t>
  </si>
  <si>
    <t>L(LL)3</t>
  </si>
  <si>
    <t>1:1:50453:9</t>
  </si>
  <si>
    <t>78c13869-6c8a-4926-9c2f-b763ba049430</t>
  </si>
  <si>
    <t>L/LL3 chondrite meteorite</t>
  </si>
  <si>
    <t>An L chondrite or LL chondrite that is of petrological type 3.</t>
  </si>
  <si>
    <t>L/LL3</t>
  </si>
  <si>
    <t>1:1:50454:8</t>
  </si>
  <si>
    <t>f92bbba8-2f1f-4679-b94e-71513f5dff67</t>
  </si>
  <si>
    <t>L/LL3.1 chondrite meteorite</t>
  </si>
  <si>
    <t>An L chondrite or LL chondrite that is of petrological type 3.1.</t>
  </si>
  <si>
    <t>1:1:50455:7</t>
  </si>
  <si>
    <t>adb247df-be5d-4c36-bff1-611447655f33</t>
  </si>
  <si>
    <t>L/LL3.2 chondrite meteorite</t>
  </si>
  <si>
    <t>An L chondrite or LL chondrite that is of petrological type 3.2.</t>
  </si>
  <si>
    <t>L/LL3.2</t>
  </si>
  <si>
    <t>1:1:50456:6</t>
  </si>
  <si>
    <t>14e7f599-3778-429a-89cb-cf2e7a6d79ec</t>
  </si>
  <si>
    <t>L4-5 chondrite meteorite</t>
  </si>
  <si>
    <t>An L chondrite that is a breccia of petrological types 4 to 5.</t>
  </si>
  <si>
    <t>L4-5</t>
  </si>
  <si>
    <t>1:1:50457:5</t>
  </si>
  <si>
    <t>cc79b136-16dc-448f-96f5-5a6dc3be76ae</t>
  </si>
  <si>
    <t>L(LL)5 chondrite meteorite</t>
  </si>
  <si>
    <t>An L chondrite (or less likely, an LL chondrite) that is of petrologic type 5.</t>
  </si>
  <si>
    <t>L(LL)5</t>
  </si>
  <si>
    <t>1:1:50458:4</t>
  </si>
  <si>
    <t>ac663c3a-435b-4247-a72e-87171095b730</t>
  </si>
  <si>
    <t>L/LL5-6 chondrite meteorite</t>
  </si>
  <si>
    <t>An L chondrite (or less likely, an LL chondrite) that is a breccia of components ranging from petrologic type 5 to 6.</t>
  </si>
  <si>
    <t>L/LL5-6</t>
  </si>
  <si>
    <t>1:1:50459:3</t>
  </si>
  <si>
    <t>416b7682-f783-4fa1-94ab-a12ac93a992e</t>
  </si>
  <si>
    <t>L(LL)6 chondrite meteorite</t>
  </si>
  <si>
    <t>An L chondrite (or less likely, an LL chondrite) that is of petrologic type 6.</t>
  </si>
  <si>
    <t>L(LL)6</t>
  </si>
  <si>
    <t>1:1:50460:9</t>
  </si>
  <si>
    <t>f32eb394-db41-4e08-ac92-2e491d8c3884</t>
  </si>
  <si>
    <t>LL3-4 chondrite meteorite</t>
  </si>
  <si>
    <t>An LL chondrite that is a breccia of petrological types 3 to 4.</t>
  </si>
  <si>
    <t>LL3-4</t>
  </si>
  <si>
    <t>1:1:50461:8</t>
  </si>
  <si>
    <t>b3b48d10-ce16-4ddd-91f9-bda87dc8b461</t>
  </si>
  <si>
    <t>LL3.4 chondrite meteorite</t>
  </si>
  <si>
    <t>An LL chondrite that is petrologic type 3.4.</t>
  </si>
  <si>
    <t>LL3.4</t>
  </si>
  <si>
    <t>1:1:50462:7</t>
  </si>
  <si>
    <t>d5b57c95-d48f-4dbe-9dbf-cd701233f9ef</t>
  </si>
  <si>
    <t>LL4-5 chondrite meteorite</t>
  </si>
  <si>
    <t>An LL chondrite that is a breccia of petrological types 4 to 5.</t>
  </si>
  <si>
    <t>LL4-5</t>
  </si>
  <si>
    <t>1:1:50463:6</t>
  </si>
  <si>
    <t>2ae996be-f9a4-4e45-ae78-86b65b95f391</t>
  </si>
  <si>
    <t>LL5-6 chondrite meteorite</t>
  </si>
  <si>
    <t>An LL chondrite that is a breccia of petrological types 5 to 6.</t>
  </si>
  <si>
    <t>LL5-6</t>
  </si>
  <si>
    <t>1:1:52197:0</t>
  </si>
  <si>
    <t>2c3e59d4-be7e-46c4-abce-6d96816be428</t>
  </si>
  <si>
    <t>Orthopyroxene-rich Martian meteorite</t>
  </si>
  <si>
    <t>An orthopyroxene-rich martian meteorite; this martian meteorite is not assigned to the shergottite, nakhlite, or chassignite types.</t>
  </si>
  <si>
    <t>Martian (OPX)</t>
  </si>
  <si>
    <t>1:1:52198:9</t>
  </si>
  <si>
    <t>ee8d8484-d5cc-457d-b67b-e3e353f6af31</t>
  </si>
  <si>
    <t>Martian (basaltic breccia) meteorite</t>
  </si>
  <si>
    <t>A martian meteorite that is a breccia dominantly composed of basaltic clasts; this martian meteorite is not assigned to the shergottite, nakhlite, or chassignite types.</t>
  </si>
  <si>
    <t>Martian (basaltic breccia)</t>
  </si>
  <si>
    <t>1:1:52199:8</t>
  </si>
  <si>
    <t>b9ee7d39-8f62-4ee7-94d7-59f9bf63f803</t>
  </si>
  <si>
    <t>H3.5 chondrite meteorite</t>
  </si>
  <si>
    <t>An H chondrite that is petrological type 3.5</t>
  </si>
  <si>
    <t>H3.5</t>
  </si>
  <si>
    <t>1:1:52200:3</t>
  </si>
  <si>
    <t>3fd5fce7-9002-40a1-b941-5a66cc7cf2a1</t>
  </si>
  <si>
    <t>H3.4 chondrite meteorite</t>
  </si>
  <si>
    <t>An H chondrite that is petrological type 3.4</t>
  </si>
  <si>
    <t>H3.4</t>
  </si>
  <si>
    <t>1:1:52201:2</t>
  </si>
  <si>
    <t>d70114ef-8181-471f-b016-d20501d4d4e0</t>
  </si>
  <si>
    <t>Ungrouped Achondrite meteorite</t>
  </si>
  <si>
    <t>A stony meteorite that lacks chondrules and originated on a differentiated parent body, which has been well-enough characterized to determine that it does not fit into any of the established groups.</t>
  </si>
  <si>
    <t>Achondrite-ung</t>
  </si>
  <si>
    <t>1:1:52202:1</t>
  </si>
  <si>
    <t>5451fa40-2062-40a9-924d-197e7eba6476</t>
  </si>
  <si>
    <t>Ungrouped C chondrite meteorite</t>
  </si>
  <si>
    <t>A carbonaceous chondrite of unspecified petrologic type that is ungrouped.</t>
  </si>
  <si>
    <t>C-ung</t>
  </si>
  <si>
    <t>1:1:52203:0</t>
  </si>
  <si>
    <t>509549fb-0a96-47e0-9679-4ddcb72b1d65</t>
  </si>
  <si>
    <t>CK3-6 chondrite meteorite</t>
  </si>
  <si>
    <t>A carbonaceous chondrite of the CK group with clasts ranging from petrologic type type 3 to type 6.</t>
  </si>
  <si>
    <t>CK3-6</t>
  </si>
  <si>
    <t>1:1:52204:9</t>
  </si>
  <si>
    <t>94eda33b-20ff-4675-8b40-01300d2c5507</t>
  </si>
  <si>
    <t>CH/CBb chondrite meteorite</t>
  </si>
  <si>
    <t>A carbonaceous chondrite that is transitional between the CH group and the b-subgroup of the CB group</t>
  </si>
  <si>
    <t>CH/CBb</t>
  </si>
  <si>
    <t>1:1:52205:8</t>
  </si>
  <si>
    <t>097d8710-0845-4c8b-a426-2497d51976c4</t>
  </si>
  <si>
    <t>CK4/5 chondrite meteorite</t>
  </si>
  <si>
    <t>A carbonaceous chondrite of the CK group that is either petrologic type 4 or type 5.</t>
  </si>
  <si>
    <t>CK4/5</t>
  </si>
  <si>
    <t>1:1:52206:7</t>
  </si>
  <si>
    <t>32eff641-77f3-4462-af5a-4b105121afa2</t>
  </si>
  <si>
    <t>Anomalous CK5 chondrite meteorite</t>
  </si>
  <si>
    <t>A carbonaceous chondrite of the CK group that is anomalous and petrologic type 5.</t>
  </si>
  <si>
    <t>CK5-an</t>
  </si>
  <si>
    <t>1:1:52207:6</t>
  </si>
  <si>
    <t>636b2d56-d59b-4b19-932b-dfbbc142e24a</t>
  </si>
  <si>
    <t>CK5/6 chondrite meteorite</t>
  </si>
  <si>
    <t>A carbonaceous chondrite of the CK group that is either petrologic type 5 or type 6.</t>
  </si>
  <si>
    <t>CK5/6</t>
  </si>
  <si>
    <t>1:1:52208:5</t>
  </si>
  <si>
    <t>f9b4fa93-fe74-46ff-a276-9b8b06433dfc</t>
  </si>
  <si>
    <t>EH4/5 chondrite meteorite</t>
  </si>
  <si>
    <t>An enstatite chondrite of the EH group that is either petrologic type 4 or 5.</t>
  </si>
  <si>
    <t>EH4/5</t>
  </si>
  <si>
    <t>1:1:52209:4</t>
  </si>
  <si>
    <t>7aa36443-a701-492c-8e5b-b1bb8e655a08</t>
  </si>
  <si>
    <t>R3-4 chondrite meteorite</t>
  </si>
  <si>
    <t>An R chondrite that is a breccia of type 3 and type 4 components.</t>
  </si>
  <si>
    <t>R3-4</t>
  </si>
  <si>
    <t>1:1:52210:0</t>
  </si>
  <si>
    <t>f303de6f-0ee9-4ed5-8ac7-17c7e5549a3a</t>
  </si>
  <si>
    <t>R3-5 chondrite meteorite</t>
  </si>
  <si>
    <t>An R chondrite that is a breccia of type 3 to type 5 components.</t>
  </si>
  <si>
    <t>R3-5</t>
  </si>
  <si>
    <t>1:1:52211:9</t>
  </si>
  <si>
    <t>90f10627-1837-4eed-94e5-02e1b74c138e</t>
  </si>
  <si>
    <t>R3-6 chondrite meteorite</t>
  </si>
  <si>
    <t>An R chondrite that is a breccia of type 3 to type 6 components.</t>
  </si>
  <si>
    <t>R3-6</t>
  </si>
  <si>
    <t>1:1:52212:8</t>
  </si>
  <si>
    <t>f54a971f-1549-49ff-8b08-7c73e8ca6d05</t>
  </si>
  <si>
    <t>R3.4 chondrite meteorite</t>
  </si>
  <si>
    <t>An R chondrite that is petrologic type 3.4</t>
  </si>
  <si>
    <t>R3.4</t>
  </si>
  <si>
    <t>1:1:52213:7</t>
  </si>
  <si>
    <t>b8ff9a6e-55b7-4dee-bc9d-17359dd684ac</t>
  </si>
  <si>
    <t>R3.5-4 chondrite meteorite</t>
  </si>
  <si>
    <t>An R chondrite that is a breccia of type 3.5 to type 4 components.</t>
  </si>
  <si>
    <t>R3.5-4</t>
  </si>
  <si>
    <t>1:1:52214:6</t>
  </si>
  <si>
    <t>7506cca5-e84f-4080-9dfc-55e247acbec0</t>
  </si>
  <si>
    <t>R3.5-6 chondrite meteorite</t>
  </si>
  <si>
    <t>An R chondrite that is a breccia of components ranging from petrologic type 3.5 to type 6.</t>
  </si>
  <si>
    <t>R3.5-6</t>
  </si>
  <si>
    <t>1:1:52215:5</t>
  </si>
  <si>
    <t>229cc810-cef2-4124-a715-8f9e3305fc42</t>
  </si>
  <si>
    <t>R3.6 chondrite meteorite</t>
  </si>
  <si>
    <t>An R chondrite that is petrologic type 3.6</t>
  </si>
  <si>
    <t>R3.6</t>
  </si>
  <si>
    <t>1:1:52216:4</t>
  </si>
  <si>
    <t>0267ad86-fb1b-4af8-b019-330af9aaee03</t>
  </si>
  <si>
    <t>R3.7 chondrite meteorite</t>
  </si>
  <si>
    <t>An R chondrite that is petrologic type 3.7</t>
  </si>
  <si>
    <t>R3.7</t>
  </si>
  <si>
    <t>1:1:52217:3</t>
  </si>
  <si>
    <t>53d6a36e-dc68-4ad4-8446-7e8502780ace</t>
  </si>
  <si>
    <t>R3.8 chondrite meteorite</t>
  </si>
  <si>
    <t>An R chondrite that is petrologic type 3.8</t>
  </si>
  <si>
    <t>R3.8</t>
  </si>
  <si>
    <t>1:1:52218:2</t>
  </si>
  <si>
    <t>6944b882-8d8a-4f79-a12e-8774b544ddd7</t>
  </si>
  <si>
    <t>R3.8-5 chondrite meteorite</t>
  </si>
  <si>
    <t>An R chondrite that is a breccia of components ranging from petrologic type 3.8 to type 5.</t>
  </si>
  <si>
    <t>R3.8-5</t>
  </si>
  <si>
    <t>1:1:52219:1</t>
  </si>
  <si>
    <t>d0615117-ac3f-4b1f-b375-ca2b96e2bdaa</t>
  </si>
  <si>
    <t>R3.8-6 chondrite meteorite</t>
  </si>
  <si>
    <t>An R chondrite that is a breccia of components ranging from petrologic type 3.8 to type 6.</t>
  </si>
  <si>
    <t>R3.8-6</t>
  </si>
  <si>
    <t>1:1:52220:7</t>
  </si>
  <si>
    <t>61e1e925-93c8-4105-9bbc-0f05c1d3128d</t>
  </si>
  <si>
    <t>R3.9 chondrite meteorite</t>
  </si>
  <si>
    <t>An R chondrite of petrologic type 3.9</t>
  </si>
  <si>
    <t>R3.9</t>
  </si>
  <si>
    <t>1:1:52221:6</t>
  </si>
  <si>
    <t>67e84740-748d-4dfa-83bc-dc6daa3949b0</t>
  </si>
  <si>
    <t>R3/4 chondrite meteorite</t>
  </si>
  <si>
    <t>An R chondrite that is either petrologic type 3 or type 4.</t>
  </si>
  <si>
    <t>R3/4</t>
  </si>
  <si>
    <t>1:1:52222:5</t>
  </si>
  <si>
    <t>ccb96abf-4898-4b5a-a94d-7febe29ca594</t>
  </si>
  <si>
    <t>R4-5 chondrite meteorite</t>
  </si>
  <si>
    <t>An R chondrite that is a breccia of components ranging from petrologic type 4 to type 5.</t>
  </si>
  <si>
    <t>R4-5</t>
  </si>
  <si>
    <t>1:1:52223:4</t>
  </si>
  <si>
    <t>b57492cd-e6a9-49fd-9154-ce8065cc3755</t>
  </si>
  <si>
    <t>R4-6 chondrite meteorite</t>
  </si>
  <si>
    <t>An R chondrite that is a breccia of components ranging from petrologic type 4 to type 6.</t>
  </si>
  <si>
    <t>R4-6</t>
  </si>
  <si>
    <t>1:1:52224:3</t>
  </si>
  <si>
    <t>91bcd46b-39ee-4150-9038-e53b303128d7</t>
  </si>
  <si>
    <t>R4/5 chondrite meteorite</t>
  </si>
  <si>
    <t>An R chondrite that is either petrologic type 4 or type 5.</t>
  </si>
  <si>
    <t>R4/5</t>
  </si>
  <si>
    <t>1:1:52225:2</t>
  </si>
  <si>
    <t>a565479d-cd5b-4e53-a16a-e32f695fba23</t>
  </si>
  <si>
    <t>Mesosiderite-A3/4 meteorite</t>
  </si>
  <si>
    <t>A mesosiderite of petrologic class A and metamorphic grade 3 or 4.</t>
  </si>
  <si>
    <t>Mesosiderite-A3/4</t>
  </si>
  <si>
    <t>1:1:52226:1</t>
  </si>
  <si>
    <t>143d93b7-6104-4ab0-822c-05ccd12f7fa7</t>
  </si>
  <si>
    <t>H3.8 chondrite meteorite</t>
  </si>
  <si>
    <t>An ordinary chondrite from the H group that is petrologic type 3.8</t>
  </si>
  <si>
    <t>H3.8</t>
  </si>
  <si>
    <t>1:1:52227:0</t>
  </si>
  <si>
    <t>bf47f61d-4c17-432c-a8b3-142c28e93e21</t>
  </si>
  <si>
    <t>H3.9 chondrite meteorite</t>
  </si>
  <si>
    <t>An ordinary chondrite from the H group that is petrologic type 3.9</t>
  </si>
  <si>
    <t>H3.9</t>
  </si>
  <si>
    <t>1:1:52228:9</t>
  </si>
  <si>
    <t>a3aad6e5-989b-4915-8a88-0137567e8c0e</t>
  </si>
  <si>
    <t>H3.6 chondrite meteorite</t>
  </si>
  <si>
    <t>An ordinary chondrite from the H group that is petrologic type 3.6</t>
  </si>
  <si>
    <t>H3.6</t>
  </si>
  <si>
    <t>1:1:52229:8</t>
  </si>
  <si>
    <t>c52cd725-8780-45f0-b8f4-58f1455c8534</t>
  </si>
  <si>
    <t>H3.7 chondrite meteorite</t>
  </si>
  <si>
    <t>An ordinary chondrite from the H group that is petrologic type 3.7</t>
  </si>
  <si>
    <t>H3.7</t>
  </si>
  <si>
    <t>1:1:52231:3</t>
  </si>
  <si>
    <t>f6b77399-b563-41e1-a291-abfb6f0a01f9</t>
  </si>
  <si>
    <t>Ungrouped iron meteorite</t>
  </si>
  <si>
    <t>Iron, ungrouped</t>
  </si>
  <si>
    <t>1:1:52237:7</t>
  </si>
  <si>
    <t>7fe59a73-3984-4e98-8ec8-5840d8abee9a</t>
  </si>
  <si>
    <t>Relict meteorite</t>
  </si>
  <si>
    <t>A highly altered object that is likely to have a meteoritic origin. These are dominantly (&gt;95%) composed of secondary minerals formed from alteration after it landed.</t>
  </si>
  <si>
    <t>1:1:52238:6</t>
  </si>
  <si>
    <t>ec668dd3-39e7-462f-9784-d0903d5338f6</t>
  </si>
  <si>
    <t>Relict H meteorite</t>
  </si>
  <si>
    <t>A relict meteorite that originated as an H group ordinary chondrite.</t>
  </si>
  <si>
    <t>Relict H</t>
  </si>
  <si>
    <t>1:1:52239:5</t>
  </si>
  <si>
    <t>0c9bd432-8ba9-4188-ac7e-8b2e55ecb90b</t>
  </si>
  <si>
    <t>Relict iron meteorite</t>
  </si>
  <si>
    <t>A relict meteorite that originated as an iron meteorite.</t>
  </si>
  <si>
    <t>Relict iron</t>
  </si>
  <si>
    <t>1:1:52240:1</t>
  </si>
  <si>
    <t>d184b130-7ff1-4dd3-b312-8865566fe78b</t>
  </si>
  <si>
    <t>Relict OC meteorite</t>
  </si>
  <si>
    <t>A relict meteorite that originated as an ordinary chondrite.</t>
  </si>
  <si>
    <t>Relict OC</t>
  </si>
  <si>
    <t>1:1:52241:0</t>
  </si>
  <si>
    <t>e199225c-8084-41d3-86c4-bc55387c0047</t>
  </si>
  <si>
    <t>Relict ureilite meteorite</t>
  </si>
  <si>
    <t>A relict meteorite that originated as a ureilite.</t>
  </si>
  <si>
    <t>Relict ureilite</t>
  </si>
  <si>
    <t>1:1:52360:4</t>
  </si>
  <si>
    <t>c7c09658-a546-4500-84ee-9861a7641b13</t>
  </si>
  <si>
    <t>Anomalous EH7 chondrite meteorite</t>
  </si>
  <si>
    <t>An enstatite chondrite of the EH group that is petrologic type 7 and has anomalous properties.</t>
  </si>
  <si>
    <t>EH7-an</t>
  </si>
  <si>
    <t>1:1:52368:6</t>
  </si>
  <si>
    <t>2b2a93d2-97f0-44e6-8aff-10e252e4675d</t>
  </si>
  <si>
    <t>H3.3 chondrite meteorite</t>
  </si>
  <si>
    <t>An H chondrite meteorite that is of petrologic type 3.3</t>
  </si>
  <si>
    <t>H3.3</t>
  </si>
  <si>
    <t>1:1:52369:5</t>
  </si>
  <si>
    <t>d839986c-5e8b-4625-9b70-973443768710</t>
  </si>
  <si>
    <t>Unclassified stony meteorite</t>
  </si>
  <si>
    <t>A stony meteorite that has not yet been classified.</t>
  </si>
  <si>
    <t>Stone-uncl</t>
  </si>
  <si>
    <t>1:1:52370:1</t>
  </si>
  <si>
    <t>8bf432d8-8397-453b-9d85-79155c8cb6f4</t>
  </si>
  <si>
    <t>IIG iron meteorite</t>
  </si>
  <si>
    <t>An iron meteorite belonging to chemical group IIG</t>
  </si>
  <si>
    <t>Iron, IIG</t>
  </si>
  <si>
    <t>1:1:52371:0</t>
  </si>
  <si>
    <t>d1b5813a-1548-49ab-a2d5-9d051b68dd0b</t>
  </si>
  <si>
    <t>Ungrouped pallasite meteorite</t>
  </si>
  <si>
    <t>A pallasite that is neither a member of the main group nor the Eagle Station grouplet, and is therefore ungrouped.</t>
  </si>
  <si>
    <t>Pallasite, ungrouped</t>
  </si>
  <si>
    <t>1:1:52372:9</t>
  </si>
  <si>
    <t>5ec905dc-67db-44ab-a287-cdbae708e6e4</t>
  </si>
  <si>
    <t>Anomalous aubrite meteorite</t>
  </si>
  <si>
    <t>An aubrite with certain anomalous properties.</t>
  </si>
  <si>
    <t>Aubrite-an</t>
  </si>
  <si>
    <t>1:1:52373:8</t>
  </si>
  <si>
    <t>79db03ac-1c59-4104-9468-d3c92ae02bc7</t>
  </si>
  <si>
    <t>Possible iron meteorite</t>
  </si>
  <si>
    <t>A possible iron meteorite that has not been classified.</t>
  </si>
  <si>
    <t>Iron?</t>
  </si>
  <si>
    <t>1:1:52374:7</t>
  </si>
  <si>
    <t>99ac4188-a89b-44d3-b93e-1f774f425586</t>
  </si>
  <si>
    <t>OC3 chondrite meteorite</t>
  </si>
  <si>
    <t>An ordinary chondrite, not yet assigned to a group, that is petrologic type 3.</t>
  </si>
  <si>
    <t>OC3</t>
  </si>
  <si>
    <t>1:1:52393:2</t>
  </si>
  <si>
    <t>ef6667bf-58da-4115-9c4c-0a63fee588e5</t>
  </si>
  <si>
    <t>Possible IAB complex iron meteorite</t>
  </si>
  <si>
    <t>An iron meteorite that may belong to the IAB complex.</t>
  </si>
  <si>
    <t>Iron, IAB?</t>
  </si>
  <si>
    <t>1:1:52394:1</t>
  </si>
  <si>
    <t>36be94ff-1d76-46df-866f-535d7219b2a4</t>
  </si>
  <si>
    <t>LL7 chondrite meteorite</t>
  </si>
  <si>
    <t>An ordinary chondrite from the LL group that is petrologic type 7._x000D_
_x000D_
Note: Type 7 designates chondrites which have been metamorphosed to nearly the point of melting. Minerals are equilibrated and chondrules are indistinct or absent. This term is not u...</t>
  </si>
  <si>
    <t>LL7</t>
  </si>
  <si>
    <t>1:1:52395:0</t>
  </si>
  <si>
    <t>56c71848-e6c0-490c-be65-7497de84c002</t>
  </si>
  <si>
    <t>Anomalous H3.8 chondrite meteorite</t>
  </si>
  <si>
    <t>An ordinary chondrite from the H group that is petrologic type 3.8 and has anomalous properties.</t>
  </si>
  <si>
    <t>H3.8-an</t>
  </si>
  <si>
    <t>1:1:52396:9</t>
  </si>
  <si>
    <t>8715c638-0969-4e29-a99d-d5078b9c3faf</t>
  </si>
  <si>
    <t>CO3-melt breccia chondrite meteorite</t>
  </si>
  <si>
    <t>A carbonaceous chondrite of the CO group that is petrologic type 3 and is a breccia with melted material forming the matrix.</t>
  </si>
  <si>
    <t>CO3-melt breccia</t>
  </si>
  <si>
    <t>synonym</t>
  </si>
  <si>
    <t/>
  </si>
  <si>
    <t>49582 | 49583</t>
  </si>
  <si>
    <t>49601 | 49602</t>
  </si>
  <si>
    <t>recno</t>
  </si>
  <si>
    <t>matchid</t>
  </si>
  <si>
    <t>rock_parent_long</t>
  </si>
  <si>
    <t>rock_parent2_long</t>
  </si>
  <si>
    <t>Asteroidal achondrite meteorite</t>
  </si>
  <si>
    <t>1:1:50270:8</t>
  </si>
  <si>
    <t>530765f7-c5d7-49fc-b7b3-412d686c2968</t>
  </si>
  <si>
    <t>A stony meteorite that lacks chondrules and originated on an asteroid.</t>
  </si>
  <si>
    <t>1:1:50269:2</t>
  </si>
  <si>
    <t>Ataxite</t>
  </si>
  <si>
    <t>1:1:52787:7</t>
  </si>
  <si>
    <t>532dd245-218a-4f4c-92b7-730e1d236c71</t>
  </si>
  <si>
    <t>Ataxites are a structural class of iron meteorites with a high nickel content and show no WidmanstÃ¤tten patterns upon etching. Ataxites are the most nickel-rich meteorites known; they usually contain over 18% nickel. The high nickel content is the rea...</t>
  </si>
  <si>
    <t>Basaltic shergottite meteorite</t>
  </si>
  <si>
    <t>1:1:49941:3</t>
  </si>
  <si>
    <t>7a501d46-7ffe-42c3-bd51-679fd46ed863</t>
  </si>
  <si>
    <t>A shergottite of basalt composition.</t>
  </si>
  <si>
    <t>C1 chondrite meteorite</t>
  </si>
  <si>
    <t>1:1:49521:3</t>
  </si>
  <si>
    <t>5ddc159f-209a-4763-b2f2-1dd4de3aa627</t>
  </si>
  <si>
    <t>A C chondrite that is petrologic type 1.</t>
  </si>
  <si>
    <t>1:1:49840:5</t>
  </si>
  <si>
    <t>C5 chondrite meteorite</t>
  </si>
  <si>
    <t>1:1:49533:8</t>
  </si>
  <si>
    <t>ae131b4a-2003-4484-b345-2d70928fc503</t>
  </si>
  <si>
    <t>A C chondrite that is petrologic type 5.</t>
  </si>
  <si>
    <t>1:1:49844:1</t>
  </si>
  <si>
    <t>Catarinite</t>
  </si>
  <si>
    <t>1:1:52720:2</t>
  </si>
  <si>
    <t>eb725fe2-ac12-4573-86da-70abb0505242</t>
  </si>
  <si>
    <t>An obsolete term for an iron meteorite remarkable for a high proportion of nickel.</t>
  </si>
  <si>
    <t>CH chondrite meteorite</t>
  </si>
  <si>
    <t>1:1:49539:2</t>
  </si>
  <si>
    <t>3446bc48-b81e-4e7b-93a7-ab602e32f2c0</t>
  </si>
  <si>
    <t>High-iron carbonaceous chondrite. Contains pyroxene, metal and olivine. May be related to CB chondrite.</t>
  </si>
  <si>
    <t>Chondrite meteorite by petrological type</t>
  </si>
  <si>
    <t>1:1:49839:9</t>
  </si>
  <si>
    <t>75bc40f0-24db-4c80-98b1-aab369d9ad43</t>
  </si>
  <si>
    <t>An alternative classification grouping together all chondrite types by their petrological type rather than origin.</t>
  </si>
  <si>
    <t>CI chondrite meteorite</t>
  </si>
  <si>
    <t>1:1:49541:7</t>
  </si>
  <si>
    <t>139dda1c-5447-4fe5-970f-437899a2b578</t>
  </si>
  <si>
    <t>The Ivuna (CI) chemical group of carbonaceous chondrites, distinguished by the complete absence of chondrules and refractory inclusions, and high degree of hydration.</t>
  </si>
  <si>
    <t>CV chondrite meteorite</t>
  </si>
  <si>
    <t>1:1:49577:2</t>
  </si>
  <si>
    <t>ddd477c1-f6b3-4f30-bd8f-8e397717f02f</t>
  </si>
  <si>
    <t>The Vigarano (CV) chemical group of carbonaceous chondrites, distinguished by large (mm-sized) chondrules, many of which are surrounded by igneous rims, large refractory inclusions and abundant matrix (40 vol%); CV chondrites may be divided into oxidiz...</t>
  </si>
  <si>
    <t>Differentiated achondrite meteorite</t>
  </si>
  <si>
    <t>57a5182b-1494-494b-8cbc-ae6003c29a34</t>
  </si>
  <si>
    <t>A stony meteorite that lacks chondrules and originated on a differentiated parent body.</t>
  </si>
  <si>
    <t>1:1:49514:3</t>
  </si>
  <si>
    <t>EL chondrite meteorite</t>
  </si>
  <si>
    <t>1:1:49820:1</t>
  </si>
  <si>
    <t>8d59bddb-3ae8-4d54-8c41-452fa525df76</t>
  </si>
  <si>
    <t>The low-iron (EL) chemical group of enstatite chondrites, distinguished by moderately large chondrules (0.6 mm), abundant metal (~10 vol%) that is Si-bearing (~1 wt%), and an extremely reduced mineral assemblage containing ferroan alabandite ((Fe,Mn)S)</t>
  </si>
  <si>
    <t>1:1:49800:7</t>
  </si>
  <si>
    <t>Enstatite chondrite meteorite</t>
  </si>
  <si>
    <t>edefed6e-7d58-4fb7-ba88-8d1cfbb53bf6</t>
  </si>
  <si>
    <t>A major class of chondrites that mostly have sub-solar Mg/Si and refractory/Si ratios, oxygen isotope compositions that plot near the terrestrial fractionation line, and highly reduced mineral assemblages (containing little FeO, Si-bearing metal, and s...</t>
  </si>
  <si>
    <t>Feldspathic breccia</t>
  </si>
  <si>
    <t>1:1:49510:7</t>
  </si>
  <si>
    <t>5911e187-906a-4c16-924f-4e915f2e468f</t>
  </si>
  <si>
    <t>A lunar breccia rich in feldspar</t>
  </si>
  <si>
    <t>1:1:49509:1</t>
  </si>
  <si>
    <t>HED achondrite meteorite</t>
  </si>
  <si>
    <t>1:1:49877:9</t>
  </si>
  <si>
    <t>517e391d-5cb5-4e6c-b659-7535219dd111</t>
  </si>
  <si>
    <t>A group of meteorites believed to have come from asteroid 4 Vesta.</t>
  </si>
  <si>
    <t>Hexahedrite</t>
  </si>
  <si>
    <t>1:1:54117:8</t>
  </si>
  <si>
    <t>e50d7341-1e6d-423c-96e6-f25cf34417b2</t>
  </si>
  <si>
    <t>An older structural classification of iron meteorites based on the absence of the WidmanstÃ¤tten pattern, which can be assessed from the appearance of polished cross-sections that have been etched with acid. They have a low  abundance of nickel relative...</t>
  </si>
  <si>
    <t>Highland rock</t>
  </si>
  <si>
    <t>1:1:49507:3</t>
  </si>
  <si>
    <t>4381a645-850a-4ebd-b9c6-bca734ffa0b7</t>
  </si>
  <si>
    <t>Older, highland lunar rock.</t>
  </si>
  <si>
    <t>1:1:49505:5</t>
  </si>
  <si>
    <t>IIICD iron meteorite</t>
  </si>
  <si>
    <t>1:1:49864:5</t>
  </si>
  <si>
    <t>c954dccf-cc5a-4650-9c1a-945cfead3ceb</t>
  </si>
  <si>
    <t>Composed dominantly of meteoritic iron and silicate inclusions.</t>
  </si>
  <si>
    <t>1:1:49962:6</t>
  </si>
  <si>
    <t>Iron group meteorite</t>
  </si>
  <si>
    <t>1:1:49919:4</t>
  </si>
  <si>
    <t>8ac8bf0d-9743-4f21-8345-5e317fd40da6</t>
  </si>
  <si>
    <t>A meteorite that is dominantly composed of Fe-Ni metal and that crystallized from a melt.</t>
  </si>
  <si>
    <t>Lherzolitic shergottite meteorite</t>
  </si>
  <si>
    <t>1:1:49944:0</t>
  </si>
  <si>
    <t>a1ed6fa7-0e1e-49e0-925f-4762e19f660a</t>
  </si>
  <si>
    <t>A shergottite, possibly with an olivine-gabbro source material.++</t>
  </si>
  <si>
    <t>Lunar breccia</t>
  </si>
  <si>
    <t>dd48b1a0-dda6-4b2d-ac5e-2b9de6986271</t>
  </si>
  <si>
    <t>Lunar rocks composed of sharp angular fragments of older rocks, often including reworked fragments of previous lunar breccias.</t>
  </si>
  <si>
    <t>1:1:49508:2</t>
  </si>
  <si>
    <t>1:1:51453:6</t>
  </si>
  <si>
    <t>Lunar fragmental rock and sediment</t>
  </si>
  <si>
    <t>cf390488-4b29-425e-9cf3-77e997319a3e</t>
  </si>
  <si>
    <t>Lunar rock and soils composed of fragments of older rocks.</t>
  </si>
  <si>
    <t>1:1:49504:6</t>
  </si>
  <si>
    <t>Lunar granophyric granite</t>
  </si>
  <si>
    <t>1:1:48145:0</t>
  </si>
  <si>
    <t>17bd43c1-9290-4253-ad79-79f9401941fc</t>
  </si>
  <si>
    <t>Fragments of this material have been found in lunar breccias and soils.</t>
  </si>
  <si>
    <t>Lunar highland regolith</t>
  </si>
  <si>
    <t>1:1:49512:5</t>
  </si>
  <si>
    <t>e587f4ba-7263-474b-96c1-9bf0e9ef55bd</t>
  </si>
  <si>
    <t>A lunar soil from the lunar highlands. Commonly contains felspathic breccias, agglutinates, feldspar framents and occasional mare basalt fragments.</t>
  </si>
  <si>
    <t>1:1:49511:6</t>
  </si>
  <si>
    <t>Lunar igneous rock</t>
  </si>
  <si>
    <t>8ad74667-db1e-4500-a3c0-708c6d7fbe30</t>
  </si>
  <si>
    <t>Primary lunar igneous rocks.</t>
  </si>
  <si>
    <t>Lunar mare regolith</t>
  </si>
  <si>
    <t>1:1:49513:4</t>
  </si>
  <si>
    <t>80d4da9a-fa91-4449-a137-dde89187b9fd</t>
  </si>
  <si>
    <t>A lunar soil from the lunar maria (dark basaltic plains.) Mostly derived from High-Ti basalts.</t>
  </si>
  <si>
    <t>Lunar regolith</t>
  </si>
  <si>
    <t>43f4b74b-08b7-4795-9cc2-c077378e19aa</t>
  </si>
  <si>
    <t>Lunar soil.</t>
  </si>
  <si>
    <t>Magmatic iron meteorite</t>
  </si>
  <si>
    <t>1:1:49961:7</t>
  </si>
  <si>
    <t>d8f299ea-25ed-4111-b2a4-8f9b6ec3375b</t>
  </si>
  <si>
    <t>Mare basalt</t>
  </si>
  <si>
    <t>1:1:49506:4</t>
  </si>
  <si>
    <t>4b9353b0-c3ef-409a-a910-b492badb8ca5</t>
  </si>
  <si>
    <t>Basalt from the lunar maria.</t>
  </si>
  <si>
    <t>Martian basaltic breccia</t>
  </si>
  <si>
    <t>1:1:49093:5</t>
  </si>
  <si>
    <t>c9454039-61a9-4b87-8695-a773c19db230</t>
  </si>
  <si>
    <t>Known from meteoriet NWA7034, it is a volcanic breccia with a porphyritic appearance.</t>
  </si>
  <si>
    <t>Meteorite</t>
  </si>
  <si>
    <t>d220cc22-dab2-4a82-9d48-5eeec3e65ab2</t>
  </si>
  <si>
    <t>Rock types associated with meteorites and asteroids. Meteorite Mineralogy: An Explicitly Planetological-Planetochemical Perspective</t>
  </si>
  <si>
    <t>Octahedrite (meteorite)</t>
  </si>
  <si>
    <t>1:1:54116:9</t>
  </si>
  <si>
    <t>fafc65db-e1d2-4db0-95aa-008ed6931247</t>
  </si>
  <si>
    <t>Octahedrite is a historical classification for iron meteorites based on structure. It shows a WidmanstÃ¤tten pattern of kamacite exsolution lamellae out of taenite. See also octahedrite (of Werner), a synonym of anatase.</t>
  </si>
  <si>
    <t>Olivine-phyric shergottite meteorite</t>
  </si>
  <si>
    <t>1:1:49942:2</t>
  </si>
  <si>
    <t>d3dfe562-0ebc-4509-b159-47a99d97fa40</t>
  </si>
  <si>
    <t>A shergottite with megacrystas of olivine</t>
  </si>
  <si>
    <t>Petrologic Type 1 chondrite meteorite</t>
  </si>
  <si>
    <t>92749329-a1d8-40c6-9dfa-a091cbe01a0d</t>
  </si>
  <si>
    <t>Chondrites which have experienced a high degree of aqueous alteration. Most primary minerals have been replaced by secondary phases and chondrules are generally absent.</t>
  </si>
  <si>
    <t>Petrologic Type 2 chondrite meteorite</t>
  </si>
  <si>
    <t>1:1:49841:4</t>
  </si>
  <si>
    <t>490104d7-ba6e-49e8-b57c-acab34cc0e13</t>
  </si>
  <si>
    <t>Chondrites which are characterized by abundant hydrated minerals and abundant fine-grained matrix; chondrules are present; sulfides are Ni-bearing.</t>
  </si>
  <si>
    <t>Petrologic Type 3 chondrite meteorite</t>
  </si>
  <si>
    <t>1:1:49842:3</t>
  </si>
  <si>
    <t>03ce93fc-96d4-433d-9671-4b8ef32c79c6</t>
  </si>
  <si>
    <t>Chondrites that are characterized by abundant chondrules, low degrees of aqueous alteration, and unequilibrated mineral assemblages. Many of the low-Ca pyroxene grains are monoclinic and exhibit polysynthetic twinning. The type 3 chondrites may be divi...</t>
  </si>
  <si>
    <t>Petrologic Type 4 chondrite meteorite</t>
  </si>
  <si>
    <t>1:1:49843:2</t>
  </si>
  <si>
    <t>3488c0d2-c09b-4a16-8b21-ab3ef8b57852</t>
  </si>
  <si>
    <t>Chondrites that are characterized by abundant chondrules, and have been metamorphosed under conditions sufficient to homogenize olivine compositions and recrystallize fine-grained matrix. Some of the low-Ca pyroxene grains may be monoclinic and exhibit...</t>
  </si>
  <si>
    <t>Petrologic Type 5 chondrite meteorite</t>
  </si>
  <si>
    <t>11d0d450-8846-4bc0-97da-36e4337928da</t>
  </si>
  <si>
    <t>Chondrites that have been metamorphosed under conditions sufficient to homogenize olivine and pyroxene, convert all low-Ca pyroxene to orthopyroxene, cause the growth of various secondary minerals, and blur chondrule outlines.</t>
  </si>
  <si>
    <t>Petrologic Type 6 chondrite meteorite</t>
  </si>
  <si>
    <t>1:1:49845:0</t>
  </si>
  <si>
    <t>5e218d5c-a00b-430c-97a3-63815d74e66a</t>
  </si>
  <si>
    <t>Chondrites that have been metamorphosed under conditions sufficient to homogenize all mineral compositions, convert all low-Ca pyroxene to orthopyroxene, coarsen secondary phases such as feldspar to sizes â‰¥50 Âµm, and obliterate many chondrule outlines;...</t>
  </si>
  <si>
    <t>Petrologic Type 7 chondrite meteorite</t>
  </si>
  <si>
    <t>1:1:49846:9</t>
  </si>
  <si>
    <t>0583b9f0-c4e6-41c4-b655-01e4d07a48a9</t>
  </si>
  <si>
    <t>Chondrites which have been metamorphosed to nearly the point of melting. Minerals are equilibrated and chondrules are indistinct or absent. This term is not used consistently or widely accepted in the literature.</t>
  </si>
  <si>
    <t>Primitive iron meteorite</t>
  </si>
  <si>
    <t>5f159f67-e8d4-4563-afbe-792b46b9a443</t>
  </si>
  <si>
    <t>Pyroxene pallasite meteorite</t>
  </si>
  <si>
    <t>1:1:49904:2</t>
  </si>
  <si>
    <t>08f67d9b-9568-4593-b01b-bdc64775df20</t>
  </si>
  <si>
    <t>A pallasite containing pyroxene as inclusions in the olivine crystals, as large grains in the nickel-iron matrix and as grains bordering the olivines.</t>
  </si>
  <si>
    <t>Shock lithified impact regolith</t>
  </si>
  <si>
    <t>1:1:49091:7</t>
  </si>
  <si>
    <t>ba03f8db-aeec-4351-881f-d3fbd9bbb25b</t>
  </si>
  <si>
    <t>Consolidated clastic impact debris.</t>
  </si>
  <si>
    <t>Shock lithified impact regolith breccia</t>
  </si>
  <si>
    <t>814bf587-db28-4f8e-8476-31fe5c67ae09</t>
  </si>
  <si>
    <t>Consolidated clastic impact debris breccia.</t>
  </si>
  <si>
    <t>Stony-iron meteorite</t>
  </si>
  <si>
    <t>1:1:49963:5</t>
  </si>
  <si>
    <t>3e0403e5-bf88-4b43-8946-e250f3e3fdd8</t>
  </si>
  <si>
    <t>Meteorite and other extra-terrestrial rock and sediment</t>
  </si>
  <si>
    <t>e3b84e58-6dcd-4f38-96c8-961a69604b60</t>
  </si>
  <si>
    <t>Includes meteorites, Lunar rock and sediment, and rock and sediment from other extraterrestrial bodies.</t>
  </si>
  <si>
    <t>CO3.9 chondrite meteorite</t>
  </si>
  <si>
    <t>Orthopyroxenitic diogenite meteorite</t>
  </si>
  <si>
    <t>Olivine orthopyroxenitic diogenite meteorite</t>
  </si>
  <si>
    <t>Harzburgitic diogenite meteorite</t>
  </si>
  <si>
    <t>Noritic diogenite meteorite</t>
  </si>
  <si>
    <t>1:1:49570:9</t>
  </si>
  <si>
    <t>1:1:49894:6</t>
  </si>
  <si>
    <t>1:1:49895:5</t>
  </si>
  <si>
    <t>1:1:49893:7</t>
  </si>
  <si>
    <t>1:1:49892:8</t>
  </si>
  <si>
    <t>Multiple impact impactite</t>
  </si>
  <si>
    <t>1:1:49089:2</t>
  </si>
  <si>
    <t>1651c429-562f-4d79-bc33-1d0ab9b3e2e7</t>
  </si>
  <si>
    <t>Impactites resulting from multiple collisions (eg on the moon or asteroids.)</t>
  </si>
  <si>
    <t>1:1:49077:7</t>
  </si>
  <si>
    <t>1:1:48144:1</t>
  </si>
  <si>
    <t>1:1:49092:6</t>
  </si>
  <si>
    <t>1:1:48408:6</t>
  </si>
  <si>
    <t>1:1:50222:1</t>
  </si>
  <si>
    <t>syn_longID</t>
  </si>
  <si>
    <t>syn_label</t>
  </si>
  <si>
    <t>O chondrite meteorite  | OC chondrite meteorite</t>
  </si>
  <si>
    <t>H.3.10 chondrite meteorite | H3.15 chondrite meteorite</t>
  </si>
  <si>
    <t>A CO chondrite that is of petrologic type 3.9.</t>
  </si>
  <si>
    <t>492e289d-de4a-4644-aad6-34666cebf1b7</t>
  </si>
  <si>
    <t>A diogenite composed of ≥90 vol% orthopyroxene.</t>
  </si>
  <si>
    <t>1d43303a-203b-4778-a253-68a78faa7a48</t>
  </si>
  <si>
    <t>A diogenite containing 10 to 40 vol% olivine and up to 10 vol% plagioclase.</t>
  </si>
  <si>
    <t>5c858f9d-8a6e-4ffe-927a-e9182b709c8e</t>
  </si>
  <si>
    <r>
      <t>A </t>
    </r>
    <r>
      <rPr>
        <u/>
        <sz val="10"/>
        <color rgb="FFFF3399"/>
        <rFont val="Noto Sans"/>
        <family val="2"/>
      </rPr>
      <t>diogenite</t>
    </r>
    <r>
      <rPr>
        <sz val="10"/>
        <color rgb="FF000000"/>
        <rFont val="Noto Sans"/>
        <family val="2"/>
      </rPr>
      <t> composed of 40-90 vol% </t>
    </r>
    <r>
      <rPr>
        <sz val="10"/>
        <color rgb="FF1198B1"/>
        <rFont val="Noto Sans"/>
        <family val="2"/>
      </rPr>
      <t>olivine</t>
    </r>
    <r>
      <rPr>
        <sz val="10"/>
        <color rgb="FF000000"/>
        <rFont val="Noto Sans"/>
        <family val="2"/>
      </rPr>
      <t>.</t>
    </r>
  </si>
  <si>
    <t>cd6997b0-1ee4-46f0-9616-802a30497f4d</t>
  </si>
  <si>
    <r>
      <t>A </t>
    </r>
    <r>
      <rPr>
        <sz val="10"/>
        <color rgb="FF1198B1"/>
        <rFont val="Noto Sans"/>
        <family val="2"/>
      </rPr>
      <t>pyroxene</t>
    </r>
    <r>
      <rPr>
        <sz val="10"/>
        <color rgb="FF000000"/>
        <rFont val="Noto Sans"/>
        <family val="2"/>
      </rPr>
      <t>-rich </t>
    </r>
    <r>
      <rPr>
        <sz val="10"/>
        <color rgb="FF1198B1"/>
        <rFont val="Noto Sans"/>
        <family val="2"/>
      </rPr>
      <t>diogenite</t>
    </r>
    <r>
      <rPr>
        <sz val="10"/>
        <color rgb="FF000000"/>
        <rFont val="Noto Sans"/>
        <family val="2"/>
      </rPr>
      <t> with &gt;10% vol% </t>
    </r>
    <r>
      <rPr>
        <sz val="10"/>
        <color rgb="FF1198B1"/>
        <rFont val="Noto Sans"/>
        <family val="2"/>
      </rPr>
      <t>plagioclase</t>
    </r>
    <r>
      <rPr>
        <sz val="10"/>
        <color rgb="FF000000"/>
        <rFont val="Noto Sans"/>
        <family val="2"/>
      </rPr>
      <t>.</t>
    </r>
  </si>
  <si>
    <t>c7e51773-5374-408f-adab-ad02fe3fa63e</t>
  </si>
  <si>
    <t xml:space="preserve"> A primitive meteorite, usually bearing chondrules, that has not experienced igneous differentiation on its parent body.</t>
  </si>
  <si>
    <t>https://www.lpi.usra.edu/meteor/metbullclass.php?sea=Chondrite-uncl</t>
  </si>
  <si>
    <t>source</t>
  </si>
  <si>
    <t xml:space="preserve">A stony meteorite that, originated on a differentiated parent body, lacks chondrules, belongs to the ureilite group, and is a polymict breccia </t>
  </si>
  <si>
    <t>https://www.lpi.usra.edu/meteor/metbullclass.php?sea=Ureilite-pmict</t>
  </si>
  <si>
    <t xml:space="preserve">https://en.wikipedia.org/wiki/Nonmagmatic_meteorite | </t>
  </si>
  <si>
    <t>iron meteorites thought to have not formed by igneous processes, to differentiate them from the magmatic meteorites, produced by the crystallization of a metal melt.</t>
  </si>
  <si>
    <t>meteorites that consist of nearly equal parts of meteoric iron and silicates</t>
  </si>
  <si>
    <t>https://en.wikipedia.org/wiki/Stony-iron_meteorite</t>
  </si>
  <si>
    <t>lunar rocks that were ejected from the Moon by impacts and later fell to the Earth as meteorites</t>
  </si>
  <si>
    <t>https://www.lpi.usra.edu/meteor/metbullclass.php?sea=Lunar</t>
  </si>
  <si>
    <t>meteorite that is dominantly composed of Fe-Ni metal and that crystallized from a melt and does not fit into any of the established chemical groups</t>
  </si>
  <si>
    <t>https://www.lpi.usra.edu/meteor/metbullclass.php?sea=Iron,%20ungrouped</t>
  </si>
  <si>
    <t>1:1:52364:0</t>
  </si>
  <si>
    <t>C1-ung chondrite meteorite</t>
  </si>
  <si>
    <t>1:1:52365:9</t>
  </si>
  <si>
    <t>C1/2-ung chondrite meteorite</t>
  </si>
  <si>
    <t>1:1:52366:8</t>
  </si>
  <si>
    <t>C2-ung chondrite meteorite</t>
  </si>
  <si>
    <t>1:1:52367:7</t>
  </si>
  <si>
    <t>C3-ung chondrite meteorite</t>
  </si>
  <si>
    <t>1:1:52378:3</t>
  </si>
  <si>
    <t>C3.0-ung chondrite meteorite</t>
  </si>
  <si>
    <t>1:1:52379:2</t>
  </si>
  <si>
    <t>C3/4-ung chondrite meteorite</t>
  </si>
  <si>
    <t>1:1:52376:5</t>
  </si>
  <si>
    <t>CK3-an chondrite meteorite</t>
  </si>
  <si>
    <t>1:1:52375:6</t>
  </si>
  <si>
    <t>CK4-an chondrite meteorite</t>
  </si>
  <si>
    <t>1:1:52377:4</t>
  </si>
  <si>
    <t>CM-an chondrite meteorite</t>
  </si>
  <si>
    <t>1:1:52388:0</t>
  </si>
  <si>
    <t>CM2-an chondrite meteorite</t>
  </si>
  <si>
    <t>1:1:52389:9</t>
  </si>
  <si>
    <t>CR2-an chondrite meteorite</t>
  </si>
  <si>
    <t>1:1:51872:7</t>
  </si>
  <si>
    <t>CV3 carbonaceous chondrite meteorite</t>
  </si>
  <si>
    <t>1:1:49598:5</t>
  </si>
  <si>
    <t>H.3.05 chondrite meteorite</t>
  </si>
  <si>
    <t>1:1:52390:5</t>
  </si>
  <si>
    <t>E3-an chondrite meteorite</t>
  </si>
  <si>
    <t>1:1:52391:4</t>
  </si>
  <si>
    <t>E5-an chondrite meteorite</t>
  </si>
  <si>
    <t>1:1:49830:8</t>
  </si>
  <si>
    <t>Kakangari chondrite meteorite</t>
  </si>
  <si>
    <t>1:1:49834:4</t>
  </si>
  <si>
    <t>Rumuruti chondrite meteorite</t>
  </si>
  <si>
    <t>1:1:52380:8</t>
  </si>
  <si>
    <t>IAB-sHL-an iron meteorite</t>
  </si>
  <si>
    <t>1:1:52392:3</t>
  </si>
  <si>
    <t>IAB-ung iron meteorite</t>
  </si>
  <si>
    <t>1:1:52338:5</t>
  </si>
  <si>
    <t>Ureilite-pmict meteorite</t>
  </si>
  <si>
    <t>1:1:52381:7</t>
  </si>
  <si>
    <t>IC-an iron meteorite</t>
  </si>
  <si>
    <t>1:1:52382:6</t>
  </si>
  <si>
    <t>IIAB-an iron meteorite</t>
  </si>
  <si>
    <t>1:1:52383:5</t>
  </si>
  <si>
    <t>IIE-an iron meteorite</t>
  </si>
  <si>
    <t>1:1:52384:4</t>
  </si>
  <si>
    <t>IIIAB-an iron meteorite</t>
  </si>
  <si>
    <t>1:1:52385:3</t>
  </si>
  <si>
    <t>IIIE-an iron meteorite</t>
  </si>
  <si>
    <t>1:1:52386:2</t>
  </si>
  <si>
    <t>IVA-an iron meteorite</t>
  </si>
  <si>
    <t>1:1:52363:1</t>
  </si>
  <si>
    <t>C-ung chondrite meteorite</t>
  </si>
  <si>
    <t>1:1:52387:1</t>
  </si>
  <si>
    <t>CK5-an chondrite meteorite</t>
  </si>
  <si>
    <t>1:1:49582:4 | 1:1:49583:3</t>
  </si>
  <si>
    <t>1:1:49601:8 | 1:1:49602:7</t>
  </si>
  <si>
    <t>timestamp</t>
  </si>
  <si>
    <t>line 1</t>
  </si>
  <si>
    <t>line3</t>
  </si>
  <si>
    <t>line4</t>
  </si>
  <si>
    <t>line5</t>
  </si>
  <si>
    <t>line6</t>
  </si>
  <si>
    <t>line 7</t>
  </si>
  <si>
    <t>line8</t>
  </si>
  <si>
    <t>line9</t>
  </si>
  <si>
    <t>assembled</t>
  </si>
  <si>
    <t>Stony (non-metallic) meteorites that have not been modified due to melting or differentiation of the parent body. They include some of the most primitive known meteorites. The C chondrites represent only a small proportion (4.6%) of meteorite falls.</t>
  </si>
  <si>
    <t>The Mighei (CM) chemical group of carbonaceous chondrites, distinguished by small chondrules and refractory inclusions (0.3 mm), abundant fine-grained matrix (about 70 vol percent), and abundant hydrated minerals.</t>
  </si>
  <si>
    <t>A major class of chondrites, distinguished by sub-solar Mg/Si and refractory/Si ratios, oxygen isotope compositions that plot above the terrestrial fractionation line, and a large volume percentage of chondrules, with only 10-15 volume percent fine-grained matrix.</t>
  </si>
  <si>
    <t>The low-iron (EL) chemical group of enstatite chondrites, distinguished by moderately large chondrules (0.6 mm), abundant metal (~10 volume percent) that is Si-bearing (~1 wt%), and an extremely reduced mineral assemblage containing ferroan alabandite ((Fe,Mn)S)</t>
  </si>
  <si>
    <t>A diogenite composed of ≥90 volume percent orthopyroxene.</t>
  </si>
  <si>
    <t>A diogenite containing 10 to 40 volume percent olivine and up to 10 volume percent plagioclase.</t>
  </si>
  <si>
    <t>A diogenite composed of 40-90 volume percent olivine.</t>
  </si>
  <si>
    <t>A pyroxene-rich diogenite with &gt;10% volume percent plagioclase.</t>
  </si>
  <si>
    <t>A diogenite composed of â‰¥90 volume percent olivine</t>
  </si>
  <si>
    <t>The low-iron (L) chemical group of ordinary chondrites, distinguished by their relatively low siderophile element content, moderate sized chondrules (~0.7 mm), and oxygen isotope compositions that intermediate between H chondrites and LL chondrites.  Parent body is possibly 433 Eros, 8 Flora or the Flora family as a whole</t>
  </si>
  <si>
    <t>The low-iron, low metal (LL) chemical group of ordinary chondrites, distinguished by their low siderophile element content, fairly large chondrules (~0.9 mm), and oxygen isotope compositions that are further above the terrestrial fractionation line than those of other ordinary chondrites.</t>
  </si>
  <si>
    <t>Octahedrite is a historical classification for iron meteorites based on structure. It shows a Widmanstatten pattern of kamacite exsolution lamellae out of taenite. See also octahedrite (of Werner), a synonym of anatase.</t>
  </si>
  <si>
    <t>The Karoonda (CK) chemical group of carbonaceous chondrites, distinguished by abundant fine-grained matrix (~75 volume percent), mm-sized chondrules that lack igneous rims, relatively few refractory inclusions, and a high degree of oxidation; most CK chondrites have been metamorphosed to type 4 or higher.</t>
  </si>
  <si>
    <t>The Renazzo (CR) chemical group of carbonaceous chondrites, distinguished by large, abundant porphyritic chondrules (0.7 mm, 50 volume percent), many of which have igneous rims, few refractory inclusions, abundant metal (5-8 volume percent), and fine-grained matrix that is commonly hydrated (up to 50 volume percent).</t>
  </si>
  <si>
    <t>The Vigarano (CV) chemical group of carbonaceous chondrites, distinguished by large (mm-sized) chondrules, many of which are surrounded by igneous rims, large refractory inclusions and abundant matrix (40 volume percent); CV chondrites may be divided into oxidized and reduced subgroups.</t>
  </si>
  <si>
    <t>The high-iron (H) chemical group of ordinary chondrites, distinguished by their high siderophile element content, relatively small chondrules (~0.3 mm), and oxygen isotope compositions that are closer to the terrestrial fractionation line than those of other ordinary chondrites.</t>
  </si>
  <si>
    <t>A major class of chondrites that mostly have sub-solar Mg/Si and refractory/Si ratios, oxygen isotope compositions that plot near the terrestrial fractionation line, and highly reduced mineral assemblages (containing little FeO, Si-bearing metal, and sulfides of elements normally considered lithophile.</t>
  </si>
  <si>
    <t>Chondrites that are characterized by abundant chondrules, low degrees of aqueous alteration, and unequilibrated mineral assemblages. Many of the low-Ca pyroxene grains are monoclinic and exhibit polysynthetic twinning. The type 3 chondrites may be divided into subtypes ranging from 3.00 (least metamorphosed) to 3.9 (nearly metamorphosed to type 4 levels). If primary igneous glass occurs in the chondrules, it belongs to type 3.</t>
  </si>
  <si>
    <t>Chondrites that are characterized by abundant chondrules, and have been metamorphosed under conditions sufficient to homogenize olivine compositions and recrystallize fine-grained matrix. Some of the low-Ca pyroxene grains may be monoclinic and exhibit polysynthetic twinning. Primary igneous chondrule glass is absent.</t>
  </si>
  <si>
    <t>Chondrites that have been metamorphosed under conditions sufficient to homogenize all mineral compositions, convert all low-Ca pyroxene to orthopyroxene, coarsen secondary phases such as feldspar to sizes ≥50 µm, and obliterate many chondrule outlines; no melting has occurred.</t>
  </si>
  <si>
    <t>Acapulcoites, named after the Acapulco, Mexico, fall of 1913, and lodranites, named after the Lodran, Pakistan, fall of 1868, are closely related, equigranular meteorites; acapulcoites are finer grained than lodranites and contain rare, relict chondrules, and there are transitional meteorites between the two types (e.g., EET 84302, GRA 95209). Mineral assemblages are similar to, but distinct from those of ordinary chondrites. Compositions are subchondritic, with lodranites showing a higher degree of fractionation.</t>
  </si>
  <si>
    <t>Winonaites, named after the Winona, Arizona, find of 1928, are equigranular rocks, some of which may contain relict chondrules, that have mineralogy and composition that are similar to chondrites.The mineral assemblage is more reduced than that of H chondrites. Winonaites are related to the silicate inclusions found in IAB complex irons.</t>
  </si>
  <si>
    <t>Angrites, named after the Angra dos Reis, Brazil, fall of 1869, are a relatively rare type of basaltic achondrite with low alkali contents, high Ca/Al ratios, and a distinctive mineral assemblage, generally including Al-Ca-Ti-rich pyroxene, Ca-rich plagioclase, and Ca-rich olivine that may have exsolved the mineral kirschsteinite.</t>
  </si>
  <si>
    <t>Aubrites, named after the Aubres, France, fall of 1836, are enstatite achondrites. Most are breccias (Shallowater being a notable exception) containing igneous and impact-melted clasts. Like enstatite chondrites, aubrites have highly reduced mineralogy, but they probably do not come from the same parent asteroid as either EH or EL chondrites.</t>
  </si>
  <si>
    <t>Howardites are an abundant group of polymict-breccia achondrites that appear to represent mixtures of eucrites and diogenites (these three linked groups are collectively known as HED meteorites and may come from asteroid 4 Vesta). The main minerals in howardites are pyroxene (largely orthopyroxene) and Na-poor plagioclase. A minority of howardites are rich in solar-wind noble gases and thus inferred to be regolith breccias.</t>
  </si>
  <si>
    <t>Eucrites are the most abundant type of basaltic achondrite, linked by geochemical traits such as oxygen isotopic ratios and certain elemental ratios, of which Fe/Mn is the most widely cited. The main minerals in eucrites are Fe-rich pyroxene and Na-poor plagioclase. The eucrites are strongly linked with the diogenites and howardites; the three groups are collectively known as HED meteorites and may come from asteroid 4 Vesta.  Note that the name eucrite was previously improperly applied to varieties of gabbro, usually ophitic, where the plagioclase was bytownite with both ortho- and clino-pyroxenes and olivine. An important rock type in the Tertiary complexes of Scotland, UK. This term should no longer be used as a rock name.</t>
  </si>
  <si>
    <t>Diogenites are an abundant type of achondrite, linked by geochemical traits such as oxygen isotopic ratios and certain elemental ratios, of which Fe/Mn is the most widely cited. The dominant mineral in diogenites is orthopyroxene. The diogenites are strongly linked with two other achondrite groups: eucrites and howardites; the three groups are collectively known as HED meteorites and may come from asteroid 4 Vesta.</t>
  </si>
  <si>
    <t>A stony-iron meteorite composed essentially of large single glassy crystals of olivine (forsterite) embedded in a network of nickel-iron, with accessory troilite, chromite, phosphide, various phosphate minerals, and sometimes pyroxene. Pallasites are believed to have been formed at the interface of the stony mantle and metal core of layered planetoids. For a long time, pallasites have been divided into two groups, Main Group (MGP) and the Eagle Station grouplet (PES), based on their oxygen isotopic signatures and forsterite compositions. However, with the new millennium came not only new pallasite samples, but new pallasite subtypes. Thus, in only a few years, the number of pallasite parent bodies has increased from two to five isotopically and/or mineralogically distinct objects, with Scott (2007) suggesting as many as seven.</t>
  </si>
  <si>
    <t>A pallasite belonging to the main chemical group. Metal compositions in all PMG are closely related to those in evolved IIIAB irons, and are generally consistent with their formation in the IIIAB parent asteroid. The O-isotope composition of their olivine (forsterite) is a main parameter to separate the main-group pallasites (PMG) and Eagle-Station pallasites (PES). The mean PMG delta 17O (=delta17O- 0.52·delta 18O) value is -0.28 +/- 0.06 per mil. The mean PES delta17O value is much lower, about -4.6 per mil. The major mineral assemblages of most PMG are quite simple, consisting of troilite and schreibersite in addition to olivine (forsterite), kamacite and taenite; olivine Fa values range from 11 to 18 mole percent , with  greater than 80 percent of the values in the range 11.6–13.5 mole percent (Buseck and Goldstein, 1969). Zaisho (Fa18.3) has the highest Fa among PMG (Buseck and Clark, 1984). In addition, several characteristic minor minerals have been reported. Chromite is relatively abundant; some grains have euhedral shapes and seem to have crystallised from a melt (Buseck, 1977). A few chromites are quite massive; a large (10-cm) chromite-olivine assemblage in Brenham was described in detail by Wasson et al. (1999). Phosphates are minor phases in all PMG (common only in Springwater); the identified phosphates are farringtonite, stanfieldite, and merrillite (Buseck and Holdsworth, 1977). Phosphoran olivine is rare in most pallasites but minor amounts may be ubiquitous in the more oxidized PMG (Buseck, 1977; Buseck and Clark, 1984). Low-Ca pyroxene is a rare accessory phase (Buseck, 1977). Some PMG are assigned to an anomalous subset (PMG-an) because of their anomalous properties (deviant metal compositions or appreciably higher olivine Fa contents).</t>
  </si>
  <si>
    <t>A grouplet named for a pallasite that was found near Eagle Station, Kentucky, in 1880. They all contain highly fragmented olivines, intermixed with small, irregular olivine splinters, in a nickel-iron matrix. Although their mineral assemblage is similar to PMG pallasites, they have different metal and olivine (forsterite) compositions. In fact, the mean Ni content of the metal is higher, and olivine Fa contents are slightly higher (about Fa20) than those in the Zaisho (Fa18.3), which has the highest Fa among PMG. The O-isotope composition of their olivine (forsterite) is a main parameter to separate the Eagle-Station pallasites (PES) and main-group pallasites (PMG). The mean PMG delta 17O (= delta17O-0.52·delta18O) value is -0.28 +/- 0.06 per mil. The mean PES delta 17O value is much lower, about -4.6 per mil.</t>
  </si>
  <si>
    <t>An ordinary chondrite from the LL group that is petrologic type 7. Note: Type 7 designates chondrites which have been metamorphosed to nearly the point of melting. Minerals are equilibrated and chondrules are indistinct or absent. This term is not used consistently or widely accepted in the literature.</t>
  </si>
  <si>
    <t>An older structural classification of iron meteorites based on the absence of the Widmanstatten pattern, which can be assessed from the appearance of polished cross-sections that have been etched with acid. They have a low abundance of nickel relative to iron.</t>
  </si>
  <si>
    <t>The high-iron (EH) chemical group of enstatite chondrites, distinguished by small chondrules (0.2 mm), abundant metal (~10 volume percent) that is rich in Si (~3 wt percent ), and an extremely reduced mineral assemblage including niningerite (MgS) and perryite (Fe-Ni silicide)</t>
  </si>
  <si>
    <t>A chondrite characterised by large amounts of dusty matrix and oxygen isotope compositions similar to carbonaceous chondrites, highly reduced mineral compositions and high metal abundances (6 percent  to 10 percent  by volume) that are most like enstatite chondrites, and concentrations of refractory lithophile elements that are most like ordinary chondrites.</t>
  </si>
  <si>
    <t>A chondrite, different from ordinary chondrite in having a more dusty matrix (about 50 percent  of the rock), more oxidized, containing little metallic Fe-Ni and with a higher 17O ratio. Most of the metal is in the form of sulfides. They appear to come from an asteroid regolith.</t>
  </si>
  <si>
    <t>Ureilites, named after the Novo-Urei, Russia, fall of 1886, are ultramafic achondrites that contain interstitial carbon as graphite or diamond. The majority consist of olivine + uninverted pigeonite. In a few, the pyroxene is augite and/or orthopyroxene instead. In addition, about 10 percent  of ureilites are polymict breccias, containing a few percent of feldspathic material in addition to typical ureilitic components.</t>
  </si>
  <si>
    <t>skos:topConceptOf &lt;https://mindat.org/etmat/cscheme&gt; ;</t>
  </si>
  <si>
    <t>Primitive achondrite meteorites almost entirely made from olivine; the parent body might be the Nenetta Asteroid (289 Nenetta). Named after Brachina, a meteorite found in Australia in 1974.</t>
  </si>
  <si>
    <t>Ataxites are a structural class of iron meteorites with a high nickel content and show no Widmanstatten patterns upon etching. Ataxites are the most nickel-rich meteorites known; they usually contain over 18 percent nickel. The high nickel content is the reason that they do not develop a Widmanstätten structure, because in this case kamacite can be exsolved from taenite only at such a low temperature (below about 600 degrees C) where diffusion is already too slow. Most ataxites belong to the IVB group or are classified as 'Iron, ungrouped' because they do not fit in any of the groups currently recognized by meteorite classification. Some ataxites belong to the IAB group and fall into the sHL (high-Au, low-Ni subgroup), sLH (low-Au, high-Ni subgroup), sHH (high-Au, high-Ni subgroup) and 'ung' subgroup (does not fit any subgroup of IAB). Only a couple of ataxites have been classified into the IAB complex and the IIF, IVA, IIAB, IIIAB groups.</t>
  </si>
  <si>
    <t>blank</t>
  </si>
  <si>
    <t xml:space="preserve"> </t>
  </si>
  <si>
    <t>metbullsource</t>
  </si>
  <si>
    <t xml:space="preserve">&lt;etma:1:1:11263:9&gt;  rdf:type skos:Concept ;  </t>
  </si>
  <si>
    <t xml:space="preserve">&lt;etma:1:1:49515:2&gt;  rdf:type skos:Concept ;  </t>
  </si>
  <si>
    <t xml:space="preserve">&lt;etma:1:1:49517:0&gt;  rdf:type skos:Concept ;  </t>
  </si>
  <si>
    <t xml:space="preserve">&lt;etma:1:1:49518:9&gt;  rdf:type skos:Concept ;  </t>
  </si>
  <si>
    <t xml:space="preserve">&lt;etma:1:1:49519:8&gt;  rdf:type skos:Concept ;  </t>
  </si>
  <si>
    <t xml:space="preserve">&lt;etma:1:1:49520:4&gt;  rdf:type skos:Concept ;  </t>
  </si>
  <si>
    <t xml:space="preserve">&lt;etma:1:1:49522:2&gt;  rdf:type skos:Concept ;  </t>
  </si>
  <si>
    <t xml:space="preserve">&lt;etma:1:1:49523:1&gt;  rdf:type skos:Concept ;  </t>
  </si>
  <si>
    <t xml:space="preserve">&lt;etma:1:1:49524:0&gt;  rdf:type skos:Concept ;  </t>
  </si>
  <si>
    <t xml:space="preserve">&lt;etma:1:1:49525:9&gt;  rdf:type skos:Concept ;  </t>
  </si>
  <si>
    <t xml:space="preserve">&lt;etma:1:1:49526:8&gt;  rdf:type skos:Concept ;  </t>
  </si>
  <si>
    <t xml:space="preserve">&lt;etma:1:1:49527:7&gt;  rdf:type skos:Concept ;  </t>
  </si>
  <si>
    <t xml:space="preserve">&lt;etma:1:1:49528:6&gt;  rdf:type skos:Concept ;  </t>
  </si>
  <si>
    <t xml:space="preserve">&lt;etma:1:1:49529:5&gt;  rdf:type skos:Concept ;  </t>
  </si>
  <si>
    <t xml:space="preserve">&lt;etma:1:1:49530:1&gt;  rdf:type skos:Concept ;  </t>
  </si>
  <si>
    <t xml:space="preserve">&lt;etma:1:1:49531:0&gt;  rdf:type skos:Concept ;  </t>
  </si>
  <si>
    <t xml:space="preserve">&lt;etma:1:1:49532:9&gt;  rdf:type skos:Concept ;  </t>
  </si>
  <si>
    <t xml:space="preserve">&lt;etma:1:1:49534:7&gt;  rdf:type skos:Concept ;  </t>
  </si>
  <si>
    <t xml:space="preserve">&lt;etma:1:1:49535:6&gt;  rdf:type skos:Concept ;  </t>
  </si>
  <si>
    <t xml:space="preserve">&lt;etma:1:1:49536:5&gt;  rdf:type skos:Concept ;  </t>
  </si>
  <si>
    <t xml:space="preserve">&lt;etma:1:1:49537:4&gt;  rdf:type skos:Concept ;  </t>
  </si>
  <si>
    <t xml:space="preserve">&lt;etma:1:1:49538:3&gt;  rdf:type skos:Concept ;  </t>
  </si>
  <si>
    <t xml:space="preserve">&lt;etma:1:1:49540:8&gt;  rdf:type skos:Concept ;  </t>
  </si>
  <si>
    <t xml:space="preserve">&lt;etma:1:1:49542:6&gt;  rdf:type skos:Concept ;  </t>
  </si>
  <si>
    <t xml:space="preserve">&lt;etma:1:1:49543:5&gt;  rdf:type skos:Concept ;  </t>
  </si>
  <si>
    <t xml:space="preserve">&lt;etma:1:1:49544:4&gt;  rdf:type skos:Concept ;  </t>
  </si>
  <si>
    <t xml:space="preserve">&lt;etma:1:1:49545:3&gt;  rdf:type skos:Concept ;  </t>
  </si>
  <si>
    <t xml:space="preserve">&lt;etma:1:1:49546:2&gt;  rdf:type skos:Concept ;  </t>
  </si>
  <si>
    <t xml:space="preserve">&lt;etma:1:1:49547:1&gt;  rdf:type skos:Concept ;  </t>
  </si>
  <si>
    <t xml:space="preserve">&lt;etma:1:1:49548:0&gt;  rdf:type skos:Concept ;  </t>
  </si>
  <si>
    <t xml:space="preserve">&lt;etma:1:1:49549:9&gt;  rdf:type skos:Concept ;  </t>
  </si>
  <si>
    <t xml:space="preserve">&lt;etma:1:1:49550:5&gt;  rdf:type skos:Concept ;  </t>
  </si>
  <si>
    <t xml:space="preserve">&lt;etma:1:1:49551:4&gt;  rdf:type skos:Concept ;  </t>
  </si>
  <si>
    <t xml:space="preserve">&lt;etma:1:1:49552:3&gt;  rdf:type skos:Concept ;  </t>
  </si>
  <si>
    <t xml:space="preserve">&lt;etma:1:1:49553:2&gt;  rdf:type skos:Concept ;  </t>
  </si>
  <si>
    <t xml:space="preserve">&lt;etma:1:1:49554:1&gt;  rdf:type skos:Concept ;  </t>
  </si>
  <si>
    <t xml:space="preserve">&lt;etma:1:1:49556:9&gt;  rdf:type skos:Concept ;  </t>
  </si>
  <si>
    <t xml:space="preserve">&lt;etma:1:1:49557:8&gt;  rdf:type skos:Concept ;  </t>
  </si>
  <si>
    <t xml:space="preserve">&lt;etma:1:1:49558:7&gt;  rdf:type skos:Concept ;  </t>
  </si>
  <si>
    <t xml:space="preserve">&lt;etma:1:1:49559:6&gt;  rdf:type skos:Concept ;  </t>
  </si>
  <si>
    <t xml:space="preserve">&lt;etma:1:1:49560:2&gt;  rdf:type skos:Concept ;  </t>
  </si>
  <si>
    <t xml:space="preserve">&lt;etma:1:1:49561:1&gt;  rdf:type skos:Concept ;  </t>
  </si>
  <si>
    <t xml:space="preserve">&lt;etma:1:1:49562:0&gt;  rdf:type skos:Concept ;  </t>
  </si>
  <si>
    <t xml:space="preserve">&lt;etma:1:1:49563:9&gt;  rdf:type skos:Concept ;  </t>
  </si>
  <si>
    <t xml:space="preserve">&lt;etma:1:1:49564:8&gt;  rdf:type skos:Concept ;  </t>
  </si>
  <si>
    <t xml:space="preserve">&lt;etma:1:1:49565:7&gt;  rdf:type skos:Concept ;  </t>
  </si>
  <si>
    <t xml:space="preserve">&lt;etma:1:1:49566:6&gt;  rdf:type skos:Concept ;  </t>
  </si>
  <si>
    <t xml:space="preserve">&lt;etma:1:1:49567:5&gt;  rdf:type skos:Concept ;  </t>
  </si>
  <si>
    <t xml:space="preserve">&lt;etma:1:1:49568:4&gt;  rdf:type skos:Concept ;  </t>
  </si>
  <si>
    <t xml:space="preserve">&lt;etma:1:1:49569:3&gt;  rdf:type skos:Concept ;  </t>
  </si>
  <si>
    <t xml:space="preserve">&lt;etma:1:1:49571:8&gt;  rdf:type skos:Concept ;  </t>
  </si>
  <si>
    <t xml:space="preserve">&lt;etma:1:1:49572:7&gt;  rdf:type skos:Concept ;  </t>
  </si>
  <si>
    <t xml:space="preserve">&lt;etma:1:1:49573:6&gt;  rdf:type skos:Concept ;  </t>
  </si>
  <si>
    <t xml:space="preserve">&lt;etma:1:1:49574:5&gt;  rdf:type skos:Concept ;  </t>
  </si>
  <si>
    <t xml:space="preserve">&lt;etma:1:1:49575:4&gt;  rdf:type skos:Concept ;  </t>
  </si>
  <si>
    <t xml:space="preserve">&lt;etma:1:1:49576:3&gt;  rdf:type skos:Concept ;  </t>
  </si>
  <si>
    <t xml:space="preserve">&lt;etma:1:1:49578:1&gt;  rdf:type skos:Concept ;  </t>
  </si>
  <si>
    <t xml:space="preserve">&lt;etma:1:1:49579:0&gt;  rdf:type skos:Concept ;  </t>
  </si>
  <si>
    <t xml:space="preserve">&lt;etma:1:1:49580:6&gt;  rdf:type skos:Concept ;  </t>
  </si>
  <si>
    <t xml:space="preserve">&lt;etma:1:1:49581:5&gt;  rdf:type skos:Concept ;  </t>
  </si>
  <si>
    <t xml:space="preserve">&lt;etma:1:1:49584:2&gt;  rdf:type skos:Concept ;  </t>
  </si>
  <si>
    <t xml:space="preserve">&lt;etma:1:1:49585:1&gt;  rdf:type skos:Concept ;  </t>
  </si>
  <si>
    <t xml:space="preserve">&lt;etma:1:1:49586:0&gt;  rdf:type skos:Concept ;  </t>
  </si>
  <si>
    <t xml:space="preserve">&lt;etma:1:1:49587:9&gt;  rdf:type skos:Concept ;  </t>
  </si>
  <si>
    <t xml:space="preserve">&lt;etma:1:1:49588:8&gt;  rdf:type skos:Concept ;  </t>
  </si>
  <si>
    <t xml:space="preserve">&lt;etma:1:1:49589:7&gt;  rdf:type skos:Concept ;  </t>
  </si>
  <si>
    <t xml:space="preserve">&lt;etma:1:1:49590:3&gt;  rdf:type skos:Concept ;  </t>
  </si>
  <si>
    <t xml:space="preserve">&lt;etma:1:1:49591:2&gt;  rdf:type skos:Concept ;  </t>
  </si>
  <si>
    <t xml:space="preserve">&lt;etma:1:1:49592:1&gt;  rdf:type skos:Concept ;  </t>
  </si>
  <si>
    <t xml:space="preserve">&lt;etma:1:1:49593:0&gt;  rdf:type skos:Concept ;  </t>
  </si>
  <si>
    <t xml:space="preserve">&lt;etma:1:1:49595:8&gt;  rdf:type skos:Concept ;  </t>
  </si>
  <si>
    <t xml:space="preserve">&lt;etma:1:1:49596:7&gt;  rdf:type skos:Concept ;  </t>
  </si>
  <si>
    <t xml:space="preserve">&lt;etma:1:1:49597:6&gt;  rdf:type skos:Concept ;  </t>
  </si>
  <si>
    <t xml:space="preserve">&lt;etma:1:1:49599:4&gt;  rdf:type skos:Concept ;  </t>
  </si>
  <si>
    <t xml:space="preserve">&lt;etma:1:1:49600:9&gt;  rdf:type skos:Concept ;  </t>
  </si>
  <si>
    <t xml:space="preserve">&lt;etma:1:1:49603:6&gt;  rdf:type skos:Concept ;  </t>
  </si>
  <si>
    <t xml:space="preserve">&lt;etma:1:1:49604:5&gt;  rdf:type skos:Concept ;  </t>
  </si>
  <si>
    <t xml:space="preserve">&lt;etma:1:1:49606:3&gt;  rdf:type skos:Concept ;  </t>
  </si>
  <si>
    <t xml:space="preserve">&lt;etma:1:1:49607:2&gt;  rdf:type skos:Concept ;  </t>
  </si>
  <si>
    <t xml:space="preserve">&lt;etma:1:1:49608:1&gt;  rdf:type skos:Concept ;  </t>
  </si>
  <si>
    <t xml:space="preserve">&lt;etma:1:1:49609:0&gt;  rdf:type skos:Concept ;  </t>
  </si>
  <si>
    <t xml:space="preserve">&lt;etma:1:1:49610:6&gt;  rdf:type skos:Concept ;  </t>
  </si>
  <si>
    <t xml:space="preserve">&lt;etma:1:1:49612:4&gt;  rdf:type skos:Concept ;  </t>
  </si>
  <si>
    <t xml:space="preserve">&lt;etma:1:1:49614:2&gt;  rdf:type skos:Concept ;  </t>
  </si>
  <si>
    <t xml:space="preserve">&lt;etma:1:1:49615:1&gt;  rdf:type skos:Concept ;  </t>
  </si>
  <si>
    <t xml:space="preserve">&lt;etma:1:1:49616:0&gt;  rdf:type skos:Concept ;  </t>
  </si>
  <si>
    <t xml:space="preserve">&lt;etma:1:1:49617:9&gt;  rdf:type skos:Concept ;  </t>
  </si>
  <si>
    <t xml:space="preserve">&lt;etma:1:1:49618:8&gt;  rdf:type skos:Concept ;  </t>
  </si>
  <si>
    <t xml:space="preserve">&lt;etma:1:1:49619:7&gt;  rdf:type skos:Concept ;  </t>
  </si>
  <si>
    <t xml:space="preserve">&lt;etma:1:1:49620:3&gt;  rdf:type skos:Concept ;  </t>
  </si>
  <si>
    <t xml:space="preserve">&lt;etma:1:1:49621:2&gt;  rdf:type skos:Concept ;  </t>
  </si>
  <si>
    <t xml:space="preserve">&lt;etma:1:1:49622:1&gt;  rdf:type skos:Concept ;  </t>
  </si>
  <si>
    <t xml:space="preserve">&lt;etma:1:1:49623:0&gt;  rdf:type skos:Concept ;  </t>
  </si>
  <si>
    <t xml:space="preserve">&lt;etma:1:1:49625:8&gt;  rdf:type skos:Concept ;  </t>
  </si>
  <si>
    <t xml:space="preserve">&lt;etma:1:1:49626:7&gt;  rdf:type skos:Concept ;  </t>
  </si>
  <si>
    <t xml:space="preserve">&lt;etma:1:1:49627:6&gt;  rdf:type skos:Concept ;  </t>
  </si>
  <si>
    <t xml:space="preserve">&lt;etma:1:1:49628:5&gt;  rdf:type skos:Concept ;  </t>
  </si>
  <si>
    <t xml:space="preserve">&lt;etma:1:1:49629:4&gt;  rdf:type skos:Concept ;  </t>
  </si>
  <si>
    <t xml:space="preserve">&lt;etma:1:1:49630:0&gt;  rdf:type skos:Concept ;  </t>
  </si>
  <si>
    <t xml:space="preserve">&lt;etma:1:1:49631:9&gt;  rdf:type skos:Concept ;  </t>
  </si>
  <si>
    <t xml:space="preserve">&lt;etma:1:1:49632:8&gt;  rdf:type skos:Concept ;  </t>
  </si>
  <si>
    <t xml:space="preserve">&lt;etma:1:1:49633:7&gt;  rdf:type skos:Concept ;  </t>
  </si>
  <si>
    <t xml:space="preserve">&lt;etma:1:1:49634:6&gt;  rdf:type skos:Concept ;  </t>
  </si>
  <si>
    <t xml:space="preserve">&lt;etma:1:1:49635:5&gt;  rdf:type skos:Concept ;  </t>
  </si>
  <si>
    <t xml:space="preserve">&lt;etma:1:1:49636:4&gt;  rdf:type skos:Concept ;  </t>
  </si>
  <si>
    <t xml:space="preserve">&lt;etma:1:1:49637:3&gt;  rdf:type skos:Concept ;  </t>
  </si>
  <si>
    <t xml:space="preserve">&lt;etma:1:1:49638:2&gt;  rdf:type skos:Concept ;  </t>
  </si>
  <si>
    <t xml:space="preserve">&lt;etma:1:1:49639:1&gt;  rdf:type skos:Concept ;  </t>
  </si>
  <si>
    <t xml:space="preserve">&lt;etma:1:1:49640:7&gt;  rdf:type skos:Concept ;  </t>
  </si>
  <si>
    <t xml:space="preserve">&lt;etma:1:1:49641:6&gt;  rdf:type skos:Concept ;  </t>
  </si>
  <si>
    <t xml:space="preserve">&lt;etma:1:1:49642:5&gt;  rdf:type skos:Concept ;  </t>
  </si>
  <si>
    <t xml:space="preserve">&lt;etma:1:1:49643:4&gt;  rdf:type skos:Concept ;  </t>
  </si>
  <si>
    <t xml:space="preserve">&lt;etma:1:1:49644:3&gt;  rdf:type skos:Concept ;  </t>
  </si>
  <si>
    <t xml:space="preserve">&lt;etma:1:1:49645:2&gt;  rdf:type skos:Concept ;  </t>
  </si>
  <si>
    <t xml:space="preserve">&lt;etma:1:1:49646:1&gt;  rdf:type skos:Concept ;  </t>
  </si>
  <si>
    <t xml:space="preserve">&lt;etma:1:1:49647:0&gt;  rdf:type skos:Concept ;  </t>
  </si>
  <si>
    <t xml:space="preserve">&lt;etma:1:1:49648:9&gt;  rdf:type skos:Concept ;  </t>
  </si>
  <si>
    <t xml:space="preserve">&lt;etma:1:1:49649:8&gt;  rdf:type skos:Concept ;  </t>
  </si>
  <si>
    <t xml:space="preserve">&lt;etma:1:1:49650:4&gt;  rdf:type skos:Concept ;  </t>
  </si>
  <si>
    <t xml:space="preserve">&lt;etma:1:1:49651:3&gt;  rdf:type skos:Concept ;  </t>
  </si>
  <si>
    <t xml:space="preserve">&lt;etma:1:1:49652:2&gt;  rdf:type skos:Concept ;  </t>
  </si>
  <si>
    <t xml:space="preserve">&lt;etma:1:1:49653:1&gt;  rdf:type skos:Concept ;  </t>
  </si>
  <si>
    <t xml:space="preserve">&lt;etma:1:1:49654:0&gt;  rdf:type skos:Concept ;  </t>
  </si>
  <si>
    <t xml:space="preserve">&lt;etma:1:1:49655:9&gt;  rdf:type skos:Concept ;  </t>
  </si>
  <si>
    <t xml:space="preserve">&lt;etma:1:1:49656:8&gt;  rdf:type skos:Concept ;  </t>
  </si>
  <si>
    <t xml:space="preserve">&lt;etma:1:1:49657:7&gt;  rdf:type skos:Concept ;  </t>
  </si>
  <si>
    <t xml:space="preserve">&lt;etma:1:1:49658:6&gt;  rdf:type skos:Concept ;  </t>
  </si>
  <si>
    <t xml:space="preserve">&lt;etma:1:1:49659:5&gt;  rdf:type skos:Concept ;  </t>
  </si>
  <si>
    <t xml:space="preserve">&lt;etma:1:1:49660:1&gt;  rdf:type skos:Concept ;  </t>
  </si>
  <si>
    <t xml:space="preserve">&lt;etma:1:1:49661:0&gt;  rdf:type skos:Concept ;  </t>
  </si>
  <si>
    <t xml:space="preserve">&lt;etma:1:1:49662:9&gt;  rdf:type skos:Concept ;  </t>
  </si>
  <si>
    <t xml:space="preserve">&lt;etma:1:1:49663:8&gt;  rdf:type skos:Concept ;  </t>
  </si>
  <si>
    <t xml:space="preserve">&lt;etma:1:1:49664:7&gt;  rdf:type skos:Concept ;  </t>
  </si>
  <si>
    <t xml:space="preserve">&lt;etma:1:1:49665:6&gt;  rdf:type skos:Concept ;  </t>
  </si>
  <si>
    <t xml:space="preserve">&lt;etma:1:1:49666:5&gt;  rdf:type skos:Concept ;  </t>
  </si>
  <si>
    <t xml:space="preserve">&lt;etma:1:1:49667:4&gt;  rdf:type skos:Concept ;  </t>
  </si>
  <si>
    <t xml:space="preserve">&lt;etma:1:1:49668:3&gt;  rdf:type skos:Concept ;  </t>
  </si>
  <si>
    <t xml:space="preserve">&lt;etma:1:1:49669:2&gt;  rdf:type skos:Concept ;  </t>
  </si>
  <si>
    <t xml:space="preserve">&lt;etma:1:1:49670:8&gt;  rdf:type skos:Concept ;  </t>
  </si>
  <si>
    <t xml:space="preserve">&lt;etma:1:1:49671:7&gt;  rdf:type skos:Concept ;  </t>
  </si>
  <si>
    <t xml:space="preserve">&lt;etma:1:1:49672:6&gt;  rdf:type skos:Concept ;  </t>
  </si>
  <si>
    <t xml:space="preserve">&lt;etma:1:1:49673:5&gt;  rdf:type skos:Concept ;  </t>
  </si>
  <si>
    <t xml:space="preserve">&lt;etma:1:1:49674:4&gt;  rdf:type skos:Concept ;  </t>
  </si>
  <si>
    <t xml:space="preserve">&lt;etma:1:1:49675:3&gt;  rdf:type skos:Concept ;  </t>
  </si>
  <si>
    <t xml:space="preserve">&lt;etma:1:1:49676:2&gt;  rdf:type skos:Concept ;  </t>
  </si>
  <si>
    <t xml:space="preserve">&lt;etma:1:1:49677:1&gt;  rdf:type skos:Concept ;  </t>
  </si>
  <si>
    <t xml:space="preserve">&lt;etma:1:1:49678:0&gt;  rdf:type skos:Concept ;  </t>
  </si>
  <si>
    <t xml:space="preserve">&lt;etma:1:1:49679:9&gt;  rdf:type skos:Concept ;  </t>
  </si>
  <si>
    <t xml:space="preserve">&lt;etma:1:1:49680:5&gt;  rdf:type skos:Concept ;  </t>
  </si>
  <si>
    <t xml:space="preserve">&lt;etma:1:1:49682:3&gt;  rdf:type skos:Concept ;  </t>
  </si>
  <si>
    <t xml:space="preserve">&lt;etma:1:1:49683:2&gt;  rdf:type skos:Concept ;  </t>
  </si>
  <si>
    <t xml:space="preserve">&lt;etma:1:1:49684:1&gt;  rdf:type skos:Concept ;  </t>
  </si>
  <si>
    <t xml:space="preserve">&lt;etma:1:1:49685:0&gt;  rdf:type skos:Concept ;  </t>
  </si>
  <si>
    <t xml:space="preserve">&lt;etma:1:1:49686:9&gt;  rdf:type skos:Concept ;  </t>
  </si>
  <si>
    <t xml:space="preserve">&lt;etma:1:1:49688:7&gt;  rdf:type skos:Concept ;  </t>
  </si>
  <si>
    <t xml:space="preserve">&lt;etma:1:1:49689:6&gt;  rdf:type skos:Concept ;  </t>
  </si>
  <si>
    <t xml:space="preserve">&lt;etma:1:1:49690:2&gt;  rdf:type skos:Concept ;  </t>
  </si>
  <si>
    <t xml:space="preserve">&lt;etma:1:1:49691:1&gt;  rdf:type skos:Concept ;  </t>
  </si>
  <si>
    <t xml:space="preserve">&lt;etma:1:1:49692:0&gt;  rdf:type skos:Concept ;  </t>
  </si>
  <si>
    <t xml:space="preserve">&lt;etma:1:1:49693:9&gt;  rdf:type skos:Concept ;  </t>
  </si>
  <si>
    <t xml:space="preserve">&lt;etma:1:1:49695:7&gt;  rdf:type skos:Concept ;  </t>
  </si>
  <si>
    <t xml:space="preserve">&lt;etma:1:1:49696:6&gt;  rdf:type skos:Concept ;  </t>
  </si>
  <si>
    <t xml:space="preserve">&lt;etma:1:1:49697:5&gt;  rdf:type skos:Concept ;  </t>
  </si>
  <si>
    <t xml:space="preserve">&lt;etma:1:1:49698:4&gt;  rdf:type skos:Concept ;  </t>
  </si>
  <si>
    <t xml:space="preserve">&lt;etma:1:1:49699:3&gt;  rdf:type skos:Concept ;  </t>
  </si>
  <si>
    <t xml:space="preserve">&lt;etma:1:1:49700:8&gt;  rdf:type skos:Concept ;  </t>
  </si>
  <si>
    <t xml:space="preserve">&lt;etma:1:1:49702:6&gt;  rdf:type skos:Concept ;  </t>
  </si>
  <si>
    <t xml:space="preserve">&lt;etma:1:1:49703:5&gt;  rdf:type skos:Concept ;  </t>
  </si>
  <si>
    <t xml:space="preserve">&lt;etma:1:1:49705:3&gt;  rdf:type skos:Concept ;  </t>
  </si>
  <si>
    <t xml:space="preserve">&lt;etma:1:1:49707:1&gt;  rdf:type skos:Concept ;  </t>
  </si>
  <si>
    <t xml:space="preserve">&lt;etma:1:1:49708:0&gt;  rdf:type skos:Concept ;  </t>
  </si>
  <si>
    <t xml:space="preserve">&lt;etma:1:1:49709:9&gt;  rdf:type skos:Concept ;  </t>
  </si>
  <si>
    <t xml:space="preserve">&lt;etma:1:1:49710:5&gt;  rdf:type skos:Concept ;  </t>
  </si>
  <si>
    <t xml:space="preserve">&lt;etma:1:1:49711:4&gt;  rdf:type skos:Concept ;  </t>
  </si>
  <si>
    <t xml:space="preserve">&lt;etma:1:1:49712:3&gt;  rdf:type skos:Concept ;  </t>
  </si>
  <si>
    <t xml:space="preserve">&lt;etma:1:1:49713:2&gt;  rdf:type skos:Concept ;  </t>
  </si>
  <si>
    <t xml:space="preserve">&lt;etma:1:1:49715:0&gt;  rdf:type skos:Concept ;  </t>
  </si>
  <si>
    <t xml:space="preserve">&lt;etma:1:1:49716:9&gt;  rdf:type skos:Concept ;  </t>
  </si>
  <si>
    <t xml:space="preserve">&lt;etma:1:1:49717:8&gt;  rdf:type skos:Concept ;  </t>
  </si>
  <si>
    <t xml:space="preserve">&lt;etma:1:1:49718:7&gt;  rdf:type skos:Concept ;  </t>
  </si>
  <si>
    <t xml:space="preserve">&lt;etma:1:1:49719:6&gt;  rdf:type skos:Concept ;  </t>
  </si>
  <si>
    <t xml:space="preserve">&lt;etma:1:1:49720:2&gt;  rdf:type skos:Concept ;  </t>
  </si>
  <si>
    <t xml:space="preserve">&lt;etma:1:1:49721:1&gt;  rdf:type skos:Concept ;  </t>
  </si>
  <si>
    <t xml:space="preserve">&lt;etma:1:1:49722:0&gt;  rdf:type skos:Concept ;  </t>
  </si>
  <si>
    <t xml:space="preserve">&lt;etma:1:1:49723:9&gt;  rdf:type skos:Concept ;  </t>
  </si>
  <si>
    <t xml:space="preserve">&lt;etma:1:1:49724:8&gt;  rdf:type skos:Concept ;  </t>
  </si>
  <si>
    <t xml:space="preserve">&lt;etma:1:1:49725:7&gt;  rdf:type skos:Concept ;  </t>
  </si>
  <si>
    <t xml:space="preserve">&lt;etma:1:1:49726:6&gt;  rdf:type skos:Concept ;  </t>
  </si>
  <si>
    <t xml:space="preserve">&lt;etma:1:1:49727:5&gt;  rdf:type skos:Concept ;  </t>
  </si>
  <si>
    <t xml:space="preserve">&lt;etma:1:1:49728:4&gt;  rdf:type skos:Concept ;  </t>
  </si>
  <si>
    <t xml:space="preserve">&lt;etma:1:1:49729:3&gt;  rdf:type skos:Concept ;  </t>
  </si>
  <si>
    <t xml:space="preserve">&lt;etma:1:1:49730:9&gt;  rdf:type skos:Concept ;  </t>
  </si>
  <si>
    <t xml:space="preserve">&lt;etma:1:1:49731:8&gt;  rdf:type skos:Concept ;  </t>
  </si>
  <si>
    <t xml:space="preserve">&lt;etma:1:1:49732:7&gt;  rdf:type skos:Concept ;  </t>
  </si>
  <si>
    <t xml:space="preserve">&lt;etma:1:1:49733:6&gt;  rdf:type skos:Concept ;  </t>
  </si>
  <si>
    <t xml:space="preserve">&lt;etma:1:1:49734:5&gt;  rdf:type skos:Concept ;  </t>
  </si>
  <si>
    <t xml:space="preserve">&lt;etma:1:1:49735:4&gt;  rdf:type skos:Concept ;  </t>
  </si>
  <si>
    <t xml:space="preserve">&lt;etma:1:1:49736:3&gt;  rdf:type skos:Concept ;  </t>
  </si>
  <si>
    <t xml:space="preserve">&lt;etma:1:1:49737:2&gt;  rdf:type skos:Concept ;  </t>
  </si>
  <si>
    <t xml:space="preserve">&lt;etma:1:1:49738:1&gt;  rdf:type skos:Concept ;  </t>
  </si>
  <si>
    <t xml:space="preserve">&lt;etma:1:1:49739:0&gt;  rdf:type skos:Concept ;  </t>
  </si>
  <si>
    <t xml:space="preserve">&lt;etma:1:1:49740:6&gt;  rdf:type skos:Concept ;  </t>
  </si>
  <si>
    <t xml:space="preserve">&lt;etma:1:1:49741:5&gt;  rdf:type skos:Concept ;  </t>
  </si>
  <si>
    <t xml:space="preserve">&lt;etma:1:1:49742:4&gt;  rdf:type skos:Concept ;  </t>
  </si>
  <si>
    <t xml:space="preserve">&lt;etma:1:1:49743:3&gt;  rdf:type skos:Concept ;  </t>
  </si>
  <si>
    <t xml:space="preserve">&lt;etma:1:1:49744:2&gt;  rdf:type skos:Concept ;  </t>
  </si>
  <si>
    <t xml:space="preserve">&lt;etma:1:1:49745:1&gt;  rdf:type skos:Concept ;  </t>
  </si>
  <si>
    <t xml:space="preserve">&lt;etma:1:1:49746:0&gt;  rdf:type skos:Concept ;  </t>
  </si>
  <si>
    <t xml:space="preserve">&lt;etma:1:1:49750:3&gt;  rdf:type skos:Concept ;  </t>
  </si>
  <si>
    <t xml:space="preserve">&lt;etma:1:1:49751:2&gt;  rdf:type skos:Concept ;  </t>
  </si>
  <si>
    <t xml:space="preserve">&lt;etma:1:1:49752:1&gt;  rdf:type skos:Concept ;  </t>
  </si>
  <si>
    <t xml:space="preserve">&lt;etma:1:1:49753:0&gt;  rdf:type skos:Concept ;  </t>
  </si>
  <si>
    <t xml:space="preserve">&lt;etma:1:1:49754:9&gt;  rdf:type skos:Concept ;  </t>
  </si>
  <si>
    <t xml:space="preserve">&lt;etma:1:1:49755:8&gt;  rdf:type skos:Concept ;  </t>
  </si>
  <si>
    <t xml:space="preserve">&lt;etma:1:1:49756:7&gt;  rdf:type skos:Concept ;  </t>
  </si>
  <si>
    <t xml:space="preserve">&lt;etma:1:1:49757:6&gt;  rdf:type skos:Concept ;  </t>
  </si>
  <si>
    <t xml:space="preserve">&lt;etma:1:1:49758:5&gt;  rdf:type skos:Concept ;  </t>
  </si>
  <si>
    <t xml:space="preserve">&lt;etma:1:1:49760:0&gt;  rdf:type skos:Concept ;  </t>
  </si>
  <si>
    <t xml:space="preserve">&lt;etma:1:1:49761:9&gt;  rdf:type skos:Concept ;  </t>
  </si>
  <si>
    <t xml:space="preserve">&lt;etma:1:1:49762:8&gt;  rdf:type skos:Concept ;  </t>
  </si>
  <si>
    <t xml:space="preserve">&lt;etma:1:1:49763:7&gt;  rdf:type skos:Concept ;  </t>
  </si>
  <si>
    <t xml:space="preserve">&lt;etma:1:1:49764:6&gt;  rdf:type skos:Concept ;  </t>
  </si>
  <si>
    <t xml:space="preserve">&lt;etma:1:1:49765:5&gt;  rdf:type skos:Concept ;  </t>
  </si>
  <si>
    <t xml:space="preserve">&lt;etma:1:1:49767:3&gt;  rdf:type skos:Concept ;  </t>
  </si>
  <si>
    <t xml:space="preserve">&lt;etma:1:1:49768:2&gt;  rdf:type skos:Concept ;  </t>
  </si>
  <si>
    <t xml:space="preserve">&lt;etma:1:1:49769:1&gt;  rdf:type skos:Concept ;  </t>
  </si>
  <si>
    <t xml:space="preserve">&lt;etma:1:1:49770:7&gt;  rdf:type skos:Concept ;  </t>
  </si>
  <si>
    <t xml:space="preserve">&lt;etma:1:1:49772:5&gt;  rdf:type skos:Concept ;  </t>
  </si>
  <si>
    <t xml:space="preserve">&lt;etma:1:1:49773:4&gt;  rdf:type skos:Concept ;  </t>
  </si>
  <si>
    <t xml:space="preserve">&lt;etma:1:1:49774:3&gt;  rdf:type skos:Concept ;  </t>
  </si>
  <si>
    <t xml:space="preserve">&lt;etma:1:1:49776:1&gt;  rdf:type skos:Concept ;  </t>
  </si>
  <si>
    <t xml:space="preserve">&lt;etma:1:1:49777:0&gt;  rdf:type skos:Concept ;  </t>
  </si>
  <si>
    <t xml:space="preserve">&lt;etma:1:1:49778:9&gt;  rdf:type skos:Concept ;  </t>
  </si>
  <si>
    <t xml:space="preserve">&lt;etma:1:1:49779:8&gt;  rdf:type skos:Concept ;  </t>
  </si>
  <si>
    <t xml:space="preserve">&lt;etma:1:1:49780:4&gt;  rdf:type skos:Concept ;  </t>
  </si>
  <si>
    <t xml:space="preserve">&lt;etma:1:1:49781:3&gt;  rdf:type skos:Concept ;  </t>
  </si>
  <si>
    <t xml:space="preserve">&lt;etma:1:1:49782:2&gt;  rdf:type skos:Concept ;  </t>
  </si>
  <si>
    <t xml:space="preserve">&lt;etma:1:1:49783:1&gt;  rdf:type skos:Concept ;  </t>
  </si>
  <si>
    <t xml:space="preserve">&lt;etma:1:1:49784:0&gt;  rdf:type skos:Concept ;  </t>
  </si>
  <si>
    <t xml:space="preserve">&lt;etma:1:1:49785:9&gt;  rdf:type skos:Concept ;  </t>
  </si>
  <si>
    <t xml:space="preserve">&lt;etma:1:1:49786:8&gt;  rdf:type skos:Concept ;  </t>
  </si>
  <si>
    <t xml:space="preserve">&lt;etma:1:1:49787:7&gt;  rdf:type skos:Concept ;  </t>
  </si>
  <si>
    <t xml:space="preserve">&lt;etma:1:1:49788:6&gt;  rdf:type skos:Concept ;  </t>
  </si>
  <si>
    <t xml:space="preserve">&lt;etma:1:1:49789:5&gt;  rdf:type skos:Concept ;  </t>
  </si>
  <si>
    <t xml:space="preserve">&lt;etma:1:1:49790:1&gt;  rdf:type skos:Concept ;  </t>
  </si>
  <si>
    <t xml:space="preserve">&lt;etma:1:1:49791:0&gt;  rdf:type skos:Concept ;  </t>
  </si>
  <si>
    <t xml:space="preserve">&lt;etma:1:1:49792:9&gt;  rdf:type skos:Concept ;  </t>
  </si>
  <si>
    <t xml:space="preserve">&lt;etma:1:1:49793:8&gt;  rdf:type skos:Concept ;  </t>
  </si>
  <si>
    <t xml:space="preserve">&lt;etma:1:1:49794:7&gt;  rdf:type skos:Concept ;  </t>
  </si>
  <si>
    <t xml:space="preserve">&lt;etma:1:1:49795:6&gt;  rdf:type skos:Concept ;  </t>
  </si>
  <si>
    <t xml:space="preserve">&lt;etma:1:1:49796:5&gt;  rdf:type skos:Concept ;  </t>
  </si>
  <si>
    <t xml:space="preserve">&lt;etma:1:1:49797:4&gt;  rdf:type skos:Concept ;  </t>
  </si>
  <si>
    <t xml:space="preserve">&lt;etma:1:1:49798:3&gt;  rdf:type skos:Concept ;  </t>
  </si>
  <si>
    <t xml:space="preserve">&lt;etma:1:1:49799:2&gt;  rdf:type skos:Concept ;  </t>
  </si>
  <si>
    <t xml:space="preserve">&lt;etma:1:1:49802:5&gt;  rdf:type skos:Concept ;  </t>
  </si>
  <si>
    <t xml:space="preserve">&lt;etma:1:1:49803:4&gt;  rdf:type skos:Concept ;  </t>
  </si>
  <si>
    <t xml:space="preserve">&lt;etma:1:1:49804:3&gt;  rdf:type skos:Concept ;  </t>
  </si>
  <si>
    <t xml:space="preserve">&lt;etma:1:1:49805:2&gt;  rdf:type skos:Concept ;  </t>
  </si>
  <si>
    <t xml:space="preserve">&lt;etma:1:1:49806:1&gt;  rdf:type skos:Concept ;  </t>
  </si>
  <si>
    <t xml:space="preserve">&lt;etma:1:1:49807:0&gt;  rdf:type skos:Concept ;  </t>
  </si>
  <si>
    <t xml:space="preserve">&lt;etma:1:1:49808:9&gt;  rdf:type skos:Concept ;  </t>
  </si>
  <si>
    <t xml:space="preserve">&lt;etma:1:1:49809:8&gt;  rdf:type skos:Concept ;  </t>
  </si>
  <si>
    <t xml:space="preserve">&lt;etma:1:1:49810:4&gt;  rdf:type skos:Concept ;  </t>
  </si>
  <si>
    <t xml:space="preserve">&lt;etma:1:1:49811:3&gt;  rdf:type skos:Concept ;  </t>
  </si>
  <si>
    <t xml:space="preserve">&lt;etma:1:1:49812:2&gt;  rdf:type skos:Concept ;  </t>
  </si>
  <si>
    <t xml:space="preserve">&lt;etma:1:1:49813:1&gt;  rdf:type skos:Concept ;  </t>
  </si>
  <si>
    <t xml:space="preserve">&lt;etma:1:1:49814:0&gt;  rdf:type skos:Concept ;  </t>
  </si>
  <si>
    <t xml:space="preserve">&lt;etma:1:1:49815:9&gt;  rdf:type skos:Concept ;  </t>
  </si>
  <si>
    <t xml:space="preserve">&lt;etma:1:1:49816:8&gt;  rdf:type skos:Concept ;  </t>
  </si>
  <si>
    <t xml:space="preserve">&lt;etma:1:1:49817:7&gt;  rdf:type skos:Concept ;  </t>
  </si>
  <si>
    <t xml:space="preserve">&lt;etma:1:1:49818:6&gt;  rdf:type skos:Concept ;  </t>
  </si>
  <si>
    <t xml:space="preserve">&lt;etma:1:1:49819:5&gt;  rdf:type skos:Concept ;  </t>
  </si>
  <si>
    <t xml:space="preserve">&lt;etma:1:1:49821:0&gt;  rdf:type skos:Concept ;  </t>
  </si>
  <si>
    <t xml:space="preserve">&lt;etma:1:1:49822:9&gt;  rdf:type skos:Concept ;  </t>
  </si>
  <si>
    <t xml:space="preserve">&lt;etma:1:1:49823:8&gt;  rdf:type skos:Concept ;  </t>
  </si>
  <si>
    <t xml:space="preserve">&lt;etma:1:1:49824:7&gt;  rdf:type skos:Concept ;  </t>
  </si>
  <si>
    <t xml:space="preserve">&lt;etma:1:1:49825:6&gt;  rdf:type skos:Concept ;  </t>
  </si>
  <si>
    <t xml:space="preserve">&lt;etma:1:1:49826:5&gt;  rdf:type skos:Concept ;  </t>
  </si>
  <si>
    <t xml:space="preserve">&lt;etma:1:1:49827:4&gt;  rdf:type skos:Concept ;  </t>
  </si>
  <si>
    <t xml:space="preserve">&lt;etma:1:1:49828:3&gt;  rdf:type skos:Concept ;  </t>
  </si>
  <si>
    <t xml:space="preserve">&lt;etma:1:1:49829:2&gt;  rdf:type skos:Concept ;  </t>
  </si>
  <si>
    <t xml:space="preserve">&lt;etma:1:1:49831:7&gt;  rdf:type skos:Concept ;  </t>
  </si>
  <si>
    <t xml:space="preserve">&lt;etma:1:1:49832:6&gt;  rdf:type skos:Concept ;  </t>
  </si>
  <si>
    <t xml:space="preserve">&lt;etma:1:1:49833:5&gt;  rdf:type skos:Concept ;  </t>
  </si>
  <si>
    <t xml:space="preserve">&lt;etma:1:1:49835:3&gt;  rdf:type skos:Concept ;  </t>
  </si>
  <si>
    <t xml:space="preserve">&lt;etma:1:1:49836:2&gt;  rdf:type skos:Concept ;  </t>
  </si>
  <si>
    <t xml:space="preserve">&lt;etma:1:1:49837:1&gt;  rdf:type skos:Concept ;  </t>
  </si>
  <si>
    <t xml:space="preserve">&lt;etma:1:1:49838:0&gt;  rdf:type skos:Concept ;  </t>
  </si>
  <si>
    <t xml:space="preserve">&lt;etma:1:1:49847:8&gt;  rdf:type skos:Concept ;  </t>
  </si>
  <si>
    <t xml:space="preserve">&lt;etma:1:1:49848:7&gt;  rdf:type skos:Concept ;  </t>
  </si>
  <si>
    <t xml:space="preserve">&lt;etma:1:1:49849:6&gt;  rdf:type skos:Concept ;  </t>
  </si>
  <si>
    <t xml:space="preserve">&lt;etma:1:1:49850:2&gt;  rdf:type skos:Concept ;  </t>
  </si>
  <si>
    <t xml:space="preserve">&lt;etma:1:1:49851:1&gt;  rdf:type skos:Concept ;  </t>
  </si>
  <si>
    <t xml:space="preserve">&lt;etma:1:1:49852:0&gt;  rdf:type skos:Concept ;  </t>
  </si>
  <si>
    <t xml:space="preserve">&lt;etma:1:1:49853:9&gt;  rdf:type skos:Concept ;  </t>
  </si>
  <si>
    <t xml:space="preserve">&lt;etma:1:1:49854:8&gt;  rdf:type skos:Concept ;  </t>
  </si>
  <si>
    <t xml:space="preserve">&lt;etma:1:1:49856:6&gt;  rdf:type skos:Concept ;  </t>
  </si>
  <si>
    <t xml:space="preserve">&lt;etma:1:1:49857:5&gt;  rdf:type skos:Concept ;  </t>
  </si>
  <si>
    <t xml:space="preserve">&lt;etma:1:1:49859:3&gt;  rdf:type skos:Concept ;  </t>
  </si>
  <si>
    <t xml:space="preserve">&lt;etma:1:1:49860:9&gt;  rdf:type skos:Concept ;  </t>
  </si>
  <si>
    <t xml:space="preserve">&lt;etma:1:1:49861:8&gt;  rdf:type skos:Concept ;  </t>
  </si>
  <si>
    <t xml:space="preserve">&lt;etma:1:1:49862:7&gt;  rdf:type skos:Concept ;  </t>
  </si>
  <si>
    <t xml:space="preserve">&lt;etma:1:1:49863:6&gt;  rdf:type skos:Concept ;  </t>
  </si>
  <si>
    <t xml:space="preserve">&lt;etma:1:1:49865:4&gt;  rdf:type skos:Concept ;  </t>
  </si>
  <si>
    <t xml:space="preserve">&lt;etma:1:1:49866:3&gt;  rdf:type skos:Concept ;  </t>
  </si>
  <si>
    <t xml:space="preserve">&lt;etma:1:1:49867:2&gt;  rdf:type skos:Concept ;  </t>
  </si>
  <si>
    <t xml:space="preserve">&lt;etma:1:1:49868:1&gt;  rdf:type skos:Concept ;  </t>
  </si>
  <si>
    <t xml:space="preserve">&lt;etma:1:1:49869:0&gt;  rdf:type skos:Concept ;  </t>
  </si>
  <si>
    <t xml:space="preserve">&lt;etma:1:1:49872:4&gt;  rdf:type skos:Concept ;  </t>
  </si>
  <si>
    <t xml:space="preserve">&lt;etma:1:1:49873:3&gt;  rdf:type skos:Concept ;  </t>
  </si>
  <si>
    <t xml:space="preserve">&lt;etma:1:1:49876:0&gt;  rdf:type skos:Concept ;  </t>
  </si>
  <si>
    <t xml:space="preserve">&lt;etma:1:1:49878:8&gt;  rdf:type skos:Concept ;  </t>
  </si>
  <si>
    <t xml:space="preserve">&lt;etma:1:1:49879:7&gt;  rdf:type skos:Concept ;  </t>
  </si>
  <si>
    <t xml:space="preserve">&lt;etma:1:1:49880:3&gt;  rdf:type skos:Concept ;  </t>
  </si>
  <si>
    <t xml:space="preserve">&lt;etma:1:1:49881:2&gt;  rdf:type skos:Concept ;  </t>
  </si>
  <si>
    <t xml:space="preserve">&lt;etma:1:1:49882:1&gt;  rdf:type skos:Concept ;  </t>
  </si>
  <si>
    <t xml:space="preserve">&lt;etma:1:1:49883:0&gt;  rdf:type skos:Concept ;  </t>
  </si>
  <si>
    <t xml:space="preserve">&lt;etma:1:1:49884:9&gt;  rdf:type skos:Concept ;  </t>
  </si>
  <si>
    <t xml:space="preserve">&lt;etma:1:1:49885:8&gt;  rdf:type skos:Concept ;  </t>
  </si>
  <si>
    <t xml:space="preserve">&lt;etma:1:1:49886:7&gt;  rdf:type skos:Concept ;  </t>
  </si>
  <si>
    <t xml:space="preserve">&lt;etma:1:1:49887:6&gt;  rdf:type skos:Concept ;  </t>
  </si>
  <si>
    <t xml:space="preserve">&lt;etma:1:1:49888:5&gt;  rdf:type skos:Concept ;  </t>
  </si>
  <si>
    <t xml:space="preserve">&lt;etma:1:1:49889:4&gt;  rdf:type skos:Concept ;  </t>
  </si>
  <si>
    <t xml:space="preserve">&lt;etma:1:1:49890:0&gt;  rdf:type skos:Concept ;  </t>
  </si>
  <si>
    <t xml:space="preserve">&lt;etma:1:1:49891:9&gt;  rdf:type skos:Concept ;  </t>
  </si>
  <si>
    <t xml:space="preserve">&lt;etma:1:1:49896:4&gt;  rdf:type skos:Concept ;  </t>
  </si>
  <si>
    <t xml:space="preserve">&lt;etma:1:1:49898:2&gt;  rdf:type skos:Concept ;  </t>
  </si>
  <si>
    <t xml:space="preserve">&lt;etma:1:1:49899:1&gt;  rdf:type skos:Concept ;  </t>
  </si>
  <si>
    <t xml:space="preserve">&lt;etma:1:1:49901:5&gt;  rdf:type skos:Concept ;  </t>
  </si>
  <si>
    <t xml:space="preserve">&lt;etma:1:1:49902:4&gt;  rdf:type skos:Concept ;  </t>
  </si>
  <si>
    <t xml:space="preserve">&lt;etma:1:1:49905:1&gt;  rdf:type skos:Concept ;  </t>
  </si>
  <si>
    <t xml:space="preserve">&lt;etma:1:1:49906:0&gt;  rdf:type skos:Concept ;  </t>
  </si>
  <si>
    <t xml:space="preserve">&lt;etma:1:1:49907:9&gt;  rdf:type skos:Concept ;  </t>
  </si>
  <si>
    <t xml:space="preserve">&lt;etma:1:1:49908:8&gt;  rdf:type skos:Concept ;  </t>
  </si>
  <si>
    <t xml:space="preserve">&lt;etma:1:1:49909:7&gt;  rdf:type skos:Concept ;  </t>
  </si>
  <si>
    <t xml:space="preserve">&lt;etma:1:1:49910:3&gt;  rdf:type skos:Concept ;  </t>
  </si>
  <si>
    <t xml:space="preserve">&lt;etma:1:1:49911:2&gt;  rdf:type skos:Concept ;  </t>
  </si>
  <si>
    <t xml:space="preserve">&lt;etma:1:1:49912:1&gt;  rdf:type skos:Concept ;  </t>
  </si>
  <si>
    <t xml:space="preserve">&lt;etma:1:1:49913:0&gt;  rdf:type skos:Concept ;  </t>
  </si>
  <si>
    <t xml:space="preserve">&lt;etma:1:1:49914:9&gt;  rdf:type skos:Concept ;  </t>
  </si>
  <si>
    <t xml:space="preserve">&lt;etma:1:1:49915:8&gt;  rdf:type skos:Concept ;  </t>
  </si>
  <si>
    <t xml:space="preserve">&lt;etma:1:1:49916:7&gt;  rdf:type skos:Concept ;  </t>
  </si>
  <si>
    <t xml:space="preserve">&lt;etma:1:1:49917:6&gt;  rdf:type skos:Concept ;  </t>
  </si>
  <si>
    <t xml:space="preserve">&lt;etma:1:1:49918:5&gt;  rdf:type skos:Concept ;  </t>
  </si>
  <si>
    <t xml:space="preserve">&lt;etma:1:1:49920:0&gt;  rdf:type skos:Concept ;  </t>
  </si>
  <si>
    <t xml:space="preserve">&lt;etma:1:1:49921:9&gt;  rdf:type skos:Concept ;  </t>
  </si>
  <si>
    <t xml:space="preserve">&lt;etma:1:1:49922:8&gt;  rdf:type skos:Concept ;  </t>
  </si>
  <si>
    <t xml:space="preserve">&lt;etma:1:1:49923:7&gt;  rdf:type skos:Concept ;  </t>
  </si>
  <si>
    <t xml:space="preserve">&lt;etma:1:1:49924:6&gt;  rdf:type skos:Concept ;  </t>
  </si>
  <si>
    <t xml:space="preserve">&lt;etma:1:1:49925:5&gt;  rdf:type skos:Concept ;  </t>
  </si>
  <si>
    <t xml:space="preserve">&lt;etma:1:1:49926:4&gt;  rdf:type skos:Concept ;  </t>
  </si>
  <si>
    <t xml:space="preserve">&lt;etma:1:1:49927:3&gt;  rdf:type skos:Concept ;  </t>
  </si>
  <si>
    <t xml:space="preserve">&lt;etma:1:1:49928:2&gt;  rdf:type skos:Concept ;  </t>
  </si>
  <si>
    <t xml:space="preserve">&lt;etma:1:1:49929:1&gt;  rdf:type skos:Concept ;  </t>
  </si>
  <si>
    <t xml:space="preserve">&lt;etma:1:1:49930:7&gt;  rdf:type skos:Concept ;  </t>
  </si>
  <si>
    <t xml:space="preserve">&lt;etma:1:1:49931:6&gt;  rdf:type skos:Concept ;  </t>
  </si>
  <si>
    <t xml:space="preserve">&lt;etma:1:1:49932:5&gt;  rdf:type skos:Concept ;  </t>
  </si>
  <si>
    <t xml:space="preserve">&lt;etma:1:1:49933:4&gt;  rdf:type skos:Concept ;  </t>
  </si>
  <si>
    <t xml:space="preserve">&lt;etma:1:1:49934:3&gt;  rdf:type skos:Concept ;  </t>
  </si>
  <si>
    <t xml:space="preserve">&lt;etma:1:1:49935:2&gt;  rdf:type skos:Concept ;  </t>
  </si>
  <si>
    <t xml:space="preserve">&lt;etma:1:1:49936:1&gt;  rdf:type skos:Concept ;  </t>
  </si>
  <si>
    <t xml:space="preserve">&lt;etma:1:1:49937:0&gt;  rdf:type skos:Concept ;  </t>
  </si>
  <si>
    <t xml:space="preserve">&lt;etma:1:1:49938:9&gt;  rdf:type skos:Concept ;  </t>
  </si>
  <si>
    <t xml:space="preserve">&lt;etma:1:1:49939:8&gt;  rdf:type skos:Concept ;  </t>
  </si>
  <si>
    <t xml:space="preserve">&lt;etma:1:1:49945:9&gt;  rdf:type skos:Concept ;  </t>
  </si>
  <si>
    <t xml:space="preserve">&lt;etma:1:1:49947:7&gt;  rdf:type skos:Concept ;  </t>
  </si>
  <si>
    <t xml:space="preserve">&lt;etma:1:1:49950:1&gt;  rdf:type skos:Concept ;  </t>
  </si>
  <si>
    <t xml:space="preserve">&lt;etma:1:1:49951:0&gt;  rdf:type skos:Concept ;  </t>
  </si>
  <si>
    <t xml:space="preserve">&lt;etma:1:1:49952:9&gt;  rdf:type skos:Concept ;  </t>
  </si>
  <si>
    <t xml:space="preserve">&lt;etma:1:1:49953:8&gt;  rdf:type skos:Concept ;  </t>
  </si>
  <si>
    <t xml:space="preserve">&lt;etma:1:1:49954:7&gt;  rdf:type skos:Concept ;  </t>
  </si>
  <si>
    <t xml:space="preserve">&lt;etma:1:1:49955:6&gt;  rdf:type skos:Concept ;  </t>
  </si>
  <si>
    <t xml:space="preserve">&lt;etma:1:1:49956:5&gt;  rdf:type skos:Concept ;  </t>
  </si>
  <si>
    <t xml:space="preserve">&lt;etma:1:1:49957:4&gt;  rdf:type skos:Concept ;  </t>
  </si>
  <si>
    <t xml:space="preserve">&lt;etma:1:1:49958:3&gt;  rdf:type skos:Concept ;  </t>
  </si>
  <si>
    <t xml:space="preserve">&lt;etma:1:1:49959:2&gt;  rdf:type skos:Concept ;  </t>
  </si>
  <si>
    <t xml:space="preserve">&lt;etma:1:1:49960:8&gt;  rdf:type skos:Concept ;  </t>
  </si>
  <si>
    <t xml:space="preserve">&lt;etma:1:1:50275:3&gt;  rdf:type skos:Concept ;  </t>
  </si>
  <si>
    <t xml:space="preserve">&lt;etma:1:1:50444:1&gt;  rdf:type skos:Concept ;  </t>
  </si>
  <si>
    <t xml:space="preserve">&lt;etma:1:1:50445:0&gt;  rdf:type skos:Concept ;  </t>
  </si>
  <si>
    <t xml:space="preserve">&lt;etma:1:1:50446:9&gt;  rdf:type skos:Concept ;  </t>
  </si>
  <si>
    <t xml:space="preserve">&lt;etma:1:1:50447:8&gt;  rdf:type skos:Concept ;  </t>
  </si>
  <si>
    <t xml:space="preserve">&lt;etma:1:1:50448:7&gt;  rdf:type skos:Concept ;  </t>
  </si>
  <si>
    <t xml:space="preserve">&lt;etma:1:1:50449:6&gt;  rdf:type skos:Concept ;  </t>
  </si>
  <si>
    <t xml:space="preserve">&lt;etma:1:1:50450:2&gt;  rdf:type skos:Concept ;  </t>
  </si>
  <si>
    <t xml:space="preserve">&lt;etma:1:1:50451:1&gt;  rdf:type skos:Concept ;  </t>
  </si>
  <si>
    <t xml:space="preserve">&lt;etma:1:1:50452:0&gt;  rdf:type skos:Concept ;  </t>
  </si>
  <si>
    <t xml:space="preserve">&lt;etma:1:1:50453:9&gt;  rdf:type skos:Concept ;  </t>
  </si>
  <si>
    <t xml:space="preserve">&lt;etma:1:1:50454:8&gt;  rdf:type skos:Concept ;  </t>
  </si>
  <si>
    <t xml:space="preserve">&lt;etma:1:1:50455:7&gt;  rdf:type skos:Concept ;  </t>
  </si>
  <si>
    <t xml:space="preserve">&lt;etma:1:1:50456:6&gt;  rdf:type skos:Concept ;  </t>
  </si>
  <si>
    <t xml:space="preserve">&lt;etma:1:1:50457:5&gt;  rdf:type skos:Concept ;  </t>
  </si>
  <si>
    <t xml:space="preserve">&lt;etma:1:1:50458:4&gt;  rdf:type skos:Concept ;  </t>
  </si>
  <si>
    <t xml:space="preserve">&lt;etma:1:1:50459:3&gt;  rdf:type skos:Concept ;  </t>
  </si>
  <si>
    <t xml:space="preserve">&lt;etma:1:1:50460:9&gt;  rdf:type skos:Concept ;  </t>
  </si>
  <si>
    <t xml:space="preserve">&lt;etma:1:1:50461:8&gt;  rdf:type skos:Concept ;  </t>
  </si>
  <si>
    <t xml:space="preserve">&lt;etma:1:1:50462:7&gt;  rdf:type skos:Concept ;  </t>
  </si>
  <si>
    <t xml:space="preserve">&lt;etma:1:1:50463:6&gt;  rdf:type skos:Concept ;  </t>
  </si>
  <si>
    <t xml:space="preserve">&lt;etma:1:1:52197:0&gt;  rdf:type skos:Concept ;  </t>
  </si>
  <si>
    <t xml:space="preserve">&lt;etma:1:1:52198:9&gt;  rdf:type skos:Concept ;  </t>
  </si>
  <si>
    <t xml:space="preserve">&lt;etma:1:1:52199:8&gt;  rdf:type skos:Concept ;  </t>
  </si>
  <si>
    <t xml:space="preserve">&lt;etma:1:1:52200:3&gt;  rdf:type skos:Concept ;  </t>
  </si>
  <si>
    <t xml:space="preserve">&lt;etma:1:1:52201:2&gt;  rdf:type skos:Concept ;  </t>
  </si>
  <si>
    <t xml:space="preserve">&lt;etma:1:1:52202:1&gt;  rdf:type skos:Concept ;  </t>
  </si>
  <si>
    <t xml:space="preserve">&lt;etma:1:1:52203:0&gt;  rdf:type skos:Concept ;  </t>
  </si>
  <si>
    <t xml:space="preserve">&lt;etma:1:1:52204:9&gt;  rdf:type skos:Concept ;  </t>
  </si>
  <si>
    <t xml:space="preserve">&lt;etma:1:1:52205:8&gt;  rdf:type skos:Concept ;  </t>
  </si>
  <si>
    <t xml:space="preserve">&lt;etma:1:1:52206:7&gt;  rdf:type skos:Concept ;  </t>
  </si>
  <si>
    <t xml:space="preserve">&lt;etma:1:1:52207:6&gt;  rdf:type skos:Concept ;  </t>
  </si>
  <si>
    <t xml:space="preserve">&lt;etma:1:1:52208:5&gt;  rdf:type skos:Concept ;  </t>
  </si>
  <si>
    <t xml:space="preserve">&lt;etma:1:1:52209:4&gt;  rdf:type skos:Concept ;  </t>
  </si>
  <si>
    <t xml:space="preserve">&lt;etma:1:1:52210:0&gt;  rdf:type skos:Concept ;  </t>
  </si>
  <si>
    <t xml:space="preserve">&lt;etma:1:1:52211:9&gt;  rdf:type skos:Concept ;  </t>
  </si>
  <si>
    <t xml:space="preserve">&lt;etma:1:1:52212:8&gt;  rdf:type skos:Concept ;  </t>
  </si>
  <si>
    <t xml:space="preserve">&lt;etma:1:1:52213:7&gt;  rdf:type skos:Concept ;  </t>
  </si>
  <si>
    <t xml:space="preserve">&lt;etma:1:1:52214:6&gt;  rdf:type skos:Concept ;  </t>
  </si>
  <si>
    <t xml:space="preserve">&lt;etma:1:1:52215:5&gt;  rdf:type skos:Concept ;  </t>
  </si>
  <si>
    <t xml:space="preserve">&lt;etma:1:1:52216:4&gt;  rdf:type skos:Concept ;  </t>
  </si>
  <si>
    <t xml:space="preserve">&lt;etma:1:1:52217:3&gt;  rdf:type skos:Concept ;  </t>
  </si>
  <si>
    <t xml:space="preserve">&lt;etma:1:1:52218:2&gt;  rdf:type skos:Concept ;  </t>
  </si>
  <si>
    <t xml:space="preserve">&lt;etma:1:1:52219:1&gt;  rdf:type skos:Concept ;  </t>
  </si>
  <si>
    <t xml:space="preserve">&lt;etma:1:1:52220:7&gt;  rdf:type skos:Concept ;  </t>
  </si>
  <si>
    <t xml:space="preserve">&lt;etma:1:1:52221:6&gt;  rdf:type skos:Concept ;  </t>
  </si>
  <si>
    <t xml:space="preserve">&lt;etma:1:1:52222:5&gt;  rdf:type skos:Concept ;  </t>
  </si>
  <si>
    <t xml:space="preserve">&lt;etma:1:1:52223:4&gt;  rdf:type skos:Concept ;  </t>
  </si>
  <si>
    <t xml:space="preserve">&lt;etma:1:1:52224:3&gt;  rdf:type skos:Concept ;  </t>
  </si>
  <si>
    <t xml:space="preserve">&lt;etma:1:1:52225:2&gt;  rdf:type skos:Concept ;  </t>
  </si>
  <si>
    <t xml:space="preserve">&lt;etma:1:1:52226:1&gt;  rdf:type skos:Concept ;  </t>
  </si>
  <si>
    <t xml:space="preserve">&lt;etma:1:1:52227:0&gt;  rdf:type skos:Concept ;  </t>
  </si>
  <si>
    <t xml:space="preserve">&lt;etma:1:1:52228:9&gt;  rdf:type skos:Concept ;  </t>
  </si>
  <si>
    <t xml:space="preserve">&lt;etma:1:1:52229:8&gt;  rdf:type skos:Concept ;  </t>
  </si>
  <si>
    <t xml:space="preserve">&lt;etma:1:1:52231:3&gt;  rdf:type skos:Concept ;  </t>
  </si>
  <si>
    <t xml:space="preserve">&lt;etma:1:1:52237:7&gt;  rdf:type skos:Concept ;  </t>
  </si>
  <si>
    <t xml:space="preserve">&lt;etma:1:1:52238:6&gt;  rdf:type skos:Concept ;  </t>
  </si>
  <si>
    <t xml:space="preserve">&lt;etma:1:1:52239:5&gt;  rdf:type skos:Concept ;  </t>
  </si>
  <si>
    <t xml:space="preserve">&lt;etma:1:1:52240:1&gt;  rdf:type skos:Concept ;  </t>
  </si>
  <si>
    <t xml:space="preserve">&lt;etma:1:1:52241:0&gt;  rdf:type skos:Concept ;  </t>
  </si>
  <si>
    <t xml:space="preserve">&lt;etma:1:1:52360:4&gt;  rdf:type skos:Concept ;  </t>
  </si>
  <si>
    <t xml:space="preserve">&lt;etma:1:1:52368:6&gt;  rdf:type skos:Concept ;  </t>
  </si>
  <si>
    <t xml:space="preserve">&lt;etma:1:1:52369:5&gt;  rdf:type skos:Concept ;  </t>
  </si>
  <si>
    <t xml:space="preserve">&lt;etma:1:1:52370:1&gt;  rdf:type skos:Concept ;  </t>
  </si>
  <si>
    <t xml:space="preserve">&lt;etma:1:1:52371:0&gt;  rdf:type skos:Concept ;  </t>
  </si>
  <si>
    <t xml:space="preserve">&lt;etma:1:1:52372:9&gt;  rdf:type skos:Concept ;  </t>
  </si>
  <si>
    <t xml:space="preserve">&lt;etma:1:1:52373:8&gt;  rdf:type skos:Concept ;  </t>
  </si>
  <si>
    <t xml:space="preserve">&lt;etma:1:1:52374:7&gt;  rdf:type skos:Concept ;  </t>
  </si>
  <si>
    <t xml:space="preserve">&lt;etma:1:1:52393:2&gt;  rdf:type skos:Concept ;  </t>
  </si>
  <si>
    <t xml:space="preserve">&lt;etma:1:1:52394:1&gt;  rdf:type skos:Concept ;  </t>
  </si>
  <si>
    <t xml:space="preserve">&lt;etma:1:1:52395:0&gt;  rdf:type skos:Concept ;  </t>
  </si>
  <si>
    <t xml:space="preserve">&lt;etma:1:1:52396:9&gt;  rdf:type skos:Concept ;  </t>
  </si>
  <si>
    <t>dcterms:source "https://www.lpi.usra.edu/meteor/metbullclass.php?sea=Lodranite" ; .</t>
  </si>
  <si>
    <t>dcterms:source "https://www.lpi.usra.edu/meteor/metbullclass.php?sea=Chondrite-uncl" ; .</t>
  </si>
  <si>
    <t>dcterms:source "https://www.lpi.usra.edu/meteor/metbullclass.php?sea=Chondrite-ung" ; .</t>
  </si>
  <si>
    <t>dcterms:source "https://www.lpi.usra.edu/meteor/metbullclass.php?sea=C" ; .</t>
  </si>
  <si>
    <t>dcterms:source "https://www.lpi.usra.edu/meteor/metbullclass.php?sea=C1-ung" ; .</t>
  </si>
  <si>
    <t>dcterms:source "https://www.lpi.usra.edu/meteor/metbullclass.php?sea=C1/2-ung" ; .</t>
  </si>
  <si>
    <t>dcterms:source "https://www.lpi.usra.edu/meteor/metbullclass.php?sea=C2" ; .</t>
  </si>
  <si>
    <t>dcterms:source "https://www.lpi.usra.edu/meteor/metbullclass.php?sea=C2-ung" ; .</t>
  </si>
  <si>
    <t>dcterms:source "https://www.lpi.usra.edu/meteor/metbullclass.php?sea=C3" ; .</t>
  </si>
  <si>
    <t>dcterms:source "https://www.lpi.usra.edu/meteor/metbullclass.php?sea=C3-ung" ; .</t>
  </si>
  <si>
    <t>dcterms:source "https://www.lpi.usra.edu/meteor/metbullclass.php?sea=C3.0-ung" ; .</t>
  </si>
  <si>
    <t>dcterms:source "https://www.lpi.usra.edu/meteor/metbullclass.php?sea=C3/4-ung" ; .</t>
  </si>
  <si>
    <t>dcterms:source "https://www.lpi.usra.edu/meteor/metbullclass.php?sea=C4" ; .</t>
  </si>
  <si>
    <t>dcterms:source "https://www.lpi.usra.edu/meteor/metbullclass.php?sea=C4-ung" ; .</t>
  </si>
  <si>
    <t>dcterms:source "https://www.lpi.usra.edu/meteor/metbullclass.php?sea=C4/5" ; .</t>
  </si>
  <si>
    <t>dcterms:source "https://www.lpi.usra.edu/meteor/metbullclass.php?sea=C5/6-ung" ; .</t>
  </si>
  <si>
    <t>dcterms:source "https://www.lpi.usra.edu/meteor/metbullclass.php?sea=C6" ; .</t>
  </si>
  <si>
    <t>dcterms:source "https://www.lpi.usra.edu/meteor/metbullclass.php?sea=CB" ; .</t>
  </si>
  <si>
    <t>dcterms:source "https://www.lpi.usra.edu/meteor/metbullclass.php?sea=CBa" ; .</t>
  </si>
  <si>
    <t>dcterms:source "https://www.lpi.usra.edu/meteor/metbullclass.php?sea=CBb" ; .</t>
  </si>
  <si>
    <t>dcterms:source "https://www.lpi.usra.edu/meteor/metbullclass.php?sea=CH3" ; .</t>
  </si>
  <si>
    <t>dcterms:source "https://www.lpi.usra.edu/meteor/metbullclass.php?sea=CI1" ; .</t>
  </si>
  <si>
    <t>dcterms:source "https://www.lpi.usra.edu/meteor/metbullclass.php?sea=CK" ; .</t>
  </si>
  <si>
    <t>dcterms:source "https://www.lpi.usra.edu/meteor/metbullclass.php?sea=CK3" ; .</t>
  </si>
  <si>
    <t>dcterms:source "https://www.lpi.usra.edu/meteor/metbullclass.php?sea=CK3-an" ; .</t>
  </si>
  <si>
    <t>dcterms:source "https://www.lpi.usra.edu/meteor/metbullclass.php?sea=CK3.8" ; .</t>
  </si>
  <si>
    <t>dcterms:source "https://www.lpi.usra.edu/meteor/metbullclass.php?sea=CK3/4" ; .</t>
  </si>
  <si>
    <t>dcterms:source "https://www.lpi.usra.edu/meteor/metbullclass.php?sea=CK4" ; .</t>
  </si>
  <si>
    <t>dcterms:source "https://www.lpi.usra.edu/meteor/metbullclass.php?sea=CK4-an" ; .</t>
  </si>
  <si>
    <t>dcterms:source "https://www.lpi.usra.edu/meteor/metbullclass.php?sea=CK5" ; .</t>
  </si>
  <si>
    <t>dcterms:source "https://www.lpi.usra.edu/meteor/metbullclass.php?sea=CK6" ; .</t>
  </si>
  <si>
    <t>dcterms:source "https://www.lpi.usra.edu/meteor/metbullclass.php?sea=CM" ; .</t>
  </si>
  <si>
    <t>dcterms:source "https://www.lpi.usra.edu/meteor/metbullclass.php?sea=CM1" ; .</t>
  </si>
  <si>
    <t>dcterms:source "https://www.lpi.usra.edu/meteor/metbullclass.php?sea=CM1/2" ; .</t>
  </si>
  <si>
    <t>dcterms:source "https://www.lpi.usra.edu/meteor/metbullclass.php?sea=CM-an" ; .</t>
  </si>
  <si>
    <t>dcterms:source "https://www.lpi.usra.edu/meteor/metbullclass.php?sea=CM2" ; .</t>
  </si>
  <si>
    <t>dcterms:source "https://www.lpi.usra.edu/meteor/metbullclass.php?sea=CM2-an" ; .</t>
  </si>
  <si>
    <t>dcterms:source "https://www.lpi.usra.edu/meteor/metbullclass.php?sea=CO" ; .</t>
  </si>
  <si>
    <t>dcterms:source "https://www.lpi.usra.edu/meteor/metbullclass.php?sea=CO3" ; .</t>
  </si>
  <si>
    <t>dcterms:source "https://www.lpi.usra.edu/meteor/metbullclass.php?sea=CO3.0" ; .</t>
  </si>
  <si>
    <t>dcterms:source "https://www.lpi.usra.edu/meteor/metbullclass.php?sea=CO3.1" ; .</t>
  </si>
  <si>
    <t>dcterms:source "https://www.lpi.usra.edu/meteor/metbullclass.php?sea=CO3.2" ; .</t>
  </si>
  <si>
    <t>dcterms:source "https://www.lpi.usra.edu/meteor/metbullclass.php?sea=CO3.3" ; .</t>
  </si>
  <si>
    <t>dcterms:source "https://www.lpi.usra.edu/meteor/metbullclass.php?sea=CO3.4" ; .</t>
  </si>
  <si>
    <t>dcterms:source "https://www.lpi.usra.edu/meteor/metbullclass.php?sea=CO3.5" ; .</t>
  </si>
  <si>
    <t>dcterms:source "https://www.lpi.usra.edu/meteor/metbullclass.php?sea=CO3.6" ; .</t>
  </si>
  <si>
    <t>dcterms:source "https://www.lpi.usra.edu/meteor/metbullclass.php?sea=CO3.7" ; .</t>
  </si>
  <si>
    <t>dcterms:source "https://www.lpi.usra.edu/meteor/metbullclass.php?sea=CO3.8" ; .</t>
  </si>
  <si>
    <t>dcterms:source "https://www.lpi.usra.edu/meteor/metbullclass.php?sea=CR" ; .</t>
  </si>
  <si>
    <t>dcterms:source "https://www.lpi.usra.edu/meteor/metbullclass.php?sea=CR1" ; .</t>
  </si>
  <si>
    <t>dcterms:source "https://www.lpi.usra.edu/meteor/metbullclass.php?sea=CR2" ; .</t>
  </si>
  <si>
    <t>dcterms:source "https://www.lpi.usra.edu/meteor/metbullclass.php?sea=CR2-an" ; .</t>
  </si>
  <si>
    <t>dcterms:source "https://www.lpi.usra.edu/meteor/metbullclass.php?sea=CR6" ; .</t>
  </si>
  <si>
    <t>dcterms:source "https://www.lpi.usra.edu/meteor/metbullclass.php?sea=CR7" ; .</t>
  </si>
  <si>
    <t>dcterms:source "https://www.lpi.usra.edu/meteor/metbullclass.php?sea=CV2" ; .</t>
  </si>
  <si>
    <t>dcterms:source "https://www.lpi.usra.edu/meteor/metbullclass.php?sea=CV3" ; .</t>
  </si>
  <si>
    <t>dcterms:source "https://www.lpi.usra.edu/meteor/metbullclass.php?sea=CV3-an" ; .</t>
  </si>
  <si>
    <t>dcterms:source "https://www.lpi.usra.edu/meteor/metbullclass.php?sea=OC" ; .</t>
  </si>
  <si>
    <t>dcterms:source "https://www.lpi.usra.edu/meteor/metbullclass.php?sea=H" ; .</t>
  </si>
  <si>
    <t>dcterms:source "https://www.lpi.usra.edu/meteor/metbullclass.php?sea=H3" ; .</t>
  </si>
  <si>
    <t>dcterms:source "https://www.lpi.usra.edu/meteor/metbullclass.php?sea=H(L)3" ; .</t>
  </si>
  <si>
    <t>dcterms:source "https://www.lpi.usra.edu/meteor/metbullclass.php?sea=H/L3.5" ; .</t>
  </si>
  <si>
    <t>dcterms:source "https://www.lpi.usra.edu/meteor/metbullclass.php?sea=H/L3.6" ; .</t>
  </si>
  <si>
    <t>dcterms:source "https://www.lpi.usra.edu/meteor/metbullclass.php?sea=H/L3.7" ; .</t>
  </si>
  <si>
    <t>dcterms:source "https://www.lpi.usra.edu/meteor/metbullclass.php?sea=H/L3.9" ; .</t>
  </si>
  <si>
    <t>dcterms:source "https://www.lpi.usra.edu/meteor/metbullclass.php?sea=H/L3-4" ; .</t>
  </si>
  <si>
    <t>dcterms:source "https://www.lpi.usra.edu/meteor/metbullclass.php?sea=H3/4" ; .</t>
  </si>
  <si>
    <t>dcterms:source "https://www.lpi.usra.edu/meteor/metbullclass.php?sea=H3-an" ; .</t>
  </si>
  <si>
    <t>dcterms:source "https://www.lpi.usra.edu/meteor/metbullclass.php?sea=H(L)3-an" ; .</t>
  </si>
  <si>
    <t>dcterms:source "https://www.lpi.usra.edu/meteor/metbullclass.php?sea=H(L)3.1" ; .</t>
  </si>
  <si>
    <t>dcterms:source "https://www.lpi.usra.edu/meteor/metbullclass.php?sea=H3.0" ; .</t>
  </si>
  <si>
    <t>dcterms:source "https://www.lpi.usra.edu/meteor/metbullclass.php?sea=H3.0-3.4" ; .</t>
  </si>
  <si>
    <t>dcterms:source "https://www.lpi.usra.edu/meteor/metbullclass.php?sea=H3.1" ; .</t>
  </si>
  <si>
    <t>dcterms:source "https://www.lpi.usra.edu/meteor/metbullclass.php?sea=H3.2" ; .</t>
  </si>
  <si>
    <t>dcterms:source "https://www.lpi.usra.edu/meteor/metbullclass.php?sea=H3.2-3.7" ; .</t>
  </si>
  <si>
    <t>dcterms:source "https://www.lpi.usra.edu/meteor/metbullclass.php?sea=H4" ; .</t>
  </si>
  <si>
    <t>dcterms:source "https://www.lpi.usra.edu/meteor/metbullclass.php?sea=H4-melt%20breccia" ; .</t>
  </si>
  <si>
    <t>dcterms:source "https://www.lpi.usra.edu/meteor/metbullclass.php?sea=H4-an" ; .</t>
  </si>
  <si>
    <t>dcterms:source "https://www.lpi.usra.edu/meteor/metbullclass.php?sea=H/L4" ; .</t>
  </si>
  <si>
    <t>dcterms:source "https://www.lpi.usra.edu/meteor/metbullclass.php?sea=H/L4/5" ; .</t>
  </si>
  <si>
    <t>dcterms:source "https://www.lpi.usra.edu/meteor/metbullclass.php?sea=H4/5" ; .</t>
  </si>
  <si>
    <t>dcterms:source "https://www.lpi.usra.edu/meteor/metbullclass.php?sea=H5" ; .</t>
  </si>
  <si>
    <t>dcterms:source "https://www.lpi.usra.edu/meteor/metbullclass.php?sea=H5-an" ; .</t>
  </si>
  <si>
    <t>dcterms:source "https://www.lpi.usra.edu/meteor/metbullclass.php?sea=H5-melt%20breccia" ; .</t>
  </si>
  <si>
    <t>dcterms:source "https://www.lpi.usra.edu/meteor/metbullclass.php?sea=H/L5" ; .</t>
  </si>
  <si>
    <t>dcterms:source "https://www.lpi.usra.edu/meteor/metbullclass.php?sea=H5-6" ; .</t>
  </si>
  <si>
    <t>dcterms:source "https://www.lpi.usra.edu/meteor/metbullclass.php?sea=H6" ; .</t>
  </si>
  <si>
    <t>dcterms:source "https://www.lpi.usra.edu/meteor/metbullclass.php?sea=H6-an" ; .</t>
  </si>
  <si>
    <t>dcterms:source "https://www.lpi.usra.edu/meteor/metbullclass.php?sea=H6-melt%20breccia" ; .</t>
  </si>
  <si>
    <t>dcterms:source "https://www.lpi.usra.edu/meteor/metbullclass.php?sea=H(L)6" ; .</t>
  </si>
  <si>
    <t>dcterms:source "https://www.lpi.usra.edu/meteor/metbullclass.php?sea=H/L6-melt%20rock" ; .</t>
  </si>
  <si>
    <t>dcterms:source "https://www.lpi.usra.edu/meteor/metbullclass.php?sea=H7" ; .</t>
  </si>
  <si>
    <t>dcterms:source "https://www.lpi.usra.edu/meteor/metbullclass.php?sea=H-an" ; .</t>
  </si>
  <si>
    <t>dcterms:source "https://www.lpi.usra.edu/meteor/metbullclass.php?sea=H-imp%20melt" ; .</t>
  </si>
  <si>
    <t>dcterms:source "https://www.lpi.usra.edu/meteor/metbullclass.php?sea=H-melt%20breccia" ; .</t>
  </si>
  <si>
    <t>dcterms:source "https://www.lpi.usra.edu/meteor/metbullclass.php?sea=H-melt%20rock" ; .</t>
  </si>
  <si>
    <t>dcterms:source "https://www.lpi.usra.edu/meteor/metbullclass.php?sea=H-metal" ; .</t>
  </si>
  <si>
    <t>dcterms:source "https://www.lpi.usra.edu/meteor/metbullclass.php?sea=H?" ; .</t>
  </si>
  <si>
    <t>dcterms:source "https://www.lpi.usra.edu/meteor/metbullclass.php?sea=H~4" ; .</t>
  </si>
  <si>
    <t>dcterms:source "https://www.lpi.usra.edu/meteor/metbullclass.php?sea=H~4/5" ; .</t>
  </si>
  <si>
    <t>dcterms:source "https://www.lpi.usra.edu/meteor/metbullclass.php?sea=H~5" ; .</t>
  </si>
  <si>
    <t>dcterms:source "https://www.lpi.usra.edu/meteor/metbullclass.php?sea=H~6" ; .</t>
  </si>
  <si>
    <t>dcterms:source "https://www.lpi.usra.edu/meteor/metbullclass.php?sea=H(5?)" ; .</t>
  </si>
  <si>
    <t>dcterms:source "https://www.lpi.usra.edu/meteor/metbullclass.php?sea=H5-7" ; .</t>
  </si>
  <si>
    <t>dcterms:source "https://www.lpi.usra.edu/meteor/metbullclass.php?sea=H/L~4" ; .</t>
  </si>
  <si>
    <t>dcterms:source "https://www.lpi.usra.edu/meteor/metbullclass.php?sea=H4(?)" ; .</t>
  </si>
  <si>
    <t>dcterms:source "https://www.lpi.usra.edu/meteor/metbullclass.php?sea=H(?)4" ; .</t>
  </si>
  <si>
    <t>dcterms:source "https://www.lpi.usra.edu/meteor/metbullclass.php?sea=H3-5" ; .</t>
  </si>
  <si>
    <t>dcterms:source "https://www.lpi.usra.edu/meteor/metbullclass.php?sea=H3-6" ; .</t>
  </si>
  <si>
    <t>dcterms:source "https://www.lpi.usra.edu/meteor/metbullclass.php?sea=H3.2-6" ; .</t>
  </si>
  <si>
    <t>dcterms:source "https://www.lpi.usra.edu/meteor/metbullclass.php?sea=H3.9-5" ; .</t>
  </si>
  <si>
    <t>dcterms:source "https://www.lpi.usra.edu/meteor/metbullclass.php?sea=H3.9-6" ; .</t>
  </si>
  <si>
    <t>dcterms:source "https://www.lpi.usra.edu/meteor/metbullclass.php?sea=H4-6" ; .</t>
  </si>
  <si>
    <t>dcterms:source "https://www.lpi.usra.edu/meteor/metbullclass.php?sea=H4/6" ; .</t>
  </si>
  <si>
    <t>dcterms:source "https://www.lpi.usra.edu/meteor/metbullclass.php?sea=L" ; .</t>
  </si>
  <si>
    <t>dcterms:source "https://www.lpi.usra.edu/meteor/metbullclass.php?sea=L3" ; .</t>
  </si>
  <si>
    <t>dcterms:source "https://www.lpi.usra.edu/meteor/metbullclass.php?sea=L3.0-3.9" ; .</t>
  </si>
  <si>
    <t>dcterms:source "https://www.lpi.usra.edu/meteor/metbullclass.php?sea=L3-melt%20breccia" ; .</t>
  </si>
  <si>
    <t>dcterms:source "https://www.lpi.usra.edu/meteor/metbullclass.php?sea=L3.0" ; .</t>
  </si>
  <si>
    <t>dcterms:source "https://www.lpi.usra.edu/meteor/metbullclass.php?sea=L3.00" ; .</t>
  </si>
  <si>
    <t>dcterms:source "https://www.lpi.usra.edu/meteor/metbullclass.php?sea=L3.05" ; .</t>
  </si>
  <si>
    <t>dcterms:source "https://www.lpi.usra.edu/meteor/metbullclass.php?sea=L3.0-3.7" ; .</t>
  </si>
  <si>
    <t>dcterms:source "https://www.lpi.usra.edu/meteor/metbullclass.php?sea=L3.1" ; .</t>
  </si>
  <si>
    <t>dcterms:source "https://www.lpi.usra.edu/meteor/metbullclass.php?sea=L3.10" ; .</t>
  </si>
  <si>
    <t>dcterms:source "https://www.lpi.usra.edu/meteor/metbullclass.php?sea=L3.15" ; .</t>
  </si>
  <si>
    <t>dcterms:source "https://www.lpi.usra.edu/meteor/metbullclass.php?sea=L3.2" ; .</t>
  </si>
  <si>
    <t>dcterms:source "https://www.lpi.usra.edu/meteor/metbullclass.php?sea=L3.2-3.5" ; .</t>
  </si>
  <si>
    <t>dcterms:source "https://www.lpi.usra.edu/meteor/metbullclass.php?sea=L3.2-3.6" ; .</t>
  </si>
  <si>
    <t>dcterms:source "https://www.lpi.usra.edu/meteor/metbullclass.php?sea=L3.3" ; .</t>
  </si>
  <si>
    <t>dcterms:source "https://www.lpi.usra.edu/meteor/metbullclass.php?sea=L3.3-3.5" ; .</t>
  </si>
  <si>
    <t>dcterms:source "https://www.lpi.usra.edu/meteor/metbullclass.php?sea=L3.3-3.6" ; .</t>
  </si>
  <si>
    <t>dcterms:source "https://www.lpi.usra.edu/meteor/metbullclass.php?sea=L3.3-3.7" ; .</t>
  </si>
  <si>
    <t>dcterms:source "https://www.lpi.usra.edu/meteor/metbullclass.php?sea=L3-4" ; .</t>
  </si>
  <si>
    <t>dcterms:source "https://www.lpi.usra.edu/meteor/metbullclass.php?sea=L3.5" ; .</t>
  </si>
  <si>
    <t>dcterms:source "https://www.lpi.usra.edu/meteor/metbullclass.php?sea=L3.5-3.7" ; .</t>
  </si>
  <si>
    <t>dcterms:source "https://www.lpi.usra.edu/meteor/metbullclass.php?sea=L3.5-3.8" ; .</t>
  </si>
  <si>
    <t>dcterms:source "https://www.lpi.usra.edu/meteor/metbullclass.php?sea=L3.5-3.9" ; .</t>
  </si>
  <si>
    <t>dcterms:source "https://www.lpi.usra.edu/meteor/metbullclass.php?sea=L3.6" ; .</t>
  </si>
  <si>
    <t>dcterms:source "https://www.lpi.usra.edu/meteor/metbullclass.php?sea=L3.6-4" ; .</t>
  </si>
  <si>
    <t>dcterms:source "https://www.lpi.usra.edu/meteor/metbullclass.php?sea=L3.7" ; .</t>
  </si>
  <si>
    <t>dcterms:source "https://www.lpi.usra.edu/meteor/metbullclass.php?sea=L3.7/3.8" ; .</t>
  </si>
  <si>
    <t>dcterms:source "https://www.lpi.usra.edu/meteor/metbullclass.php?sea=L3.7-3.9" ; .</t>
  </si>
  <si>
    <t>dcterms:source "https://www.lpi.usra.edu/meteor/metbullclass.php?sea=L3.7-4" ; .</t>
  </si>
  <si>
    <t>dcterms:source "https://www.lpi.usra.edu/meteor/metbullclass.php?sea=L3.8" ; .</t>
  </si>
  <si>
    <t>dcterms:source "https://www.lpi.usra.edu/meteor/metbullclass.php?sea=L3.8-an" ; .</t>
  </si>
  <si>
    <t>dcterms:source "https://www.lpi.usra.edu/meteor/metbullclass.php?sea=L3.9" ; .</t>
  </si>
  <si>
    <t>dcterms:source "https://www.lpi.usra.edu/meteor/metbullclass.php?sea=L3.9/4" ; .</t>
  </si>
  <si>
    <t>dcterms:source "https://www.lpi.usra.edu/meteor/metbullclass.php?sea=L(H)3" ; .</t>
  </si>
  <si>
    <t>dcterms:source "https://www.lpi.usra.edu/meteor/metbullclass.php?sea=LL(L)3" ; .</t>
  </si>
  <si>
    <t>dcterms:source "https://www.lpi.usra.edu/meteor/metbullclass.php?sea=L(LL)3.0" ; .</t>
  </si>
  <si>
    <t>dcterms:source "https://www.lpi.usra.edu/meteor/metbullclass.php?sea=L(LL)3.05" ; .</t>
  </si>
  <si>
    <t>dcterms:source "https://www.lpi.usra.edu/meteor/metbullclass.php?sea=L(LL)3.5-3.7" ; .</t>
  </si>
  <si>
    <t>dcterms:source "https://www.lpi.usra.edu/meteor/metbullclass.php?sea=LL(L)3.1" ; .</t>
  </si>
  <si>
    <t>dcterms:source "https://www.lpi.usra.edu/meteor/metbullclass.php?sea=LL(L)3.2" ; .</t>
  </si>
  <si>
    <t>dcterms:source "https://www.lpi.usra.edu/meteor/metbullclass.php?sea=L/LL3.4" ; .</t>
  </si>
  <si>
    <t>dcterms:source "https://www.lpi.usra.edu/meteor/metbullclass.php?sea=L/LL3.10" ; .</t>
  </si>
  <si>
    <t>dcterms:source "https://www.lpi.usra.edu/meteor/metbullclass.php?sea=L/LL3.5" ; .</t>
  </si>
  <si>
    <t>dcterms:source "https://www.lpi.usra.edu/meteor/metbullclass.php?sea=L/LL3.6/3.7" ; .</t>
  </si>
  <si>
    <t>dcterms:source "https://www.lpi.usra.edu/meteor/metbullclass.php?sea=L4" ; .</t>
  </si>
  <si>
    <t>dcterms:source "https://www.lpi.usra.edu/meteor/metbullclass.php?sea=L4-an" ; .</t>
  </si>
  <si>
    <t>dcterms:source "https://www.lpi.usra.edu/meteor/metbullclass.php?sea=L4-melt%20breccia" ; .</t>
  </si>
  <si>
    <t>dcterms:source "https://www.lpi.usra.edu/meteor/metbullclass.php?sea=L4-melt%20rock" ; .</t>
  </si>
  <si>
    <t>dcterms:source "https://www.lpi.usra.edu/meteor/metbullclass.php?sea=L/LL4" ; .</t>
  </si>
  <si>
    <t>dcterms:source "https://www.lpi.usra.edu/meteor/metbullclass.php?sea=L4/5" ; .</t>
  </si>
  <si>
    <t>dcterms:source "https://www.lpi.usra.edu/meteor/metbullclass.php?sea=L5" ; .</t>
  </si>
  <si>
    <t>dcterms:source "https://www.lpi.usra.edu/meteor/metbullclass.php?sea=L/LL5" ; .</t>
  </si>
  <si>
    <t>dcterms:source "https://www.lpi.usra.edu/meteor/metbullclass.php?sea=L/LL5/6" ; .</t>
  </si>
  <si>
    <t>dcterms:source "https://www.lpi.usra.edu/meteor/metbullclass.php?sea=L5-6" ; .</t>
  </si>
  <si>
    <t>dcterms:source "https://www.lpi.usra.edu/meteor/metbullclass.php?sea=L5/6" ; .</t>
  </si>
  <si>
    <t>dcterms:source "https://www.lpi.usra.edu/meteor/metbullclass.php?sea=L5-melt%20breccia" ; .</t>
  </si>
  <si>
    <t>dcterms:source "https://www.lpi.usra.edu/meteor/metbullclass.php?sea=L6" ; .</t>
  </si>
  <si>
    <t>dcterms:source "https://www.lpi.usra.edu/meteor/metbullclass.php?sea=L6-melt%20breccia" ; .</t>
  </si>
  <si>
    <t>dcterms:source "https://www.lpi.usra.edu/meteor/metbullclass.php?sea=L6-melt%20rock" ; .</t>
  </si>
  <si>
    <t>dcterms:source "https://www.lpi.usra.edu/meteor/metbullclass.php?sea=L/LL6" ; .</t>
  </si>
  <si>
    <t>dcterms:source "https://www.lpi.usra.edu/meteor/metbullclass.php?sea=L/LL6-an" ; .</t>
  </si>
  <si>
    <t>dcterms:source "https://www.lpi.usra.edu/meteor/metbullclass.php?sea=L6/7" ; .</t>
  </si>
  <si>
    <t>dcterms:source "https://www.lpi.usra.edu/meteor/metbullclass.php?sea=L7" ; .</t>
  </si>
  <si>
    <t>dcterms:source "https://www.lpi.usra.edu/meteor/metbullclass.php?sea=L-imp%20melt" ; .</t>
  </si>
  <si>
    <t>dcterms:source "https://www.lpi.usra.edu/meteor/metbullclass.php?sea=L-melt%20breccia" ; .</t>
  </si>
  <si>
    <t>dcterms:source "https://www.lpi.usra.edu/meteor/metbullclass.php?sea=L-melt%20rock" ; .</t>
  </si>
  <si>
    <t>dcterms:source "https://www.lpi.usra.edu/meteor/metbullclass.php?sea=L-metal" ; .</t>
  </si>
  <si>
    <t>dcterms:source "https://www.lpi.usra.edu/meteor/metbullclass.php?sea=L/LL-melt%20rock" ; .</t>
  </si>
  <si>
    <t>dcterms:source "https://www.lpi.usra.edu/meteor/metbullclass.php?sea=L/LL3-6" ; .</t>
  </si>
  <si>
    <t>dcterms:source "https://www.lpi.usra.edu/meteor/metbullclass.php?sea=L/LL3-5" ; .</t>
  </si>
  <si>
    <t>dcterms:source "https://www.lpi.usra.edu/meteor/metbullclass.php?sea=L/LL(?)3" ; .</t>
  </si>
  <si>
    <t>dcterms:source "https://www.lpi.usra.edu/meteor/metbullclass.php?sea=L(?)3" ; .</t>
  </si>
  <si>
    <t>dcterms:source "https://www.lpi.usra.edu/meteor/metbullclass.php?sea=L(LL)~4" ; .</t>
  </si>
  <si>
    <t>dcterms:source "https://www.lpi.usra.edu/meteor/metbullclass.php?sea=L/LL~4" ; .</t>
  </si>
  <si>
    <t>dcterms:source "https://www.lpi.usra.edu/meteor/metbullclass.php?sea=L/LL~5" ; .</t>
  </si>
  <si>
    <t>dcterms:source "https://www.lpi.usra.edu/meteor/metbullclass.php?sea=L/LL~6" ; .</t>
  </si>
  <si>
    <t>dcterms:source "https://www.lpi.usra.edu/meteor/metbullclass.php?sea=L3-5" ; .</t>
  </si>
  <si>
    <t>dcterms:source "https://www.lpi.usra.edu/meteor/metbullclass.php?sea=L3-6" ; .</t>
  </si>
  <si>
    <t>dcterms:source "https://www.lpi.usra.edu/meteor/metbullclass.php?sea=L3-7" ; .</t>
  </si>
  <si>
    <t>dcterms:source "https://www.lpi.usra.edu/meteor/metbullclass.php?sea=L3.5-5" ; .</t>
  </si>
  <si>
    <t>dcterms:source "https://www.lpi.usra.edu/meteor/metbullclass.php?sea=L3.7-6" ; .</t>
  </si>
  <si>
    <t>dcterms:source "https://www.lpi.usra.edu/meteor/metbullclass.php?sea=L3.8-5" ; .</t>
  </si>
  <si>
    <t>dcterms:source "https://www.lpi.usra.edu/meteor/metbullclass.php?sea=L3.8-6" ; .</t>
  </si>
  <si>
    <t>dcterms:source "https://www.lpi.usra.edu/meteor/metbullclass.php?sea=L4-6" ; .</t>
  </si>
  <si>
    <t>dcterms:source "https://www.lpi.usra.edu/meteor/metbullclass.php?sea=L5-7" ; .</t>
  </si>
  <si>
    <t>dcterms:source "https://www.lpi.usra.edu/meteor/metbullclass.php?sea=L~3" ; .</t>
  </si>
  <si>
    <t>dcterms:source "https://www.lpi.usra.edu/meteor/metbullclass.php?sea=L~4" ; .</t>
  </si>
  <si>
    <t>dcterms:source "https://www.lpi.usra.edu/meteor/metbullclass.php?sea=L~4-6" ; .</t>
  </si>
  <si>
    <t>dcterms:source "https://www.lpi.usra.edu/meteor/metbullclass.php?sea=L~5" ; .</t>
  </si>
  <si>
    <t>dcterms:source "https://www.lpi.usra.edu/meteor/metbullclass.php?sea=L~6" ; .</t>
  </si>
  <si>
    <t>dcterms:source "https://www.lpi.usra.edu/meteor/metbullclass.php?sea=LL" ; .</t>
  </si>
  <si>
    <t>dcterms:source "https://www.lpi.usra.edu/meteor/metbullclass.php?sea=LL3" ; .</t>
  </si>
  <si>
    <t>dcterms:source "https://www.lpi.usra.edu/meteor/metbullclass.php?sea=LL3/4" ; .</t>
  </si>
  <si>
    <t>dcterms:source "https://www.lpi.usra.edu/meteor/metbullclass.php?sea=LL3.0" ; .</t>
  </si>
  <si>
    <t>dcterms:source "https://www.lpi.usra.edu/meteor/metbullclass.php?sea=LL3.00" ; .</t>
  </si>
  <si>
    <t>dcterms:source "https://www.lpi.usra.edu/meteor/metbullclass.php?sea=LL3.05" ; .</t>
  </si>
  <si>
    <t>dcterms:source "https://www.lpi.usra.edu/meteor/metbullclass.php?sea=LL3.1" ; .</t>
  </si>
  <si>
    <t>dcterms:source "https://www.lpi.usra.edu/meteor/metbullclass.php?sea=LL3.10" ; .</t>
  </si>
  <si>
    <t>dcterms:source "https://www.lpi.usra.edu/meteor/metbullclass.php?sea=LL3.15" ; .</t>
  </si>
  <si>
    <t>dcterms:source "https://www.lpi.usra.edu/meteor/metbullclass.php?sea=LL3.2" ; .</t>
  </si>
  <si>
    <t>dcterms:source "https://www.lpi.usra.edu/meteor/metbullclass.php?sea=LL3.3" ; .</t>
  </si>
  <si>
    <t>dcterms:source "https://www.lpi.usra.edu/meteor/metbullclass.php?sea=LL3.5" ; .</t>
  </si>
  <si>
    <t>dcterms:source "https://www.lpi.usra.edu/meteor/metbullclass.php?sea=LL3.6" ; .</t>
  </si>
  <si>
    <t>dcterms:source "https://www.lpi.usra.edu/meteor/metbullclass.php?sea=LL3.6/3.7" ; .</t>
  </si>
  <si>
    <t>dcterms:source "https://www.lpi.usra.edu/meteor/metbullclass.php?sea=LL3.7" ; .</t>
  </si>
  <si>
    <t>dcterms:source "https://www.lpi.usra.edu/meteor/metbullclass.php?sea=LL3.8" ; .</t>
  </si>
  <si>
    <t>dcterms:source "https://www.lpi.usra.edu/meteor/metbullclass.php?sea=LL3.9" ; .</t>
  </si>
  <si>
    <t>dcterms:source "https://www.lpi.usra.edu/meteor/metbullclass.php?sea=LL3.9/4" ; .</t>
  </si>
  <si>
    <t>dcterms:source "https://www.lpi.usra.edu/meteor/metbullclass.php?sea=LL4" ; .</t>
  </si>
  <si>
    <t>dcterms:source "https://www.lpi.usra.edu/meteor/metbullclass.php?sea=LL4/5" ; .</t>
  </si>
  <si>
    <t>dcterms:source "https://www.lpi.usra.edu/meteor/metbullclass.php?sea=LL4-melt%20breccia" ; .</t>
  </si>
  <si>
    <t>dcterms:source "https://www.lpi.usra.edu/meteor/metbullclass.php?sea=LL5" ; .</t>
  </si>
  <si>
    <t>dcterms:source "https://www.lpi.usra.edu/meteor/metbullclass.php?sea=LL5/6" ; .</t>
  </si>
  <si>
    <t>dcterms:source "https://www.lpi.usra.edu/meteor/metbullclass.php?sea=LL5-melt%20breccia" ; .</t>
  </si>
  <si>
    <t>dcterms:source "https://www.lpi.usra.edu/meteor/metbullclass.php?sea=LL6" ; .</t>
  </si>
  <si>
    <t>dcterms:source "https://www.lpi.usra.edu/meteor/metbullclass.php?sea=LL6-an" ; .</t>
  </si>
  <si>
    <t>dcterms:source "https://www.lpi.usra.edu/meteor/metbullclass.php?sea=LL6-melt%20breccia" ; .</t>
  </si>
  <si>
    <t>dcterms:source "https://www.lpi.usra.edu/meteor/metbullclass.php?sea=LL6/7" ; .</t>
  </si>
  <si>
    <t>dcterms:source "https://www.lpi.usra.edu/meteor/metbullclass.php?sea=LL-imp%20melt" ; .</t>
  </si>
  <si>
    <t>dcterms:source "https://www.lpi.usra.edu/meteor/metbullclass.php?sea=LL-melt%20breccia" ; .</t>
  </si>
  <si>
    <t>dcterms:source "https://www.lpi.usra.edu/meteor/metbullclass.php?sea=LL-melt%20rock" ; .</t>
  </si>
  <si>
    <t>dcterms:source "https://www.lpi.usra.edu/meteor/metbullclass.php?sea=LL3-5" ; .</t>
  </si>
  <si>
    <t>dcterms:source "https://www.lpi.usra.edu/meteor/metbullclass.php?sea=LL3-6" ; .</t>
  </si>
  <si>
    <t>dcterms:source "https://www.lpi.usra.edu/meteor/metbullclass.php?sea=LL3.7-6" ; .</t>
  </si>
  <si>
    <t>dcterms:source "https://www.lpi.usra.edu/meteor/metbullclass.php?sea=LL3.8-4" ; .</t>
  </si>
  <si>
    <t>dcterms:source "https://www.lpi.usra.edu/meteor/metbullclass.php?sea=LL3.8-6" ; .</t>
  </si>
  <si>
    <t>dcterms:source "https://www.lpi.usra.edu/meteor/metbullclass.php?sea=LL4-6" ; .</t>
  </si>
  <si>
    <t>dcterms:source "https://www.lpi.usra.edu/meteor/metbullclass.php?sea=LL4-7" ; .</t>
  </si>
  <si>
    <t>dcterms:source "https://www.lpi.usra.edu/meteor/metbullclass.php?sea=LL4/6" ; .</t>
  </si>
  <si>
    <t>dcterms:source "https://www.lpi.usra.edu/meteor/metbullclass.php?sea=LL6(?)" ; .</t>
  </si>
  <si>
    <t>dcterms:source "https://www.lpi.usra.edu/meteor/metbullclass.php?sea=LL7(?)" ; .</t>
  </si>
  <si>
    <t>dcterms:source "https://www.lpi.usra.edu/meteor/metbullclass.php?sea=LL&lt;3.5" ; .</t>
  </si>
  <si>
    <t>dcterms:source "https://www.lpi.usra.edu/meteor/metbullclass.php?sea=LL~3" ; .</t>
  </si>
  <si>
    <t>dcterms:source "https://www.lpi.usra.edu/meteor/metbullclass.php?sea=LL~4" ; .</t>
  </si>
  <si>
    <t>dcterms:source "https://www.lpi.usra.edu/meteor/metbullclass.php?sea=LL~4/5" ; .</t>
  </si>
  <si>
    <t>dcterms:source "https://www.lpi.usra.edu/meteor/metbullclass.php?sea=LL~5" ; .</t>
  </si>
  <si>
    <t>dcterms:source "https://www.lpi.usra.edu/meteor/metbullclass.php?sea=LL~6" ; .</t>
  </si>
  <si>
    <t>dcterms:source "https://www.lpi.usra.edu/meteor/metbullclass.php?sea=LL?" ; .</t>
  </si>
  <si>
    <t>dcterms:source "https://www.lpi.usra.edu/meteor/metbullclass.php?sea=E-an" ; .</t>
  </si>
  <si>
    <t>dcterms:source "https://www.lpi.usra.edu/meteor/metbullclass.php?sea=E-melt%20breccia" ; .</t>
  </si>
  <si>
    <t>dcterms:source "https://www.lpi.usra.edu/meteor/metbullclass.php?sea=E3" ; .</t>
  </si>
  <si>
    <t>dcterms:source "https://www.lpi.usra.edu/meteor/metbullclass.php?sea=E3-an" ; .</t>
  </si>
  <si>
    <t>dcterms:source "https://www.lpi.usra.edu/meteor/metbullclass.php?sea=E4" ; .</t>
  </si>
  <si>
    <t>dcterms:source "https://www.lpi.usra.edu/meteor/metbullclass.php?sea=E5" ; .</t>
  </si>
  <si>
    <t>dcterms:source "https://www.lpi.usra.edu/meteor/metbullclass.php?sea=E5-an" ; .</t>
  </si>
  <si>
    <t>dcterms:source "https://www.lpi.usra.edu/meteor/metbullclass.php?sea=E6" ; .</t>
  </si>
  <si>
    <t>dcterms:source "https://www.lpi.usra.edu/meteor/metbullclass.php?sea=EH" ; .</t>
  </si>
  <si>
    <t>dcterms:source "https://www.lpi.usra.edu/meteor/metbullclass.php?sea=EH3" ; .</t>
  </si>
  <si>
    <t>dcterms:source "https://www.lpi.usra.edu/meteor/metbullclass.php?sea=EH3/4-an" ; .</t>
  </si>
  <si>
    <t>dcterms:source "https://www.lpi.usra.edu/meteor/metbullclass.php?sea=EH4" ; .</t>
  </si>
  <si>
    <t>dcterms:source "https://www.lpi.usra.edu/meteor/metbullclass.php?sea=EH5" ; .</t>
  </si>
  <si>
    <t>dcterms:source "https://www.lpi.usra.edu/meteor/metbullclass.php?sea=EH6" ; .</t>
  </si>
  <si>
    <t>dcterms:source "https://www.lpi.usra.edu/meteor/metbullclass.php?sea=EH6-melt%20breccia" ; .</t>
  </si>
  <si>
    <t>dcterms:source "https://www.lpi.usra.edu/meteor/metbullclass.php?sea=EH-imp%20melt" ; .</t>
  </si>
  <si>
    <t>dcterms:source "https://www.lpi.usra.edu/meteor/metbullclass.php?sea=EH-melt%20rock" ; .</t>
  </si>
  <si>
    <t>dcterms:source "https://www.lpi.usra.edu/meteor/metbullclass.php?sea=EH7" ; .</t>
  </si>
  <si>
    <t>dcterms:source "https://www.lpi.usra.edu/meteor/metbullclass.php?sea=EL-melt%20rock" ; .</t>
  </si>
  <si>
    <t>dcterms:source "https://www.lpi.usra.edu/meteor/metbullclass.php?sea=EL3" ; .</t>
  </si>
  <si>
    <t>dcterms:source "https://www.lpi.usra.edu/meteor/metbullclass.php?sea=EL4" ; .</t>
  </si>
  <si>
    <t>dcterms:source "https://www.lpi.usra.edu/meteor/metbullclass.php?sea=EL5" ; .</t>
  </si>
  <si>
    <t>dcterms:source "https://www.lpi.usra.edu/meteor/metbullclass.php?sea=EL5-melt%20breccia" ; .</t>
  </si>
  <si>
    <t>dcterms:source "https://www.lpi.usra.edu/meteor/metbullclass.php?sea=EL6" ; .</t>
  </si>
  <si>
    <t>dcterms:source "https://www.lpi.usra.edu/meteor/metbullclass.php?sea=EL6/7" ; .</t>
  </si>
  <si>
    <t>dcterms:source "https://www.lpi.usra.edu/meteor/metbullclass.php?sea=EL7" ; .</t>
  </si>
  <si>
    <t>dcterms:source "https://www.lpi.usra.edu/meteor/metbullclass.php?sea=K" ; .</t>
  </si>
  <si>
    <t>dcterms:source "https://www.lpi.usra.edu/meteor/metbullclass.php?sea=K3" ; .</t>
  </si>
  <si>
    <t>dcterms:source "https://www.lpi.usra.edu/meteor/metbullclass.php?sea=K4" ; .</t>
  </si>
  <si>
    <t>dcterms:source "https://www.lpi.usra.edu/meteor/metbullclass.php?sea=R" ; .</t>
  </si>
  <si>
    <t>dcterms:source "https://www.lpi.usra.edu/meteor/metbullclass.php?sea=R3" ; .</t>
  </si>
  <si>
    <t>dcterms:source "https://www.lpi.usra.edu/meteor/metbullclass.php?sea=R4" ; .</t>
  </si>
  <si>
    <t>dcterms:source "https://www.lpi.usra.edu/meteor/metbullclass.php?sea=R5" ; .</t>
  </si>
  <si>
    <t>dcterms:source "https://www.lpi.usra.edu/meteor/metbullclass.php?sea=R6" ; .</t>
  </si>
  <si>
    <t>dcterms:source "https://www.lpi.usra.edu/meteor/metbullclass.php?sea=Achondrite-prim" ; .</t>
  </si>
  <si>
    <t>dcterms:source "https://www.lpi.usra.edu/meteor/metbullclass.php?sea=Acapulcoite" ; .</t>
  </si>
  <si>
    <t>dcterms:source "https://www.lpi.usra.edu/meteor/metbullclass.php?sea=Acapulcoite/lodranite" ; .</t>
  </si>
  <si>
    <t>dcterms:source "https://www.lpi.usra.edu/meteor/metbullclass.php?sea=Brachinite" ; .</t>
  </si>
  <si>
    <t>dcterms:source "https://www.lpi.usra.edu/meteor/metbullclass.php?sea=Iron,%20IAB%20complex" ; .</t>
  </si>
  <si>
    <t>dcterms:source "https://www.lpi.usra.edu/meteor/metbullclass.php?sea=Iron,%20IAB-MG" ; .</t>
  </si>
  <si>
    <t>dcterms:source "https://www.lpi.usra.edu/meteor/metbullclass.php?sea=Iron,%20IAB-sLL" ; .</t>
  </si>
  <si>
    <t>dcterms:source "https://www.lpi.usra.edu/meteor/metbullclass.php?sea=Iron,%20IAB-sLM" ; .</t>
  </si>
  <si>
    <t>dcterms:source "https://www.lpi.usra.edu/meteor/metbullclass.php?sea=Iron,%20IAB-sLM-an" ; .</t>
  </si>
  <si>
    <t>dcterms:source "https://www.lpi.usra.edu/meteor/metbullclass.php?sea=Iron,%20IAB-sLH" ; .</t>
  </si>
  <si>
    <t>dcterms:source "https://www.lpi.usra.edu/meteor/metbullclass.php?sea=Iron,%20IAB-sHL" ; .</t>
  </si>
  <si>
    <t>dcterms:source "https://www.lpi.usra.edu/meteor/metbullclass.php?sea=Iron,%20IAB-sHL-an" ; .</t>
  </si>
  <si>
    <t>dcterms:source "https://www.lpi.usra.edu/meteor/metbullclass.php?sea=Iron,%20IAB-sHH" ; .</t>
  </si>
  <si>
    <t>dcterms:source "https://www.lpi.usra.edu/meteor/metbullclass.php?sea=Iron,%20IAB-ung" ; .</t>
  </si>
  <si>
    <t>dcterms:source "https://www.lpi.usra.edu/meteor/metbullclass.php?sea=Iron,%20IAB-an" ; .</t>
  </si>
  <si>
    <t>dcterms:source "https://www.lpi.usra.edu/meteor/metbullclass.php?sea=Lodranite-an" ; .</t>
  </si>
  <si>
    <t>dcterms:source "https://www.lpi.usra.edu/meteor/metbullclass.php?sea=Ureilite" ; .</t>
  </si>
  <si>
    <t>dcterms:source "https://www.lpi.usra.edu/meteor/metbullclass.php?sea=Ureilite-an" ; .</t>
  </si>
  <si>
    <t>dcterms:source "https://www.lpi.usra.edu/meteor/metbullclass.php?sea=Ureilite-pmict" ; .</t>
  </si>
  <si>
    <t>dcterms:source "https://www.lpi.usra.edu/meteor/metbullclass.php?sea=Winonaite" ; .</t>
  </si>
  <si>
    <t>dcterms:source "https://www.lpi.usra.edu/meteor/metbullclass.php?sea=Angrite" ; .</t>
  </si>
  <si>
    <t>dcterms:source "https://www.lpi.usra.edu/meteor/metbullclass.php?sea=Aubrite" ; .</t>
  </si>
  <si>
    <t>dcterms:source "https://www.lpi.usra.edu/meteor/metbullclass.php?sea=Enst%20achon-ung" ; .</t>
  </si>
  <si>
    <t>dcterms:source "https://www.lpi.usra.edu/meteor/metbullclass.php?sea=Howardite" ; .</t>
  </si>
  <si>
    <t>dcterms:source "https://www.lpi.usra.edu/meteor/metbullclass.php?sea=Howardite-an" ; .</t>
  </si>
  <si>
    <t>dcterms:source "https://www.lpi.usra.edu/meteor/metbullclass.php?sea=Eucrite" ; .</t>
  </si>
  <si>
    <t>dcterms:source "https://www.lpi.usra.edu/meteor/metbullclass.php?sea=Eucrite-an" ; .</t>
  </si>
  <si>
    <t>dcterms:source "https://www.lpi.usra.edu/meteor/metbullclass.php?sea=Eucrite-br" ; .</t>
  </si>
  <si>
    <t>dcterms:source "https://www.lpi.usra.edu/meteor/metbullclass.php?sea=Eucrite-cm" ; .</t>
  </si>
  <si>
    <t>dcterms:source "https://www.lpi.usra.edu/meteor/metbullclass.php?sea=Eucrite-melt%20breccia" ; .</t>
  </si>
  <si>
    <t>dcterms:source "https://www.lpi.usra.edu/meteor/metbullclass.php?sea=Eucrite-Mg%20rich" ; .</t>
  </si>
  <si>
    <t>dcterms:source "https://www.lpi.usra.edu/meteor/metbullclass.php?sea=Eucrite-mmict" ; .</t>
  </si>
  <si>
    <t>dcterms:source "https://www.lpi.usra.edu/meteor/metbullclass.php?sea=Eucrite-pmict" ; .</t>
  </si>
  <si>
    <t>dcterms:source "https://www.lpi.usra.edu/meteor/metbullclass.php?sea=Eucrite-unbr" ; .</t>
  </si>
  <si>
    <t>dcterms:source "https://www.lpi.usra.edu/meteor/metbullclass.php?sea=Diogenite" ; .</t>
  </si>
  <si>
    <t>dcterms:source "https://www.lpi.usra.edu/meteor/metbullclass.php?sea=Diogenite-pm" ; .</t>
  </si>
  <si>
    <t>dcterms:source "https://www.lpi.usra.edu/meteor/metbullclass.php?sea=Diogenite-an" ; .</t>
  </si>
  <si>
    <t>dcterms:source "https://www.lpi.usra.edu/meteor/metbullclass.php?sea=Diogenite-olivine" ; .</t>
  </si>
  <si>
    <t>dcterms:source "https://www.lpi.usra.edu/meteor/metbullclass.php?sea=Pallasite" ; .</t>
  </si>
  <si>
    <t>dcterms:source "https://www.lpi.usra.edu/meteor/metbullclass.php?sea=Pallasite,%20PMG" ; .</t>
  </si>
  <si>
    <t>dcterms:source "https://www.lpi.usra.edu/meteor/metbullclass.php?sea=Pallasite,%20PMG-an" ; .</t>
  </si>
  <si>
    <t>dcterms:source "https://www.lpi.usra.edu/meteor/metbullclass.php?sea=Pallasite,%20PES" ; .</t>
  </si>
  <si>
    <t>dcterms:source "https://www.lpi.usra.edu/meteor/metbullclass.php?sea=Mesosiderite" ; .</t>
  </si>
  <si>
    <t>dcterms:source "https://www.lpi.usra.edu/meteor/metbullclass.php?sea=Mesosiderite-A" ; .</t>
  </si>
  <si>
    <t>dcterms:source "https://www.lpi.usra.edu/meteor/metbullclass.php?sea=Mesosiderite-A1" ; .</t>
  </si>
  <si>
    <t>dcterms:source "https://www.lpi.usra.edu/meteor/metbullclass.php?sea=Mesosiderite-A2" ; .</t>
  </si>
  <si>
    <t>dcterms:source "https://www.lpi.usra.edu/meteor/metbullclass.php?sea=Mesosiderite-A3" ; .</t>
  </si>
  <si>
    <t>dcterms:source "https://www.lpi.usra.edu/meteor/metbullclass.php?sea=Mesosiderite-A4" ; .</t>
  </si>
  <si>
    <t>dcterms:source "https://www.lpi.usra.edu/meteor/metbullclass.php?sea=Mesosiderite-an" ; .</t>
  </si>
  <si>
    <t>dcterms:source "https://www.lpi.usra.edu/meteor/metbullclass.php?sea=Mesosiderite-B" ; .</t>
  </si>
  <si>
    <t>dcterms:source "https://www.lpi.usra.edu/meteor/metbullclass.php?sea=Mesosiderite-B1" ; .</t>
  </si>
  <si>
    <t>dcterms:source "https://www.lpi.usra.edu/meteor/metbullclass.php?sea=Mesosiderite-B2" ; .</t>
  </si>
  <si>
    <t>dcterms:source "https://www.lpi.usra.edu/meteor/metbullclass.php?sea=Mesosiderite-B3" ; .</t>
  </si>
  <si>
    <t>dcterms:source "https://www.lpi.usra.edu/meteor/metbullclass.php?sea=Mesosiderite-B4" ; .</t>
  </si>
  <si>
    <t>dcterms:source "https://www.lpi.usra.edu/meteor/metbullclass.php?sea=Mesosiderite-C" ; .</t>
  </si>
  <si>
    <t>dcterms:source "https://www.lpi.usra.edu/meteor/metbullclass.php?sea=Mesosiderite-C2" ; .</t>
  </si>
  <si>
    <t>dcterms:source "https://www.lpi.usra.edu/meteor/metbullclass.php?sea=Iron,%20IC" ; .</t>
  </si>
  <si>
    <t>dcterms:source "https://www.lpi.usra.edu/meteor/metbullclass.php?sea=Iron,%20IC-an" ; .</t>
  </si>
  <si>
    <t>dcterms:source "https://www.lpi.usra.edu/meteor/metbullclass.php?sea=Iron,%20IIAB" ; .</t>
  </si>
  <si>
    <t>dcterms:source "https://www.lpi.usra.edu/meteor/metbullclass.php?sea=Iron,%20IIAB-an" ; .</t>
  </si>
  <si>
    <t>dcterms:source "https://www.lpi.usra.edu/meteor/metbullclass.php?sea=Iron,%20IIC" ; .</t>
  </si>
  <si>
    <t>dcterms:source "https://www.lpi.usra.edu/meteor/metbullclass.php?sea=Iron,%20IID" ; .</t>
  </si>
  <si>
    <t>dcterms:source "https://www.lpi.usra.edu/meteor/metbullclass.php?sea=Iron,%20IID-an" ; .</t>
  </si>
  <si>
    <t>dcterms:source "https://www.lpi.usra.edu/meteor/metbullclass.php?sea=Iron,%20IIE" ; .</t>
  </si>
  <si>
    <t>dcterms:source "https://www.lpi.usra.edu/meteor/metbullclass.php?sea=Iron,%20IIE-an" ; .</t>
  </si>
  <si>
    <t>dcterms:source "https://www.lpi.usra.edu/meteor/metbullclass.php?sea=Iron,%20IIF" ; .</t>
  </si>
  <si>
    <t>dcterms:source "https://www.lpi.usra.edu/meteor/metbullclass.php?sea=Iron,%20IIIAB" ; .</t>
  </si>
  <si>
    <t>dcterms:source "https://www.lpi.usra.edu/meteor/metbullclass.php?sea=Iron,%20IIIAB-an" ; .</t>
  </si>
  <si>
    <t>dcterms:source "https://www.lpi.usra.edu/meteor/metbullclass.php?sea=Iron,%20IIIE" ; .</t>
  </si>
  <si>
    <t>dcterms:source "https://www.lpi.usra.edu/meteor/metbullclass.php?sea=Iron,%20IIIE-an" ; .</t>
  </si>
  <si>
    <t>dcterms:source "https://www.lpi.usra.edu/meteor/metbullclass.php?sea=Iron,%20IIIF" ; .</t>
  </si>
  <si>
    <t>dcterms:source "https://www.lpi.usra.edu/meteor/metbullclass.php?sea=Iron,%20IVA" ; .</t>
  </si>
  <si>
    <t>dcterms:source "https://www.lpi.usra.edu/meteor/metbullclass.php?sea=Iron,%20IVA-an" ; .</t>
  </si>
  <si>
    <t>dcterms:source "https://www.lpi.usra.edu/meteor/metbullclass.php?sea=Iron,%20IVB" ; .</t>
  </si>
  <si>
    <t>dcterms:source "https://www.lpi.usra.edu/meteor/metbullclass.php?sea=Martian" ; .</t>
  </si>
  <si>
    <t>dcterms:source "https://www.lpi.usra.edu/meteor/metbullclass.php?sea=Martian%20(shergottite)" ; .</t>
  </si>
  <si>
    <t>dcterms:source "https://www.lpi.usra.edu/meteor/metbullclass.php?sea=Martian%20(nakhlite)" ; .</t>
  </si>
  <si>
    <t>dcterms:source "https://www.lpi.usra.edu/meteor/metbullclass.php?sea=Martian%20(chassignite)" ; .</t>
  </si>
  <si>
    <t>dcterms:source "https://www.lpi.usra.edu/meteor/metbullclass.php?sea=Lunar%20(anorth)" ; .</t>
  </si>
  <si>
    <t>dcterms:source "https://www.lpi.usra.edu/meteor/metbullclass.php?sea=Lunar%20(bas.%20breccia)" ; .</t>
  </si>
  <si>
    <t>dcterms:source "https://www.lpi.usra.edu/meteor/metbullclass.php?sea=Lunar%20(bas/anor)" ; .</t>
  </si>
  <si>
    <t>dcterms:source "https://www.lpi.usra.edu/meteor/metbullclass.php?sea=Lunar%20(bas/gab%20brec)" ; .</t>
  </si>
  <si>
    <t>dcterms:source "https://www.lpi.usra.edu/meteor/metbullclass.php?sea=Lunar%20(feldsp.%20breccia)" ; .</t>
  </si>
  <si>
    <t>dcterms:source "https://www.lpi.usra.edu/meteor/metbullclass.php?sea=Lunar%20(basalt)" ; .</t>
  </si>
  <si>
    <t>dcterms:source "https://www.lpi.usra.edu/meteor/metbullclass.php?sea=Lunar%20(gabbro)" ; .</t>
  </si>
  <si>
    <t>dcterms:source "https://www.lpi.usra.edu/meteor/metbullclass.php?sea=Lunar%20(norite)" ; .</t>
  </si>
  <si>
    <t>dcterms:source "https://www.lpi.usra.edu/meteor/metbullclass.php?sea=Lunar%20(olivine%20gabbro)" ; .</t>
  </si>
  <si>
    <t>dcterms:source "https://www.lpi.usra.edu/meteor/metbullclass.php?sea=Lunar%20(troct.%20anorth.)" ; .</t>
  </si>
  <si>
    <t>dcterms:source "https://www.lpi.usra.edu/meteor/metbullclass.php?sea=Iron" ; .</t>
  </si>
  <si>
    <t>dcterms:source "https://www.lpi.usra.edu/meteor/metbullclass.php?sea=Lunar" ; .</t>
  </si>
  <si>
    <t>dcterms:source "https://www.lpi.usra.edu/meteor/metbullclass.php?sea=CM1-2" ; .</t>
  </si>
  <si>
    <t>dcterms:source "https://www.lpi.usra.edu/meteor/metbullclass.php?sea=H/L3" ; .</t>
  </si>
  <si>
    <t>dcterms:source "https://www.lpi.usra.edu/meteor/metbullclass.php?sea=H3-4" ; .</t>
  </si>
  <si>
    <t>dcterms:source "https://www.lpi.usra.edu/meteor/metbullclass.php?sea=H/L4-5" ; .</t>
  </si>
  <si>
    <t>dcterms:source "https://www.lpi.usra.edu/meteor/metbullclass.php?sea=H4-5" ; .</t>
  </si>
  <si>
    <t>dcterms:source "https://www.lpi.usra.edu/meteor/metbullclass.php?sea=H/L6" ; .</t>
  </si>
  <si>
    <t>dcterms:source "https://www.lpi.usra.edu/meteor/metbullclass.php?sea=L3.4" ; .</t>
  </si>
  <si>
    <t>dcterms:source "https://www.lpi.usra.edu/meteor/metbullclass.php?sea=L3/4" ; .</t>
  </si>
  <si>
    <t>dcterms:source "https://www.lpi.usra.edu/meteor/metbullclass.php?sea=L(LL)3" ; .</t>
  </si>
  <si>
    <t>dcterms:source "https://www.lpi.usra.edu/meteor/metbullclass.php?sea=L/LL3" ; .</t>
  </si>
  <si>
    <t>dcterms:source "https://www.lpi.usra.edu/meteor/metbullclass.php?sea=L/LL3.2" ; .</t>
  </si>
  <si>
    <t>dcterms:source "https://www.lpi.usra.edu/meteor/metbullclass.php?sea=L4-5" ; .</t>
  </si>
  <si>
    <t>dcterms:source "https://www.lpi.usra.edu/meteor/metbullclass.php?sea=L(LL)5" ; .</t>
  </si>
  <si>
    <t>dcterms:source "https://www.lpi.usra.edu/meteor/metbullclass.php?sea=L/LL5-6" ; .</t>
  </si>
  <si>
    <t>dcterms:source "https://www.lpi.usra.edu/meteor/metbullclass.php?sea=L(LL)6" ; .</t>
  </si>
  <si>
    <t>dcterms:source "https://www.lpi.usra.edu/meteor/metbullclass.php?sea=LL3-4" ; .</t>
  </si>
  <si>
    <t>dcterms:source "https://www.lpi.usra.edu/meteor/metbullclass.php?sea=LL3.4" ; .</t>
  </si>
  <si>
    <t>dcterms:source "https://www.lpi.usra.edu/meteor/metbullclass.php?sea=LL4-5" ; .</t>
  </si>
  <si>
    <t>dcterms:source "https://www.lpi.usra.edu/meteor/metbullclass.php?sea=LL5-6" ; .</t>
  </si>
  <si>
    <t>dcterms:source "https://www.lpi.usra.edu/meteor/metbullclass.php?sea=Martian%20(OPX)" ; .</t>
  </si>
  <si>
    <t>dcterms:source "https://www.lpi.usra.edu/meteor/metbullclass.php?sea=Martian%20(basaltic%20breccia)" ; .</t>
  </si>
  <si>
    <t>dcterms:source "https://www.lpi.usra.edu/meteor/metbullclass.php?sea=H3.5" ; .</t>
  </si>
  <si>
    <t>dcterms:source "https://www.lpi.usra.edu/meteor/metbullclass.php?sea=H3.4" ; .</t>
  </si>
  <si>
    <t>dcterms:source "https://www.lpi.usra.edu/meteor/metbullclass.php?sea=Achondrite-ung" ; .</t>
  </si>
  <si>
    <t>dcterms:source "https://www.lpi.usra.edu/meteor/metbullclass.php?sea=C-ung" ; .</t>
  </si>
  <si>
    <t>dcterms:source "https://www.lpi.usra.edu/meteor/metbullclass.php?sea=CK3-6" ; .</t>
  </si>
  <si>
    <t>dcterms:source "https://www.lpi.usra.edu/meteor/metbullclass.php?sea=CH/CBb" ; .</t>
  </si>
  <si>
    <t>dcterms:source "https://www.lpi.usra.edu/meteor/metbullclass.php?sea=CK4/5" ; .</t>
  </si>
  <si>
    <t>dcterms:source "https://www.lpi.usra.edu/meteor/metbullclass.php?sea=CK5-an" ; .</t>
  </si>
  <si>
    <t>dcterms:source "https://www.lpi.usra.edu/meteor/metbullclass.php?sea=CK5/6" ; .</t>
  </si>
  <si>
    <t>dcterms:source "https://www.lpi.usra.edu/meteor/metbullclass.php?sea=EH4/5" ; .</t>
  </si>
  <si>
    <t>dcterms:source "https://www.lpi.usra.edu/meteor/metbullclass.php?sea=R3-4" ; .</t>
  </si>
  <si>
    <t>dcterms:source "https://www.lpi.usra.edu/meteor/metbullclass.php?sea=R3-5" ; .</t>
  </si>
  <si>
    <t>dcterms:source "https://www.lpi.usra.edu/meteor/metbullclass.php?sea=R3-6" ; .</t>
  </si>
  <si>
    <t>dcterms:source "https://www.lpi.usra.edu/meteor/metbullclass.php?sea=R3.4" ; .</t>
  </si>
  <si>
    <t>dcterms:source "https://www.lpi.usra.edu/meteor/metbullclass.php?sea=R3.5-4" ; .</t>
  </si>
  <si>
    <t>dcterms:source "https://www.lpi.usra.edu/meteor/metbullclass.php?sea=R3.5-6" ; .</t>
  </si>
  <si>
    <t>dcterms:source "https://www.lpi.usra.edu/meteor/metbullclass.php?sea=R3.6" ; .</t>
  </si>
  <si>
    <t>dcterms:source "https://www.lpi.usra.edu/meteor/metbullclass.php?sea=R3.7" ; .</t>
  </si>
  <si>
    <t>dcterms:source "https://www.lpi.usra.edu/meteor/metbullclass.php?sea=R3.8" ; .</t>
  </si>
  <si>
    <t>dcterms:source "https://www.lpi.usra.edu/meteor/metbullclass.php?sea=R3.8-5" ; .</t>
  </si>
  <si>
    <t>dcterms:source "https://www.lpi.usra.edu/meteor/metbullclass.php?sea=R3.8-6" ; .</t>
  </si>
  <si>
    <t>dcterms:source "https://www.lpi.usra.edu/meteor/metbullclass.php?sea=R3.9" ; .</t>
  </si>
  <si>
    <t>dcterms:source "https://www.lpi.usra.edu/meteor/metbullclass.php?sea=R3/4" ; .</t>
  </si>
  <si>
    <t>dcterms:source "https://www.lpi.usra.edu/meteor/metbullclass.php?sea=R4-5" ; .</t>
  </si>
  <si>
    <t>dcterms:source "https://www.lpi.usra.edu/meteor/metbullclass.php?sea=R4-6" ; .</t>
  </si>
  <si>
    <t>dcterms:source "https://www.lpi.usra.edu/meteor/metbullclass.php?sea=R4/5" ; .</t>
  </si>
  <si>
    <t>dcterms:source "https://www.lpi.usra.edu/meteor/metbullclass.php?sea=Mesosiderite-A3/4" ; .</t>
  </si>
  <si>
    <t>dcterms:source "https://www.lpi.usra.edu/meteor/metbullclass.php?sea=H3.8" ; .</t>
  </si>
  <si>
    <t>dcterms:source "https://www.lpi.usra.edu/meteor/metbullclass.php?sea=H3.9" ; .</t>
  </si>
  <si>
    <t>dcterms:source "https://www.lpi.usra.edu/meteor/metbullclass.php?sea=H3.6" ; .</t>
  </si>
  <si>
    <t>dcterms:source "https://www.lpi.usra.edu/meteor/metbullclass.php?sea=H3.7" ; .</t>
  </si>
  <si>
    <t>dcterms:source "https://www.lpi.usra.edu/meteor/metbullclass.php?sea=Iron,%20ungrouped" ; .</t>
  </si>
  <si>
    <t>dcterms:source "https://www.lpi.usra.edu/meteor/metbullclass.php?sea=Relict%20meteorite" ; .</t>
  </si>
  <si>
    <t>dcterms:source "https://www.lpi.usra.edu/meteor/metbullclass.php?sea=Relict%20H" ; .</t>
  </si>
  <si>
    <t>dcterms:source "https://www.lpi.usra.edu/meteor/metbullclass.php?sea=Relict%20iron" ; .</t>
  </si>
  <si>
    <t>dcterms:source "https://www.lpi.usra.edu/meteor/metbullclass.php?sea=Relict%20OC" ; .</t>
  </si>
  <si>
    <t>dcterms:source "https://www.lpi.usra.edu/meteor/metbullclass.php?sea=Relict%20ureilite" ; .</t>
  </si>
  <si>
    <t>dcterms:source "https://www.lpi.usra.edu/meteor/metbullclass.php?sea=EH7-an" ; .</t>
  </si>
  <si>
    <t>dcterms:source "https://www.lpi.usra.edu/meteor/metbullclass.php?sea=H3.3" ; .</t>
  </si>
  <si>
    <t>dcterms:source "https://www.lpi.usra.edu/meteor/metbullclass.php?sea=Stone-uncl" ; .</t>
  </si>
  <si>
    <t>dcterms:source "https://www.lpi.usra.edu/meteor/metbullclass.php?sea=Iron,%20IIG" ; .</t>
  </si>
  <si>
    <t>dcterms:source "https://www.lpi.usra.edu/meteor/metbullclass.php?sea=Pallasite,%20ungrouped" ; .</t>
  </si>
  <si>
    <t>dcterms:source "https://www.lpi.usra.edu/meteor/metbullclass.php?sea=Aubrite-an" ; .</t>
  </si>
  <si>
    <t>dcterms:source "https://www.lpi.usra.edu/meteor/metbullclass.php?sea=Iron?" ; .</t>
  </si>
  <si>
    <t>dcterms:source "https://www.lpi.usra.edu/meteor/metbullclass.php?sea=OC3" ; .</t>
  </si>
  <si>
    <t>dcterms:source "https://www.lpi.usra.edu/meteor/metbullclass.php?sea=Iron,%20IAB?" ; .</t>
  </si>
  <si>
    <t>dcterms:source "https://www.lpi.usra.edu/meteor/metbullclass.php?sea=LL7" ; .</t>
  </si>
  <si>
    <t>dcterms:source "https://www.lpi.usra.edu/meteor/metbullclass.php?sea=H3.8-an" ; .</t>
  </si>
  <si>
    <t>dcterms:source "https://www.lpi.usra.edu/meteor/metbullclass.php?sea=CO3-melt%20breccia" ; .</t>
  </si>
  <si>
    <t>dcterms:source "https://www.lpi.usra.edu/meteor/metbullclass.php?sea=Chondrite-fusion%20crust"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</si>
</sst>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9" formatCode="yyyy\-mm\-dd;@"/>
    <numFmt numFmtId="170" formatCode="[$-409]yyyy\-mm\-dd\Thh:mm"/>
  </numFmts>
  <fonts count="23"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sz val="10"/>
      <color rgb="FF000000"/>
      <name val="Noto Sans"/>
      <family val="2"/>
    </font>
    <font>
      <sz val="8"/>
      <name val="Calibri"/>
      <family val="2"/>
      <scheme val="minor"/>
    </font>
    <font>
      <sz val="10"/>
      <color rgb="FF1198B1"/>
      <name val="Noto Sans"/>
      <family val="2"/>
    </font>
    <font>
      <u/>
      <sz val="10"/>
      <color rgb="FFFF3399"/>
      <name val="Noto Sans"/>
      <family val="2"/>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12">
    <xf numFmtId="0" fontId="0" fillId="0" borderId="0" xfId="0"/>
    <xf numFmtId="0" fontId="0" fillId="0" borderId="0" xfId="0" applyAlignment="1">
      <alignment vertical="top"/>
    </xf>
    <xf numFmtId="11" fontId="0" fillId="0" borderId="0" xfId="0" applyNumberFormat="1" applyAlignment="1">
      <alignment vertical="top"/>
    </xf>
    <xf numFmtId="1" fontId="0" fillId="0" borderId="0" xfId="0" applyNumberFormat="1" applyAlignment="1">
      <alignment vertical="top"/>
    </xf>
    <xf numFmtId="0" fontId="19" fillId="0" borderId="0" xfId="0" applyFont="1" applyAlignment="1">
      <alignment vertical="top"/>
    </xf>
    <xf numFmtId="0" fontId="19" fillId="0" borderId="0" xfId="0" applyFont="1"/>
    <xf numFmtId="0" fontId="18" fillId="0" borderId="0" xfId="42"/>
    <xf numFmtId="0" fontId="18" fillId="0" borderId="0" xfId="42" applyAlignment="1">
      <alignment vertical="top"/>
    </xf>
    <xf numFmtId="0" fontId="0" fillId="0" borderId="0" xfId="0" applyAlignment="1">
      <alignment horizontal="left" vertical="top"/>
    </xf>
    <xf numFmtId="0" fontId="0" fillId="0" borderId="0" xfId="0" applyAlignment="1"/>
    <xf numFmtId="169" fontId="0" fillId="0" borderId="0" xfId="0" applyNumberFormat="1" applyAlignment="1">
      <alignment horizontal="left" vertical="top"/>
    </xf>
    <xf numFmtId="170" fontId="0" fillId="0" borderId="0" xfId="0" applyNumberFormat="1" applyAlignment="1">
      <alignment horizontal="left" vertical="top"/>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externalLink" Target="externalLinks/externalLink1.xml"/><Relationship Id="rId9"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file:///C:\Workspace\GithubC\mindat\How-to-Use-Mindat-API\meteoriteQuery.xlsx" TargetMode="External"/><Relationship Id="rId1" Type="http://schemas.openxmlformats.org/officeDocument/2006/relationships/externalLinkPath" Target="meteoriteQuery.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meteoriteQuery"/>
      <sheetName val="Sheet1"/>
    </sheetNames>
    <sheetDataSet>
      <sheetData sheetId="0">
        <row r="2">
          <cell r="D2">
            <v>11263</v>
          </cell>
          <cell r="E2" t="str">
            <v>Lodranite meteorite</v>
          </cell>
          <cell r="F2" t="str">
            <v>Lodranite meteorite</v>
          </cell>
        </row>
        <row r="3">
          <cell r="D3">
            <v>48145</v>
          </cell>
          <cell r="E3" t="str">
            <v>Lunar granophyric granite</v>
          </cell>
          <cell r="F3" t="str">
            <v>Lunar granophyric granite</v>
          </cell>
        </row>
        <row r="4">
          <cell r="D4">
            <v>49091</v>
          </cell>
          <cell r="E4" t="str">
            <v>Shock lithified impact regolith</v>
          </cell>
          <cell r="F4" t="str">
            <v>Shock lithified impact regolith</v>
          </cell>
        </row>
        <row r="5">
          <cell r="D5">
            <v>49093</v>
          </cell>
          <cell r="E5" t="str">
            <v>Martian basaltic breccia</v>
          </cell>
          <cell r="F5" t="str">
            <v>Martian basaltic breccia</v>
          </cell>
        </row>
        <row r="6">
          <cell r="D6">
            <v>49505</v>
          </cell>
          <cell r="E6" t="str">
            <v>Lunar igneous rock</v>
          </cell>
          <cell r="F6" t="str">
            <v>Lunar igneous rock</v>
          </cell>
        </row>
        <row r="7">
          <cell r="D7">
            <v>49506</v>
          </cell>
          <cell r="E7" t="str">
            <v>Mare basalt</v>
          </cell>
          <cell r="F7" t="str">
            <v>Mare basalt</v>
          </cell>
        </row>
        <row r="8">
          <cell r="D8">
            <v>49507</v>
          </cell>
          <cell r="E8" t="str">
            <v>Highland rock</v>
          </cell>
          <cell r="F8" t="str">
            <v>Highland rock</v>
          </cell>
        </row>
        <row r="9">
          <cell r="D9">
            <v>49508</v>
          </cell>
          <cell r="E9" t="str">
            <v>Lunar fragmental rock and sediment</v>
          </cell>
          <cell r="F9" t="str">
            <v>Lunar fragmental rock and sediment</v>
          </cell>
        </row>
        <row r="10">
          <cell r="D10">
            <v>49509</v>
          </cell>
          <cell r="E10" t="str">
            <v>Lunar breccia</v>
          </cell>
          <cell r="F10" t="str">
            <v>Lunar breccia</v>
          </cell>
        </row>
        <row r="11">
          <cell r="D11">
            <v>49510</v>
          </cell>
          <cell r="E11" t="str">
            <v>Feldspathic breccia</v>
          </cell>
          <cell r="F11" t="str">
            <v>Feldspathic breccia</v>
          </cell>
        </row>
        <row r="12">
          <cell r="D12">
            <v>49511</v>
          </cell>
          <cell r="E12" t="str">
            <v>Lunar regolith</v>
          </cell>
          <cell r="F12" t="str">
            <v>Lunar regolith</v>
          </cell>
        </row>
        <row r="13">
          <cell r="D13">
            <v>49512</v>
          </cell>
          <cell r="E13" t="str">
            <v>Lunar highland regolith</v>
          </cell>
          <cell r="F13" t="str">
            <v>Lunar highland regolith</v>
          </cell>
        </row>
        <row r="14">
          <cell r="D14">
            <v>49513</v>
          </cell>
          <cell r="E14" t="str">
            <v>Lunar mare regolith</v>
          </cell>
          <cell r="F14" t="str">
            <v>Lunar mare regolith</v>
          </cell>
        </row>
        <row r="15">
          <cell r="D15">
            <v>49514</v>
          </cell>
          <cell r="E15" t="str">
            <v>Meteorite</v>
          </cell>
          <cell r="F15" t="str">
            <v>Meteorite</v>
          </cell>
        </row>
        <row r="16">
          <cell r="D16">
            <v>49515</v>
          </cell>
          <cell r="E16" t="str">
            <v>Chondrite meteorite</v>
          </cell>
          <cell r="F16" t="str">
            <v>Chondrite meteorite</v>
          </cell>
        </row>
        <row r="17">
          <cell r="D17">
            <v>49517</v>
          </cell>
          <cell r="E17" t="str">
            <v>Chondrite-fusion crust meteorite</v>
          </cell>
          <cell r="F17" t="str">
            <v>Chondrite-fusion crust meteorite</v>
          </cell>
        </row>
        <row r="18">
          <cell r="D18">
            <v>49518</v>
          </cell>
          <cell r="E18" t="str">
            <v>Ungrouped chondrite meteorite</v>
          </cell>
          <cell r="F18" t="str">
            <v>Ungrouped chondrite meteorite</v>
          </cell>
        </row>
        <row r="19">
          <cell r="D19">
            <v>49519</v>
          </cell>
          <cell r="E19" t="str">
            <v>Carbonaceous chondrite meteorite</v>
          </cell>
          <cell r="F19" t="str">
            <v>Carbonaceous chondrite meteorite</v>
          </cell>
        </row>
        <row r="20">
          <cell r="D20">
            <v>49520</v>
          </cell>
          <cell r="E20" t="str">
            <v>C chondrite meteorite</v>
          </cell>
          <cell r="F20" t="str">
            <v>C chondrite meteorite</v>
          </cell>
        </row>
        <row r="21">
          <cell r="D21">
            <v>49521</v>
          </cell>
          <cell r="E21" t="str">
            <v>C1 chondrite meteorite</v>
          </cell>
          <cell r="F21" t="str">
            <v>C1 chondrite meteorite</v>
          </cell>
        </row>
        <row r="22">
          <cell r="D22">
            <v>49522</v>
          </cell>
          <cell r="E22" t="str">
            <v>Ungrouped C1 chondrite meteorite</v>
          </cell>
        </row>
        <row r="23">
          <cell r="D23">
            <v>49523</v>
          </cell>
          <cell r="E23" t="str">
            <v>Ungrouped C1/2 chondrite meteorite</v>
          </cell>
        </row>
        <row r="24">
          <cell r="D24">
            <v>49524</v>
          </cell>
          <cell r="E24" t="str">
            <v>C2 chondrite meteorite</v>
          </cell>
          <cell r="F24" t="str">
            <v>C2 chondrite meteorite</v>
          </cell>
        </row>
        <row r="25">
          <cell r="D25">
            <v>49525</v>
          </cell>
          <cell r="E25" t="str">
            <v>Ungrouped C2 chondrite meteorite</v>
          </cell>
        </row>
        <row r="26">
          <cell r="D26">
            <v>49526</v>
          </cell>
          <cell r="E26" t="str">
            <v>C3 chondrite meteorite</v>
          </cell>
          <cell r="F26" t="str">
            <v>C3 chondrite meteorite</v>
          </cell>
        </row>
        <row r="27">
          <cell r="D27">
            <v>49527</v>
          </cell>
          <cell r="E27" t="str">
            <v>Ungrouped C3 chondrite meteorite</v>
          </cell>
        </row>
        <row r="28">
          <cell r="D28">
            <v>49528</v>
          </cell>
          <cell r="E28" t="str">
            <v>Ungrouped C3.0 chondrite meteorite</v>
          </cell>
        </row>
        <row r="29">
          <cell r="D29">
            <v>49529</v>
          </cell>
          <cell r="E29" t="str">
            <v>Ungrouped C3/4 chondrite meteorite</v>
          </cell>
        </row>
        <row r="30">
          <cell r="D30">
            <v>49530</v>
          </cell>
          <cell r="E30" t="str">
            <v>C4 chondrite meteorite</v>
          </cell>
          <cell r="F30" t="str">
            <v>C4 chondrite meteorite</v>
          </cell>
        </row>
        <row r="31">
          <cell r="D31">
            <v>49531</v>
          </cell>
          <cell r="E31" t="str">
            <v>C4-ung chondrite meteorite</v>
          </cell>
        </row>
        <row r="32">
          <cell r="D32">
            <v>49532</v>
          </cell>
          <cell r="E32" t="str">
            <v>C4/5 chondrite meteorite</v>
          </cell>
        </row>
        <row r="33">
          <cell r="D33">
            <v>49533</v>
          </cell>
          <cell r="E33" t="str">
            <v>C5 chondrite meteorite</v>
          </cell>
          <cell r="F33" t="str">
            <v>C5 chondrite meteorite</v>
          </cell>
        </row>
        <row r="34">
          <cell r="D34">
            <v>49534</v>
          </cell>
          <cell r="E34" t="str">
            <v>C5/6-ung chondrite meteorite</v>
          </cell>
        </row>
        <row r="35">
          <cell r="D35">
            <v>49535</v>
          </cell>
          <cell r="E35" t="str">
            <v>C6 chondrite meteorite</v>
          </cell>
          <cell r="F35" t="str">
            <v>C6 chondrite meteorite</v>
          </cell>
        </row>
        <row r="36">
          <cell r="D36">
            <v>49536</v>
          </cell>
          <cell r="E36" t="str">
            <v>CB chondrite meteorite</v>
          </cell>
          <cell r="F36" t="str">
            <v>CB chondrite meteorite</v>
          </cell>
        </row>
        <row r="37">
          <cell r="D37">
            <v>49537</v>
          </cell>
          <cell r="E37" t="str">
            <v>CBa chondrite meteorite</v>
          </cell>
          <cell r="F37" t="str">
            <v>CBa chondrite meteorite</v>
          </cell>
        </row>
        <row r="38">
          <cell r="D38">
            <v>49538</v>
          </cell>
          <cell r="E38" t="str">
            <v>CBb chondrite meteorite</v>
          </cell>
          <cell r="F38" t="str">
            <v>CBb chondrite meteorite</v>
          </cell>
        </row>
        <row r="39">
          <cell r="D39">
            <v>49539</v>
          </cell>
          <cell r="E39" t="str">
            <v>CH chondrite meteorite</v>
          </cell>
          <cell r="F39" t="str">
            <v>CH chondrite meteorite</v>
          </cell>
        </row>
        <row r="40">
          <cell r="D40">
            <v>49540</v>
          </cell>
          <cell r="E40" t="str">
            <v>CH3 chondrite meteorite</v>
          </cell>
          <cell r="F40" t="str">
            <v>CH3 chondrite meteorite</v>
          </cell>
        </row>
        <row r="41">
          <cell r="D41">
            <v>49541</v>
          </cell>
          <cell r="E41" t="str">
            <v>CI chondrite meteorite</v>
          </cell>
          <cell r="F41" t="str">
            <v>CI chondrite meteorite</v>
          </cell>
        </row>
        <row r="42">
          <cell r="D42">
            <v>49542</v>
          </cell>
          <cell r="E42" t="str">
            <v>CI1 chondrite meteorite</v>
          </cell>
          <cell r="F42" t="str">
            <v>CI1 chondrite meteorite</v>
          </cell>
        </row>
        <row r="43">
          <cell r="D43">
            <v>49543</v>
          </cell>
          <cell r="E43" t="str">
            <v>CK chondrite meteorite</v>
          </cell>
          <cell r="F43" t="str">
            <v>CK chondrite meteorite</v>
          </cell>
        </row>
        <row r="44">
          <cell r="D44">
            <v>49544</v>
          </cell>
          <cell r="E44" t="str">
            <v>CK3 chondrite meteorite</v>
          </cell>
          <cell r="F44" t="str">
            <v>CK3 chondrite meteorite</v>
          </cell>
        </row>
        <row r="45">
          <cell r="D45">
            <v>49545</v>
          </cell>
          <cell r="E45" t="str">
            <v>Anomalous CK3 chondrite meteorite</v>
          </cell>
        </row>
        <row r="46">
          <cell r="D46">
            <v>49546</v>
          </cell>
          <cell r="E46" t="str">
            <v>CK3.8 chondrite meteorite</v>
          </cell>
        </row>
        <row r="47">
          <cell r="D47">
            <v>49547</v>
          </cell>
          <cell r="E47" t="str">
            <v>CK3/4 chondrite meteorite</v>
          </cell>
        </row>
        <row r="48">
          <cell r="D48">
            <v>49548</v>
          </cell>
          <cell r="E48" t="str">
            <v>CK4 chondrite meteorite</v>
          </cell>
          <cell r="F48" t="str">
            <v>CK4 chondrite meteorite</v>
          </cell>
        </row>
        <row r="49">
          <cell r="D49">
            <v>49549</v>
          </cell>
          <cell r="E49" t="str">
            <v>Anomalous CK4 chondrite meteorite</v>
          </cell>
        </row>
        <row r="50">
          <cell r="D50">
            <v>49550</v>
          </cell>
          <cell r="E50" t="str">
            <v>CK5 chondrite meteorite</v>
          </cell>
          <cell r="F50" t="str">
            <v>CK5 chondrite meteorite</v>
          </cell>
        </row>
        <row r="51">
          <cell r="D51">
            <v>49551</v>
          </cell>
          <cell r="E51" t="str">
            <v>CK6 chondrite meteorite</v>
          </cell>
          <cell r="F51" t="str">
            <v>CK6 chondrite meteorite</v>
          </cell>
        </row>
        <row r="52">
          <cell r="D52">
            <v>49552</v>
          </cell>
          <cell r="E52" t="str">
            <v>CM chondrite meteorite</v>
          </cell>
          <cell r="F52" t="str">
            <v>CM chondrite meteorite</v>
          </cell>
        </row>
        <row r="53">
          <cell r="D53">
            <v>49553</v>
          </cell>
          <cell r="E53" t="str">
            <v>CM1 chondrite meteorite</v>
          </cell>
          <cell r="F53" t="str">
            <v>CM1 chondrite meteorite</v>
          </cell>
        </row>
        <row r="54">
          <cell r="D54">
            <v>49554</v>
          </cell>
          <cell r="E54" t="str">
            <v>CM1/2 chondrite meteorite</v>
          </cell>
        </row>
        <row r="55">
          <cell r="D55">
            <v>49556</v>
          </cell>
          <cell r="E55" t="str">
            <v>Anomalous CM chondrite meteorite</v>
          </cell>
          <cell r="F55" t="str">
            <v>Anomalous CM chondrite meteorite</v>
          </cell>
        </row>
        <row r="56">
          <cell r="D56">
            <v>49557</v>
          </cell>
          <cell r="E56" t="str">
            <v>CM2 chondrite meteorite</v>
          </cell>
          <cell r="F56" t="str">
            <v>CM2 chondrite meteorite</v>
          </cell>
        </row>
        <row r="57">
          <cell r="D57">
            <v>49558</v>
          </cell>
          <cell r="E57" t="str">
            <v>Anomalous CM2 chondrite meteorite</v>
          </cell>
        </row>
        <row r="58">
          <cell r="D58">
            <v>49559</v>
          </cell>
          <cell r="E58" t="str">
            <v>CO chondrite meteorite</v>
          </cell>
          <cell r="F58" t="str">
            <v>CO chondrite meteorite</v>
          </cell>
        </row>
        <row r="59">
          <cell r="D59">
            <v>49560</v>
          </cell>
          <cell r="E59" t="str">
            <v>CO3 chondrite meteorite</v>
          </cell>
          <cell r="F59" t="str">
            <v>CO3 chondrite meteorite</v>
          </cell>
        </row>
        <row r="60">
          <cell r="D60">
            <v>49561</v>
          </cell>
          <cell r="E60" t="str">
            <v>CO3.0 chondrite meteorite</v>
          </cell>
        </row>
        <row r="61">
          <cell r="D61">
            <v>49562</v>
          </cell>
          <cell r="E61" t="str">
            <v>CO3.1 chondrite meteorite</v>
          </cell>
        </row>
        <row r="62">
          <cell r="D62">
            <v>49563</v>
          </cell>
          <cell r="E62" t="str">
            <v>CO3.2 chondrite meteorite</v>
          </cell>
        </row>
        <row r="63">
          <cell r="D63">
            <v>49564</v>
          </cell>
          <cell r="E63" t="str">
            <v>CO3.3 chondrite meteorite</v>
          </cell>
        </row>
        <row r="64">
          <cell r="D64">
            <v>49565</v>
          </cell>
          <cell r="E64" t="str">
            <v>CO3.4 chondrite meteorite</v>
          </cell>
        </row>
        <row r="65">
          <cell r="D65">
            <v>49566</v>
          </cell>
          <cell r="E65" t="str">
            <v>CO3.5 chondrite meteorite</v>
          </cell>
        </row>
        <row r="66">
          <cell r="D66">
            <v>49567</v>
          </cell>
          <cell r="E66" t="str">
            <v>CO3.6 chondrite meteorite</v>
          </cell>
        </row>
        <row r="67">
          <cell r="D67">
            <v>49568</v>
          </cell>
          <cell r="E67" t="str">
            <v>CO3.7 chondrite meteorite</v>
          </cell>
        </row>
        <row r="68">
          <cell r="D68">
            <v>49569</v>
          </cell>
          <cell r="E68" t="str">
            <v>CO3.8 chondrite meteorite</v>
          </cell>
        </row>
        <row r="69">
          <cell r="D69">
            <v>49570</v>
          </cell>
          <cell r="E69" t="str">
            <v>CO3.9 chondrite meteorite</v>
          </cell>
        </row>
        <row r="70">
          <cell r="D70">
            <v>49571</v>
          </cell>
          <cell r="E70" t="str">
            <v>CR chondrite meteorite</v>
          </cell>
          <cell r="F70" t="str">
            <v>CR chondrite meteorite</v>
          </cell>
        </row>
        <row r="71">
          <cell r="D71">
            <v>49572</v>
          </cell>
          <cell r="E71" t="str">
            <v>CR1 chondrite meteorite</v>
          </cell>
          <cell r="F71" t="str">
            <v>CR1 chondrite meteorite</v>
          </cell>
        </row>
        <row r="72">
          <cell r="D72">
            <v>49573</v>
          </cell>
          <cell r="E72" t="str">
            <v>CR2 chondrite meteorite</v>
          </cell>
          <cell r="F72" t="str">
            <v>CR2 chondrite meteorite</v>
          </cell>
        </row>
        <row r="73">
          <cell r="D73">
            <v>49574</v>
          </cell>
          <cell r="E73" t="str">
            <v>Anomalous CR2 chondrite meteorite</v>
          </cell>
        </row>
        <row r="74">
          <cell r="D74">
            <v>49575</v>
          </cell>
          <cell r="E74" t="str">
            <v>CR6 chondrite meteorite</v>
          </cell>
          <cell r="F74" t="str">
            <v>CR6 chondrite meteorite</v>
          </cell>
        </row>
        <row r="75">
          <cell r="D75">
            <v>49576</v>
          </cell>
          <cell r="E75" t="str">
            <v>CR7 chondrite meteorite</v>
          </cell>
          <cell r="F75" t="str">
            <v>CR7 chondrite meteorite</v>
          </cell>
        </row>
        <row r="76">
          <cell r="D76">
            <v>49577</v>
          </cell>
          <cell r="E76" t="str">
            <v>CV chondrite meteorite</v>
          </cell>
          <cell r="F76" t="str">
            <v>CV chondrite meteorite</v>
          </cell>
        </row>
        <row r="77">
          <cell r="D77">
            <v>49578</v>
          </cell>
          <cell r="E77" t="str">
            <v>CV2 chondrite meteorite</v>
          </cell>
          <cell r="F77" t="str">
            <v>CV2 chondrite meteorite</v>
          </cell>
        </row>
        <row r="78">
          <cell r="D78">
            <v>49579</v>
          </cell>
          <cell r="E78" t="str">
            <v>CV3 chondrite meteorite</v>
          </cell>
          <cell r="F78" t="str">
            <v>CV3 chondrite meteorite</v>
          </cell>
        </row>
        <row r="79">
          <cell r="D79">
            <v>49580</v>
          </cell>
          <cell r="E79" t="str">
            <v>Anomalous CV3 chondrite meteorite</v>
          </cell>
        </row>
        <row r="80">
          <cell r="D80">
            <v>49581</v>
          </cell>
          <cell r="E80" t="str">
            <v>Ordinary chondrite meteorite</v>
          </cell>
          <cell r="F80" t="str">
            <v>Ordinary chondrite meteorite</v>
          </cell>
        </row>
        <row r="81">
          <cell r="D81">
            <v>49582</v>
          </cell>
          <cell r="E81" t="str">
            <v>O chondrite meteorite</v>
          </cell>
        </row>
        <row r="82">
          <cell r="D82">
            <v>49583</v>
          </cell>
          <cell r="E82" t="str">
            <v>OC chondrite meteorite</v>
          </cell>
        </row>
        <row r="83">
          <cell r="D83">
            <v>49584</v>
          </cell>
          <cell r="E83" t="str">
            <v>H chondrite meteorite</v>
          </cell>
          <cell r="F83" t="str">
            <v>H chondrite meteorite</v>
          </cell>
        </row>
        <row r="84">
          <cell r="D84">
            <v>49585</v>
          </cell>
          <cell r="E84" t="str">
            <v>H3 chondrite meteorite</v>
          </cell>
          <cell r="F84" t="str">
            <v>H3 chondrite meteorite</v>
          </cell>
        </row>
        <row r="85">
          <cell r="D85">
            <v>49586</v>
          </cell>
          <cell r="E85" t="str">
            <v>H(L)3 chondrite meteorite</v>
          </cell>
        </row>
        <row r="86">
          <cell r="D86">
            <v>49587</v>
          </cell>
          <cell r="E86" t="str">
            <v>H/L3.5 chondrite meteorite</v>
          </cell>
        </row>
        <row r="87">
          <cell r="D87">
            <v>49588</v>
          </cell>
          <cell r="E87" t="str">
            <v>H/L3.6 chondrite meteorite</v>
          </cell>
        </row>
        <row r="88">
          <cell r="D88">
            <v>49589</v>
          </cell>
          <cell r="E88" t="str">
            <v>H/L3.7 chondrite meteorite</v>
          </cell>
        </row>
        <row r="89">
          <cell r="D89">
            <v>49590</v>
          </cell>
          <cell r="E89" t="str">
            <v>H/L3.9 chondrite meteorite</v>
          </cell>
        </row>
        <row r="90">
          <cell r="D90">
            <v>49591</v>
          </cell>
          <cell r="E90" t="str">
            <v>H/L3-4 chondrite meteorite</v>
          </cell>
        </row>
        <row r="91">
          <cell r="D91">
            <v>49592</v>
          </cell>
          <cell r="E91" t="str">
            <v>H3/4 chondrite meteorite</v>
          </cell>
        </row>
        <row r="92">
          <cell r="D92">
            <v>49593</v>
          </cell>
          <cell r="E92" t="str">
            <v>H3-an chondrite meteorite</v>
          </cell>
        </row>
        <row r="93">
          <cell r="D93">
            <v>49595</v>
          </cell>
          <cell r="E93" t="str">
            <v>H(L)3-an chondrite meteorite</v>
          </cell>
        </row>
        <row r="94">
          <cell r="D94">
            <v>49596</v>
          </cell>
          <cell r="E94" t="str">
            <v>H(L)3.1 chondrite meteorite</v>
          </cell>
        </row>
        <row r="95">
          <cell r="D95">
            <v>49597</v>
          </cell>
          <cell r="E95" t="str">
            <v>H3.0 chondrite meteorite</v>
          </cell>
        </row>
        <row r="96">
          <cell r="D96">
            <v>49598</v>
          </cell>
          <cell r="E96" t="str">
            <v>H.3.05 chondrite meteorite</v>
          </cell>
        </row>
        <row r="97">
          <cell r="D97">
            <v>49599</v>
          </cell>
          <cell r="E97" t="str">
            <v>H3.0-3.4 chondrite meteorite</v>
          </cell>
        </row>
        <row r="98">
          <cell r="D98">
            <v>49600</v>
          </cell>
          <cell r="E98" t="str">
            <v>H3.1 chondrite meteorite</v>
          </cell>
        </row>
        <row r="99">
          <cell r="D99">
            <v>49601</v>
          </cell>
          <cell r="E99" t="str">
            <v>H.3.10 chondrite meteorite</v>
          </cell>
        </row>
        <row r="100">
          <cell r="D100">
            <v>49602</v>
          </cell>
          <cell r="E100" t="str">
            <v>H3.15 chondrite meteorite</v>
          </cell>
        </row>
        <row r="101">
          <cell r="D101">
            <v>49603</v>
          </cell>
          <cell r="E101" t="str">
            <v>H3.2 chondrite meteorite</v>
          </cell>
        </row>
        <row r="102">
          <cell r="D102">
            <v>49604</v>
          </cell>
          <cell r="E102" t="str">
            <v>H3.2-3.7 chondrite meteorite</v>
          </cell>
        </row>
        <row r="103">
          <cell r="D103">
            <v>49606</v>
          </cell>
          <cell r="E103" t="str">
            <v>H4 chondrite meteorite</v>
          </cell>
          <cell r="F103" t="str">
            <v>H4 chondrite meteorite</v>
          </cell>
        </row>
        <row r="104">
          <cell r="D104">
            <v>49607</v>
          </cell>
          <cell r="E104" t="str">
            <v>H4-melt breccia chondrite meteorite</v>
          </cell>
        </row>
        <row r="105">
          <cell r="D105">
            <v>49608</v>
          </cell>
          <cell r="E105" t="str">
            <v>H4-an chondrite meteorite</v>
          </cell>
        </row>
        <row r="106">
          <cell r="D106">
            <v>49609</v>
          </cell>
          <cell r="E106" t="str">
            <v>H/L4 chondrite meteorite</v>
          </cell>
        </row>
        <row r="107">
          <cell r="D107">
            <v>49610</v>
          </cell>
          <cell r="E107" t="str">
            <v>H/L4/5 chondrite meteorite</v>
          </cell>
        </row>
        <row r="108">
          <cell r="D108">
            <v>49612</v>
          </cell>
          <cell r="E108" t="str">
            <v>H4/5 chondrite meteorite</v>
          </cell>
        </row>
        <row r="109">
          <cell r="D109">
            <v>49614</v>
          </cell>
          <cell r="E109" t="str">
            <v>H5 chondrite meteorite</v>
          </cell>
          <cell r="F109" t="str">
            <v>H5 chondrite meteorite</v>
          </cell>
        </row>
        <row r="110">
          <cell r="D110">
            <v>49615</v>
          </cell>
          <cell r="E110" t="str">
            <v>H5-an chondrite meteorite</v>
          </cell>
        </row>
        <row r="111">
          <cell r="D111">
            <v>49616</v>
          </cell>
          <cell r="E111" t="str">
            <v>H5-melt breccia chondrite meteorite</v>
          </cell>
        </row>
        <row r="112">
          <cell r="D112">
            <v>49617</v>
          </cell>
          <cell r="E112" t="str">
            <v>H/L5 chondrite meteorite</v>
          </cell>
        </row>
        <row r="113">
          <cell r="D113">
            <v>49618</v>
          </cell>
          <cell r="E113" t="str">
            <v>H5-6 chondrite meteorite</v>
          </cell>
        </row>
        <row r="114">
          <cell r="D114">
            <v>49619</v>
          </cell>
          <cell r="E114" t="str">
            <v>H6 chondrite meteorite</v>
          </cell>
          <cell r="F114" t="str">
            <v>H6 chondrite meteorite</v>
          </cell>
        </row>
        <row r="115">
          <cell r="D115">
            <v>49620</v>
          </cell>
          <cell r="E115" t="str">
            <v>H6-an chondrite meteorite</v>
          </cell>
        </row>
        <row r="116">
          <cell r="D116">
            <v>49621</v>
          </cell>
          <cell r="E116" t="str">
            <v>H6-melt breccia chondrite meteorite</v>
          </cell>
        </row>
        <row r="117">
          <cell r="D117">
            <v>49622</v>
          </cell>
          <cell r="E117" t="str">
            <v>H(L)6 chondrite meteorite</v>
          </cell>
        </row>
        <row r="118">
          <cell r="D118">
            <v>49623</v>
          </cell>
          <cell r="E118" t="str">
            <v>H/L6-melt rock chondrite meteorite</v>
          </cell>
        </row>
        <row r="119">
          <cell r="D119">
            <v>49625</v>
          </cell>
          <cell r="E119" t="str">
            <v>H7 chondrite meteorite</v>
          </cell>
          <cell r="F119" t="str">
            <v>H7 chondrite meteorite</v>
          </cell>
        </row>
        <row r="120">
          <cell r="D120">
            <v>49626</v>
          </cell>
          <cell r="E120" t="str">
            <v>H-an chondrite meteorite</v>
          </cell>
          <cell r="F120" t="str">
            <v>H-an chondrite meteorite</v>
          </cell>
        </row>
        <row r="121">
          <cell r="D121">
            <v>49627</v>
          </cell>
          <cell r="E121" t="str">
            <v>H-imp melt chondrite meteorite</v>
          </cell>
          <cell r="F121" t="str">
            <v>H-imp melt chondrite meteorite</v>
          </cell>
        </row>
        <row r="122">
          <cell r="D122">
            <v>49628</v>
          </cell>
          <cell r="E122" t="str">
            <v>H-melt breccia chondrite meteorite</v>
          </cell>
          <cell r="F122" t="str">
            <v>H-melt breccia chondrite meteorite</v>
          </cell>
        </row>
        <row r="123">
          <cell r="D123">
            <v>49629</v>
          </cell>
          <cell r="E123" t="str">
            <v>H-melt rock chondrite meteorite</v>
          </cell>
          <cell r="F123" t="str">
            <v>H-melt rock chondrite meteorite</v>
          </cell>
        </row>
        <row r="124">
          <cell r="D124">
            <v>49630</v>
          </cell>
          <cell r="E124" t="str">
            <v>H-metal chondrite meteorite</v>
          </cell>
          <cell r="F124" t="str">
            <v>H-metal chondrite meteorite</v>
          </cell>
        </row>
        <row r="125">
          <cell r="D125">
            <v>49631</v>
          </cell>
          <cell r="E125" t="str">
            <v>H? chondrite meteorite</v>
          </cell>
        </row>
        <row r="126">
          <cell r="D126">
            <v>49632</v>
          </cell>
          <cell r="E126" t="str">
            <v>H~4 chondrite meteorite</v>
          </cell>
        </row>
        <row r="127">
          <cell r="D127">
            <v>49633</v>
          </cell>
          <cell r="E127" t="str">
            <v>H~4/5 chondrite meteorite</v>
          </cell>
        </row>
        <row r="128">
          <cell r="D128">
            <v>49634</v>
          </cell>
          <cell r="E128" t="str">
            <v>H~5 chondrite meteorite</v>
          </cell>
        </row>
        <row r="129">
          <cell r="D129">
            <v>49635</v>
          </cell>
          <cell r="E129" t="str">
            <v>H~6 chondrite meteorite</v>
          </cell>
        </row>
        <row r="130">
          <cell r="D130">
            <v>49636</v>
          </cell>
          <cell r="E130" t="str">
            <v>H(5?) chondrite meteorite</v>
          </cell>
        </row>
        <row r="131">
          <cell r="D131">
            <v>49637</v>
          </cell>
          <cell r="E131" t="str">
            <v>H5-7 chondrite meteorite</v>
          </cell>
        </row>
        <row r="132">
          <cell r="D132">
            <v>49638</v>
          </cell>
          <cell r="E132" t="str">
            <v>H/L~4 chondrite meteorite</v>
          </cell>
        </row>
        <row r="133">
          <cell r="D133">
            <v>49639</v>
          </cell>
          <cell r="E133" t="str">
            <v>H4(?) chondrite meteorite</v>
          </cell>
        </row>
        <row r="134">
          <cell r="D134">
            <v>49640</v>
          </cell>
          <cell r="E134" t="str">
            <v>H(?)4 chondrite meteorite</v>
          </cell>
        </row>
        <row r="135">
          <cell r="D135">
            <v>49641</v>
          </cell>
          <cell r="E135" t="str">
            <v>H3-5 chondrite meteorite</v>
          </cell>
        </row>
        <row r="136">
          <cell r="D136">
            <v>49642</v>
          </cell>
          <cell r="E136" t="str">
            <v>H3-6 chondrite meteorite</v>
          </cell>
        </row>
        <row r="137">
          <cell r="D137">
            <v>49643</v>
          </cell>
          <cell r="E137" t="str">
            <v>H3.2-6 chondrite meteorite</v>
          </cell>
        </row>
        <row r="138">
          <cell r="D138">
            <v>49644</v>
          </cell>
          <cell r="E138" t="str">
            <v>H3.9-5 chondrite meteorite</v>
          </cell>
        </row>
        <row r="139">
          <cell r="D139">
            <v>49645</v>
          </cell>
          <cell r="E139" t="str">
            <v>H3.9-6 chondrite meteorite</v>
          </cell>
        </row>
        <row r="140">
          <cell r="D140">
            <v>49646</v>
          </cell>
          <cell r="E140" t="str">
            <v>H4-6 chondrite meteorite</v>
          </cell>
        </row>
        <row r="141">
          <cell r="D141">
            <v>49647</v>
          </cell>
          <cell r="E141" t="str">
            <v>H4/6 chondrite meteorite</v>
          </cell>
        </row>
        <row r="142">
          <cell r="D142">
            <v>49648</v>
          </cell>
          <cell r="E142" t="str">
            <v>L chondrite meteorite</v>
          </cell>
          <cell r="F142" t="str">
            <v>L chondrite meteorite</v>
          </cell>
        </row>
        <row r="143">
          <cell r="D143">
            <v>49649</v>
          </cell>
          <cell r="E143" t="str">
            <v>L3 chondrite meteorite</v>
          </cell>
          <cell r="F143" t="str">
            <v>L3 chondrite meteorite</v>
          </cell>
        </row>
        <row r="144">
          <cell r="D144">
            <v>49650</v>
          </cell>
          <cell r="E144" t="str">
            <v>L3.0-3.9 chondrite meteorite</v>
          </cell>
        </row>
        <row r="145">
          <cell r="D145">
            <v>49651</v>
          </cell>
          <cell r="E145" t="str">
            <v>L3-melt breccia chondrite meteorite</v>
          </cell>
        </row>
        <row r="146">
          <cell r="D146">
            <v>49652</v>
          </cell>
          <cell r="E146" t="str">
            <v>L3.0 chondrite meteorite</v>
          </cell>
        </row>
        <row r="147">
          <cell r="D147">
            <v>49653</v>
          </cell>
          <cell r="E147" t="str">
            <v>L3.00 chondrite meteorite</v>
          </cell>
        </row>
        <row r="148">
          <cell r="D148">
            <v>49654</v>
          </cell>
          <cell r="E148" t="str">
            <v>L3.05 chondrite meteorite</v>
          </cell>
        </row>
        <row r="149">
          <cell r="D149">
            <v>49655</v>
          </cell>
          <cell r="E149" t="str">
            <v>L3.0-3.7 chondrite meteorite</v>
          </cell>
        </row>
        <row r="150">
          <cell r="D150">
            <v>49656</v>
          </cell>
          <cell r="E150" t="str">
            <v>L3.1 chondrite meteorite</v>
          </cell>
        </row>
        <row r="151">
          <cell r="D151">
            <v>49657</v>
          </cell>
          <cell r="E151" t="str">
            <v>L3.10 chondrite meteorite</v>
          </cell>
        </row>
        <row r="152">
          <cell r="D152">
            <v>49658</v>
          </cell>
          <cell r="E152" t="str">
            <v>L3.15 chondrite meteorite</v>
          </cell>
        </row>
        <row r="153">
          <cell r="D153">
            <v>49659</v>
          </cell>
          <cell r="E153" t="str">
            <v>L3.2 chondrite meteorite</v>
          </cell>
        </row>
        <row r="154">
          <cell r="D154">
            <v>49660</v>
          </cell>
          <cell r="E154" t="str">
            <v>L3.2-3.5 chondrite meteorite</v>
          </cell>
        </row>
        <row r="155">
          <cell r="D155">
            <v>49661</v>
          </cell>
          <cell r="E155" t="str">
            <v>L3.2-3.6 chondrite meteorite</v>
          </cell>
        </row>
        <row r="156">
          <cell r="D156">
            <v>49662</v>
          </cell>
          <cell r="E156" t="str">
            <v>L3.3 chondrite meteorite</v>
          </cell>
        </row>
        <row r="157">
          <cell r="D157">
            <v>49663</v>
          </cell>
          <cell r="E157" t="str">
            <v>L3.3-3.5 chondrite meteorite</v>
          </cell>
        </row>
        <row r="158">
          <cell r="D158">
            <v>49664</v>
          </cell>
          <cell r="E158" t="str">
            <v>L3.3-3.6 chondrite meteorite</v>
          </cell>
        </row>
        <row r="159">
          <cell r="D159">
            <v>49665</v>
          </cell>
          <cell r="E159" t="str">
            <v>L3.3-3.7 chondrite meteorite</v>
          </cell>
        </row>
        <row r="160">
          <cell r="D160">
            <v>49666</v>
          </cell>
          <cell r="E160" t="str">
            <v>L3-4 chondrite meteorite</v>
          </cell>
        </row>
        <row r="161">
          <cell r="D161">
            <v>49667</v>
          </cell>
          <cell r="E161" t="str">
            <v>L3.5 chondrite meteorite</v>
          </cell>
        </row>
        <row r="162">
          <cell r="D162">
            <v>49668</v>
          </cell>
          <cell r="E162" t="str">
            <v>L3.5-3.7 chondrite meteorite</v>
          </cell>
        </row>
        <row r="163">
          <cell r="D163">
            <v>49669</v>
          </cell>
          <cell r="E163" t="str">
            <v>L3.5-3.8 chondrite meteorite</v>
          </cell>
        </row>
        <row r="164">
          <cell r="D164">
            <v>49670</v>
          </cell>
          <cell r="E164" t="str">
            <v>L3.5-3.9 chondrite meteorite</v>
          </cell>
        </row>
        <row r="165">
          <cell r="D165">
            <v>49671</v>
          </cell>
          <cell r="E165" t="str">
            <v>L3.6 chondrite meteorite</v>
          </cell>
        </row>
        <row r="166">
          <cell r="D166">
            <v>49672</v>
          </cell>
          <cell r="E166" t="str">
            <v>L3.6-4 chondrite meteorite</v>
          </cell>
        </row>
        <row r="167">
          <cell r="D167">
            <v>49673</v>
          </cell>
          <cell r="E167" t="str">
            <v>L3.7 chondrite meteorite</v>
          </cell>
        </row>
        <row r="168">
          <cell r="D168">
            <v>49674</v>
          </cell>
          <cell r="E168" t="str">
            <v>L3.7/3.8 chondrite meteorite</v>
          </cell>
        </row>
        <row r="169">
          <cell r="D169">
            <v>49675</v>
          </cell>
          <cell r="E169" t="str">
            <v>L3.7-3.9 chondrite meteorite</v>
          </cell>
        </row>
        <row r="170">
          <cell r="D170">
            <v>49676</v>
          </cell>
          <cell r="E170" t="str">
            <v>L3.7-4 chondrite meteorite</v>
          </cell>
        </row>
        <row r="171">
          <cell r="D171">
            <v>49677</v>
          </cell>
          <cell r="E171" t="str">
            <v>L3.8 chondrite meteorite</v>
          </cell>
        </row>
        <row r="172">
          <cell r="D172">
            <v>49678</v>
          </cell>
          <cell r="E172" t="str">
            <v>L3.8-an chondrite meteorite</v>
          </cell>
        </row>
        <row r="173">
          <cell r="D173">
            <v>49679</v>
          </cell>
          <cell r="E173" t="str">
            <v>L3.9 chondrite meteorite</v>
          </cell>
        </row>
        <row r="174">
          <cell r="D174">
            <v>49680</v>
          </cell>
          <cell r="E174" t="str">
            <v>L3.9/4 chondrite meteorite</v>
          </cell>
        </row>
        <row r="175">
          <cell r="D175">
            <v>49682</v>
          </cell>
          <cell r="E175" t="str">
            <v>L(H)3 chondrite meteorite</v>
          </cell>
        </row>
        <row r="176">
          <cell r="D176">
            <v>49683</v>
          </cell>
          <cell r="E176" t="str">
            <v>LL(L)3 chondrite meteorite</v>
          </cell>
        </row>
        <row r="177">
          <cell r="D177">
            <v>49684</v>
          </cell>
          <cell r="E177" t="str">
            <v>L(LL)3.0 chondrite meteorite</v>
          </cell>
        </row>
        <row r="178">
          <cell r="D178">
            <v>49685</v>
          </cell>
          <cell r="E178" t="str">
            <v>L(LL)3.05 chondrite meteorite</v>
          </cell>
        </row>
        <row r="179">
          <cell r="D179">
            <v>49686</v>
          </cell>
          <cell r="E179" t="str">
            <v>L(LL)3.5-3.7 chondrite meteorite</v>
          </cell>
        </row>
        <row r="180">
          <cell r="D180">
            <v>49688</v>
          </cell>
          <cell r="E180" t="str">
            <v>LL(L)3.1 chondrite meteorite</v>
          </cell>
        </row>
        <row r="181">
          <cell r="D181">
            <v>49689</v>
          </cell>
          <cell r="E181" t="str">
            <v>LL(L)3.2 chondrite meteorite</v>
          </cell>
        </row>
        <row r="182">
          <cell r="D182">
            <v>49690</v>
          </cell>
          <cell r="E182" t="str">
            <v>L/LL3.4 chondrite meteorite</v>
          </cell>
        </row>
        <row r="183">
          <cell r="D183">
            <v>49691</v>
          </cell>
          <cell r="E183" t="str">
            <v>L/LL3.10 chondrite meteorite</v>
          </cell>
        </row>
        <row r="184">
          <cell r="D184">
            <v>49692</v>
          </cell>
          <cell r="E184" t="str">
            <v>L/LL3.5 chondrite meteorite</v>
          </cell>
        </row>
        <row r="185">
          <cell r="D185">
            <v>49693</v>
          </cell>
          <cell r="E185" t="str">
            <v>L/LL3.6/3.7 chondrite meteorite</v>
          </cell>
        </row>
        <row r="186">
          <cell r="D186">
            <v>49695</v>
          </cell>
          <cell r="E186" t="str">
            <v>L4 chondrite meteorite</v>
          </cell>
          <cell r="F186" t="str">
            <v>L4 chondrite meteorite</v>
          </cell>
        </row>
        <row r="187">
          <cell r="D187">
            <v>49696</v>
          </cell>
          <cell r="E187" t="str">
            <v>L4-an chondrite meteorite</v>
          </cell>
        </row>
        <row r="188">
          <cell r="D188">
            <v>49697</v>
          </cell>
          <cell r="E188" t="str">
            <v>L4-melt breccia chondrite meteorite</v>
          </cell>
        </row>
        <row r="189">
          <cell r="D189">
            <v>49698</v>
          </cell>
          <cell r="E189" t="str">
            <v>L4-melt rock chondrite meteorite</v>
          </cell>
        </row>
        <row r="190">
          <cell r="D190">
            <v>49699</v>
          </cell>
          <cell r="E190" t="str">
            <v>L/LL4 chondrite meteorite</v>
          </cell>
        </row>
        <row r="191">
          <cell r="D191">
            <v>49700</v>
          </cell>
          <cell r="E191" t="str">
            <v>L4/5 chondrite meteorite</v>
          </cell>
        </row>
        <row r="192">
          <cell r="D192">
            <v>49702</v>
          </cell>
          <cell r="E192" t="str">
            <v>L5 chondrite meteorite</v>
          </cell>
          <cell r="F192" t="str">
            <v>L5 chondrite meteorite</v>
          </cell>
        </row>
        <row r="193">
          <cell r="D193">
            <v>49703</v>
          </cell>
          <cell r="E193" t="str">
            <v>L/LL5 chondrite meteorite</v>
          </cell>
        </row>
        <row r="194">
          <cell r="D194">
            <v>49705</v>
          </cell>
          <cell r="E194" t="str">
            <v>L/LL5/6 chondrite meteorite</v>
          </cell>
        </row>
        <row r="195">
          <cell r="D195">
            <v>49707</v>
          </cell>
          <cell r="E195" t="str">
            <v>L5-6 chrondite</v>
          </cell>
        </row>
        <row r="196">
          <cell r="D196">
            <v>49708</v>
          </cell>
          <cell r="E196" t="str">
            <v>L5/6 chondrite meteorite</v>
          </cell>
        </row>
        <row r="197">
          <cell r="D197">
            <v>49709</v>
          </cell>
          <cell r="E197" t="str">
            <v>L5-melt breccia chondrite meteorite</v>
          </cell>
        </row>
        <row r="198">
          <cell r="D198">
            <v>49710</v>
          </cell>
          <cell r="E198" t="str">
            <v>L6 chondrite meteorite</v>
          </cell>
          <cell r="F198" t="str">
            <v>L6 chondrite meteorite</v>
          </cell>
        </row>
        <row r="199">
          <cell r="D199">
            <v>49711</v>
          </cell>
          <cell r="E199" t="str">
            <v>L6-melt breccia chondrite meteorite</v>
          </cell>
        </row>
        <row r="200">
          <cell r="D200">
            <v>49712</v>
          </cell>
          <cell r="E200" t="str">
            <v>L6-melt rock chondrite meteorite</v>
          </cell>
        </row>
        <row r="201">
          <cell r="D201">
            <v>49713</v>
          </cell>
          <cell r="E201" t="str">
            <v>L/LL6 chondrite meteorite</v>
          </cell>
        </row>
        <row r="202">
          <cell r="D202">
            <v>49715</v>
          </cell>
          <cell r="E202" t="str">
            <v>L/LL6-an chondrite meteorite</v>
          </cell>
        </row>
        <row r="203">
          <cell r="D203">
            <v>49716</v>
          </cell>
          <cell r="E203" t="str">
            <v>L6/7 chondrite meteorite</v>
          </cell>
        </row>
        <row r="204">
          <cell r="D204">
            <v>49717</v>
          </cell>
          <cell r="E204" t="str">
            <v>L7 chondrite meteorite</v>
          </cell>
          <cell r="F204" t="str">
            <v>L7 chondrite meteorite</v>
          </cell>
        </row>
        <row r="205">
          <cell r="D205">
            <v>49718</v>
          </cell>
          <cell r="E205" t="str">
            <v>L-imp melt chondrite meteorite</v>
          </cell>
          <cell r="F205" t="str">
            <v>L-imp melt chondrite meteorite</v>
          </cell>
        </row>
        <row r="206">
          <cell r="D206">
            <v>49719</v>
          </cell>
          <cell r="E206" t="str">
            <v>L-melt breccia chondrite meteorite</v>
          </cell>
          <cell r="F206" t="str">
            <v>L-melt breccia chondrite meteorite</v>
          </cell>
        </row>
        <row r="207">
          <cell r="D207">
            <v>49720</v>
          </cell>
          <cell r="E207" t="str">
            <v>L-melt rock chondrite meteorite</v>
          </cell>
          <cell r="F207" t="str">
            <v>L-melt rock chondrite meteorite</v>
          </cell>
        </row>
        <row r="208">
          <cell r="D208">
            <v>49721</v>
          </cell>
          <cell r="E208" t="str">
            <v>L-metal chondrite meteorite</v>
          </cell>
          <cell r="F208" t="str">
            <v>L-metal chondrite meteorite</v>
          </cell>
        </row>
        <row r="209">
          <cell r="D209">
            <v>49722</v>
          </cell>
          <cell r="E209" t="str">
            <v>L/LL-melt rock chondrite meteorite</v>
          </cell>
          <cell r="F209" t="str">
            <v>L/LL-melt rock chondrite meteorite</v>
          </cell>
        </row>
        <row r="210">
          <cell r="D210">
            <v>49723</v>
          </cell>
          <cell r="E210" t="str">
            <v>L/LL3-6 chondrite meteorite</v>
          </cell>
        </row>
        <row r="211">
          <cell r="D211">
            <v>49724</v>
          </cell>
          <cell r="E211" t="str">
            <v>L/LL3-5 chondrite meteorite</v>
          </cell>
        </row>
        <row r="212">
          <cell r="D212">
            <v>49725</v>
          </cell>
          <cell r="E212" t="str">
            <v>L/LL(?)3 chondrite meteorite</v>
          </cell>
        </row>
        <row r="213">
          <cell r="D213">
            <v>49726</v>
          </cell>
          <cell r="E213" t="str">
            <v>L(?)3 chondrite meteorite</v>
          </cell>
        </row>
        <row r="214">
          <cell r="D214">
            <v>49727</v>
          </cell>
          <cell r="E214" t="str">
            <v>L(LL)~4 chondrite meteorite</v>
          </cell>
        </row>
        <row r="215">
          <cell r="D215">
            <v>49728</v>
          </cell>
          <cell r="E215" t="str">
            <v>L/LL~4 chondrite meteorite</v>
          </cell>
        </row>
        <row r="216">
          <cell r="D216">
            <v>49729</v>
          </cell>
          <cell r="E216" t="str">
            <v>L/LL~5 chondrite meteorite</v>
          </cell>
        </row>
        <row r="217">
          <cell r="D217">
            <v>49730</v>
          </cell>
          <cell r="E217" t="str">
            <v>L/LL~6 chondrite meteorite</v>
          </cell>
        </row>
        <row r="218">
          <cell r="D218">
            <v>49731</v>
          </cell>
          <cell r="E218" t="str">
            <v>L3-5 chondrite meteorite</v>
          </cell>
        </row>
        <row r="219">
          <cell r="D219">
            <v>49732</v>
          </cell>
          <cell r="E219" t="str">
            <v>L3-6 chondrite meteorite</v>
          </cell>
        </row>
        <row r="220">
          <cell r="D220">
            <v>49733</v>
          </cell>
          <cell r="E220" t="str">
            <v>L3-7 chondrite meteorite</v>
          </cell>
        </row>
        <row r="221">
          <cell r="D221">
            <v>49734</v>
          </cell>
          <cell r="E221" t="str">
            <v>L3.5-5 chondrite meteorite</v>
          </cell>
        </row>
        <row r="222">
          <cell r="D222">
            <v>49735</v>
          </cell>
          <cell r="E222" t="str">
            <v>L3.7-6 chondrite meteorite</v>
          </cell>
        </row>
        <row r="223">
          <cell r="D223">
            <v>49736</v>
          </cell>
          <cell r="E223" t="str">
            <v>L3.8-5 chondrite meteorite</v>
          </cell>
        </row>
        <row r="224">
          <cell r="D224">
            <v>49737</v>
          </cell>
          <cell r="E224" t="str">
            <v>L3.8-6 chondrite meteorite</v>
          </cell>
        </row>
        <row r="225">
          <cell r="D225">
            <v>49738</v>
          </cell>
          <cell r="E225" t="str">
            <v>L4-6 chondrite meteorite</v>
          </cell>
        </row>
        <row r="226">
          <cell r="D226">
            <v>49739</v>
          </cell>
          <cell r="E226" t="str">
            <v>L5-7 chondrite meteorite</v>
          </cell>
        </row>
        <row r="227">
          <cell r="D227">
            <v>49740</v>
          </cell>
          <cell r="E227" t="str">
            <v>L~3 chondrite meteorite</v>
          </cell>
        </row>
        <row r="228">
          <cell r="D228">
            <v>49741</v>
          </cell>
          <cell r="E228" t="str">
            <v>L~4 chondrite meteorite</v>
          </cell>
        </row>
        <row r="229">
          <cell r="D229">
            <v>49742</v>
          </cell>
          <cell r="E229" t="str">
            <v>L~4-6 chondrite meteorite</v>
          </cell>
        </row>
        <row r="230">
          <cell r="D230">
            <v>49743</v>
          </cell>
          <cell r="E230" t="str">
            <v>L~5 chondrite meteorite</v>
          </cell>
        </row>
        <row r="231">
          <cell r="D231">
            <v>49744</v>
          </cell>
          <cell r="E231" t="str">
            <v>L~6 chondrite meteorite</v>
          </cell>
        </row>
        <row r="232">
          <cell r="D232">
            <v>49745</v>
          </cell>
          <cell r="E232" t="str">
            <v>LL chondrite meteorite</v>
          </cell>
          <cell r="F232" t="str">
            <v>LL chondrite meteorite</v>
          </cell>
        </row>
        <row r="233">
          <cell r="D233">
            <v>49746</v>
          </cell>
          <cell r="E233" t="str">
            <v>LL3 chondrite meteorite</v>
          </cell>
          <cell r="F233" t="str">
            <v>LL3 chondrite meteorite</v>
          </cell>
        </row>
        <row r="234">
          <cell r="D234">
            <v>49750</v>
          </cell>
          <cell r="E234" t="str">
            <v>LL3/4 chondrite meteorite</v>
          </cell>
        </row>
        <row r="235">
          <cell r="D235">
            <v>49751</v>
          </cell>
          <cell r="E235" t="str">
            <v>LL3.0 chondrite meteorite</v>
          </cell>
        </row>
        <row r="236">
          <cell r="D236">
            <v>49752</v>
          </cell>
          <cell r="E236" t="str">
            <v>LL3.00 chondrite meteorite</v>
          </cell>
        </row>
        <row r="237">
          <cell r="D237">
            <v>49753</v>
          </cell>
          <cell r="E237" t="str">
            <v>LL3.05 chondrite meteorite</v>
          </cell>
        </row>
        <row r="238">
          <cell r="D238">
            <v>49754</v>
          </cell>
          <cell r="E238" t="str">
            <v>LL3.1 chondrite meteorite</v>
          </cell>
        </row>
        <row r="239">
          <cell r="D239">
            <v>49755</v>
          </cell>
          <cell r="E239" t="str">
            <v>LL3.10 chondrite meteorite</v>
          </cell>
        </row>
        <row r="240">
          <cell r="D240">
            <v>49756</v>
          </cell>
          <cell r="E240" t="str">
            <v>LL3.15 chondrite meteorite</v>
          </cell>
        </row>
        <row r="241">
          <cell r="D241">
            <v>49757</v>
          </cell>
          <cell r="E241" t="str">
            <v>LL3.2 chondrite meteorite</v>
          </cell>
        </row>
        <row r="242">
          <cell r="D242">
            <v>49758</v>
          </cell>
          <cell r="E242" t="str">
            <v>LL3.3 chondrite meteorite</v>
          </cell>
        </row>
        <row r="243">
          <cell r="D243">
            <v>49760</v>
          </cell>
          <cell r="E243" t="str">
            <v>LL3.5 chondrite meteorite</v>
          </cell>
        </row>
        <row r="244">
          <cell r="D244">
            <v>49761</v>
          </cell>
          <cell r="E244" t="str">
            <v>LL3.6 chondrite meteorite</v>
          </cell>
        </row>
        <row r="245">
          <cell r="D245">
            <v>49762</v>
          </cell>
          <cell r="E245" t="str">
            <v>LL3.6/3.7 chondrite meteorite</v>
          </cell>
        </row>
        <row r="246">
          <cell r="D246">
            <v>49763</v>
          </cell>
          <cell r="E246" t="str">
            <v>LL3.7 chondrite meteorite</v>
          </cell>
        </row>
        <row r="247">
          <cell r="D247">
            <v>49764</v>
          </cell>
          <cell r="E247" t="str">
            <v>LL3.8 chondrite meteorite</v>
          </cell>
        </row>
        <row r="248">
          <cell r="D248">
            <v>49765</v>
          </cell>
          <cell r="E248" t="str">
            <v>LL3.9 chondrite meteorite</v>
          </cell>
        </row>
        <row r="249">
          <cell r="D249">
            <v>49767</v>
          </cell>
          <cell r="E249" t="str">
            <v>LL3.9/4 chondrite meteorite</v>
          </cell>
        </row>
        <row r="250">
          <cell r="D250">
            <v>49768</v>
          </cell>
          <cell r="E250" t="str">
            <v>LL4 chondrite meteorite</v>
          </cell>
          <cell r="F250" t="str">
            <v>LL4 chondrite meteorite</v>
          </cell>
        </row>
        <row r="251">
          <cell r="D251">
            <v>49769</v>
          </cell>
          <cell r="E251" t="str">
            <v>LL4/5 chondrite meteorite</v>
          </cell>
        </row>
        <row r="252">
          <cell r="D252">
            <v>49770</v>
          </cell>
          <cell r="E252" t="str">
            <v>LL4-melt breccia chondrite meteorite</v>
          </cell>
        </row>
        <row r="253">
          <cell r="D253">
            <v>49772</v>
          </cell>
          <cell r="E253" t="str">
            <v>LL5 chondrite meteorite</v>
          </cell>
          <cell r="F253" t="str">
            <v>LL5 chondrite meteorite</v>
          </cell>
        </row>
        <row r="254">
          <cell r="D254">
            <v>49773</v>
          </cell>
          <cell r="E254" t="str">
            <v>LL5/6 chondrite meteorite</v>
          </cell>
        </row>
        <row r="255">
          <cell r="D255">
            <v>49774</v>
          </cell>
          <cell r="E255" t="str">
            <v>LL5-melt breccia chondrite meteorite</v>
          </cell>
        </row>
        <row r="256">
          <cell r="D256">
            <v>49776</v>
          </cell>
          <cell r="E256" t="str">
            <v>LL6 chondrite meteorite</v>
          </cell>
          <cell r="F256" t="str">
            <v>LL6 chondrite meteorite</v>
          </cell>
        </row>
        <row r="257">
          <cell r="D257">
            <v>49777</v>
          </cell>
          <cell r="E257" t="str">
            <v>LL6-an chondrite meteorite</v>
          </cell>
          <cell r="F257" t="str">
            <v>LL6-an chondrite meteorite</v>
          </cell>
        </row>
        <row r="258">
          <cell r="D258">
            <v>49778</v>
          </cell>
          <cell r="E258" t="str">
            <v>LL6-melt breccia chondrite meteorite</v>
          </cell>
          <cell r="F258" t="str">
            <v>LL6-melt breccia chondrite meteorite</v>
          </cell>
        </row>
        <row r="259">
          <cell r="D259">
            <v>49779</v>
          </cell>
          <cell r="E259" t="str">
            <v>LL6/7 chondrite meteorite</v>
          </cell>
          <cell r="F259" t="str">
            <v>LL6/7 chondrite meteorite</v>
          </cell>
        </row>
        <row r="260">
          <cell r="D260">
            <v>49780</v>
          </cell>
          <cell r="E260" t="str">
            <v>LL-imp melt chondrite meteorite</v>
          </cell>
          <cell r="F260" t="str">
            <v>LL-imp melt chondrite meteorite</v>
          </cell>
        </row>
        <row r="261">
          <cell r="D261">
            <v>49781</v>
          </cell>
          <cell r="E261" t="str">
            <v>LL-melt breccia chondrite meteorite</v>
          </cell>
          <cell r="F261" t="str">
            <v>LL-melt breccia chondrite meteorite</v>
          </cell>
        </row>
        <row r="262">
          <cell r="D262">
            <v>49782</v>
          </cell>
          <cell r="E262" t="str">
            <v>LL-melt rock chondrite meteorite</v>
          </cell>
          <cell r="F262" t="str">
            <v>LL-melt rock chondrite meteorite</v>
          </cell>
        </row>
        <row r="263">
          <cell r="D263">
            <v>49783</v>
          </cell>
          <cell r="E263" t="str">
            <v>LL3-5 chondrite meteorite</v>
          </cell>
        </row>
        <row r="264">
          <cell r="D264">
            <v>49784</v>
          </cell>
          <cell r="E264" t="str">
            <v>LL3-6 chondrite meteorite</v>
          </cell>
        </row>
        <row r="265">
          <cell r="D265">
            <v>49785</v>
          </cell>
          <cell r="E265" t="str">
            <v>LL3.7-6 chondrite meteorite</v>
          </cell>
        </row>
        <row r="266">
          <cell r="D266">
            <v>49786</v>
          </cell>
          <cell r="E266" t="str">
            <v>LL3.8-4 chondrite meteorite</v>
          </cell>
        </row>
        <row r="267">
          <cell r="D267">
            <v>49787</v>
          </cell>
          <cell r="E267" t="str">
            <v>LL3.8-6 chondrite meteorite</v>
          </cell>
        </row>
        <row r="268">
          <cell r="D268">
            <v>49788</v>
          </cell>
          <cell r="E268" t="str">
            <v>LL4-6 chondrite meteorite</v>
          </cell>
        </row>
        <row r="269">
          <cell r="D269">
            <v>49789</v>
          </cell>
          <cell r="E269" t="str">
            <v>LL4-7 chondrite meteorite</v>
          </cell>
        </row>
        <row r="270">
          <cell r="D270">
            <v>49790</v>
          </cell>
          <cell r="E270" t="str">
            <v>LL4/6 chondrite meteorite</v>
          </cell>
        </row>
        <row r="271">
          <cell r="D271">
            <v>49791</v>
          </cell>
          <cell r="E271" t="str">
            <v>LL6(?) chondrite meteorite</v>
          </cell>
        </row>
        <row r="272">
          <cell r="D272">
            <v>49792</v>
          </cell>
          <cell r="E272" t="str">
            <v>LL7(?) chondrite meteorite</v>
          </cell>
        </row>
        <row r="273">
          <cell r="D273">
            <v>49793</v>
          </cell>
          <cell r="E273" t="str">
            <v>LL&lt;3.5 chondrite meteorite</v>
          </cell>
        </row>
        <row r="274">
          <cell r="D274">
            <v>49794</v>
          </cell>
          <cell r="E274" t="str">
            <v>LL~3 chondrite meteorite</v>
          </cell>
        </row>
        <row r="275">
          <cell r="D275">
            <v>49795</v>
          </cell>
          <cell r="E275" t="str">
            <v>LL~4 chondrite meteorite</v>
          </cell>
        </row>
        <row r="276">
          <cell r="D276">
            <v>49796</v>
          </cell>
          <cell r="E276" t="str">
            <v>LL~4/5 chondrite meteorite</v>
          </cell>
        </row>
        <row r="277">
          <cell r="D277">
            <v>49797</v>
          </cell>
          <cell r="E277" t="str">
            <v>LL~5 chondrite meteorite</v>
          </cell>
        </row>
        <row r="278">
          <cell r="D278">
            <v>49798</v>
          </cell>
          <cell r="E278" t="str">
            <v>LL~6 chondrite meteorite</v>
          </cell>
        </row>
        <row r="279">
          <cell r="D279">
            <v>49799</v>
          </cell>
          <cell r="E279" t="str">
            <v>LL? chondrite meteorite</v>
          </cell>
        </row>
        <row r="280">
          <cell r="D280">
            <v>49800</v>
          </cell>
          <cell r="E280" t="str">
            <v>Enstatite chondrite meteorite</v>
          </cell>
          <cell r="F280" t="str">
            <v>Enstatite chondrite meteorite</v>
          </cell>
        </row>
        <row r="281">
          <cell r="D281">
            <v>49801</v>
          </cell>
          <cell r="E281" t="str">
            <v>E chondrite meteorite</v>
          </cell>
        </row>
        <row r="282">
          <cell r="D282">
            <v>49802</v>
          </cell>
          <cell r="E282" t="str">
            <v>Anomalous E chondrite meteorite</v>
          </cell>
          <cell r="F282" t="str">
            <v>Anomalous E chondrite meteorite</v>
          </cell>
        </row>
        <row r="283">
          <cell r="D283">
            <v>49803</v>
          </cell>
          <cell r="E283" t="str">
            <v>E-melt breccia chondrite meteorite</v>
          </cell>
          <cell r="F283" t="str">
            <v>E-melt breccia chondrite meteorite</v>
          </cell>
        </row>
        <row r="284">
          <cell r="D284">
            <v>49804</v>
          </cell>
          <cell r="E284" t="str">
            <v>E3 chondrite meteorite</v>
          </cell>
          <cell r="F284" t="str">
            <v>E3 chondrite meteorite</v>
          </cell>
        </row>
        <row r="285">
          <cell r="D285">
            <v>49805</v>
          </cell>
          <cell r="E285" t="str">
            <v>Anomalous E3 chondrite meteorite</v>
          </cell>
          <cell r="F285" t="str">
            <v>Anomalous E3 chondrite meteorite</v>
          </cell>
        </row>
        <row r="286">
          <cell r="D286">
            <v>49806</v>
          </cell>
          <cell r="E286" t="str">
            <v>E4 chondrite meteorite</v>
          </cell>
          <cell r="F286" t="str">
            <v>E4 chondrite meteorite</v>
          </cell>
        </row>
        <row r="287">
          <cell r="D287">
            <v>49807</v>
          </cell>
          <cell r="E287" t="str">
            <v>E5 chondrite meteorite</v>
          </cell>
          <cell r="F287" t="str">
            <v>E5 chondrite meteorite</v>
          </cell>
        </row>
        <row r="288">
          <cell r="D288">
            <v>49808</v>
          </cell>
          <cell r="E288" t="str">
            <v>Anomalous E5 chondrite meteorite</v>
          </cell>
          <cell r="F288" t="str">
            <v>Anomalous E5 chondrite meteorite</v>
          </cell>
        </row>
        <row r="289">
          <cell r="D289">
            <v>49809</v>
          </cell>
          <cell r="E289" t="str">
            <v>E6 chondrite meteorite</v>
          </cell>
          <cell r="F289" t="str">
            <v>E6 chondrite meteorite</v>
          </cell>
        </row>
        <row r="290">
          <cell r="D290">
            <v>49810</v>
          </cell>
          <cell r="E290" t="str">
            <v>EH chondrite meteorite</v>
          </cell>
          <cell r="F290" t="str">
            <v>EH chondrite meteorite</v>
          </cell>
        </row>
        <row r="291">
          <cell r="D291">
            <v>49811</v>
          </cell>
          <cell r="E291" t="str">
            <v>EH3 chondrite meteorite</v>
          </cell>
          <cell r="F291" t="str">
            <v>EH3 chondrite meteorite</v>
          </cell>
        </row>
        <row r="292">
          <cell r="D292">
            <v>49812</v>
          </cell>
          <cell r="E292" t="str">
            <v>Anomalous EH3/4 chondrite meteorite</v>
          </cell>
        </row>
        <row r="293">
          <cell r="D293">
            <v>49813</v>
          </cell>
          <cell r="E293" t="str">
            <v>EH4 chondrite meteorite</v>
          </cell>
          <cell r="F293" t="str">
            <v>EH4 chondrite meteorite</v>
          </cell>
        </row>
        <row r="294">
          <cell r="D294">
            <v>49814</v>
          </cell>
          <cell r="E294" t="str">
            <v>EH5 chondrite meteorite</v>
          </cell>
          <cell r="F294" t="str">
            <v>EH5 chondrite meteorite</v>
          </cell>
        </row>
        <row r="295">
          <cell r="D295">
            <v>49815</v>
          </cell>
          <cell r="E295" t="str">
            <v>EH6 chondrite meteorite</v>
          </cell>
          <cell r="F295" t="str">
            <v>EH6 chondrite meteorite</v>
          </cell>
        </row>
        <row r="296">
          <cell r="D296">
            <v>49816</v>
          </cell>
          <cell r="E296" t="str">
            <v>EH6-melt breccia chondrite meteorite</v>
          </cell>
        </row>
        <row r="297">
          <cell r="D297">
            <v>49817</v>
          </cell>
          <cell r="E297" t="str">
            <v>Impact melted EH chondrite meteorite</v>
          </cell>
          <cell r="F297" t="str">
            <v>Impact melted EH chondrite meteorite</v>
          </cell>
        </row>
        <row r="298">
          <cell r="D298">
            <v>49818</v>
          </cell>
          <cell r="E298" t="str">
            <v>EH-melt rock chondrite meteorite</v>
          </cell>
          <cell r="F298" t="str">
            <v>EH-melt rock chondrite meteorite</v>
          </cell>
        </row>
        <row r="299">
          <cell r="D299">
            <v>49819</v>
          </cell>
          <cell r="E299" t="str">
            <v>EH7 chondrite meteorite</v>
          </cell>
          <cell r="F299" t="str">
            <v>EH7 chondrite meteorite</v>
          </cell>
        </row>
        <row r="300">
          <cell r="D300">
            <v>49820</v>
          </cell>
          <cell r="E300" t="str">
            <v>EL chondrite meteorite</v>
          </cell>
          <cell r="F300" t="str">
            <v>EL chondrite meteorite</v>
          </cell>
        </row>
        <row r="301">
          <cell r="D301">
            <v>49821</v>
          </cell>
          <cell r="E301" t="str">
            <v>EL-melt rock chondrite meteorite</v>
          </cell>
          <cell r="F301" t="str">
            <v>EL-melt rock chondrite meteorite</v>
          </cell>
        </row>
        <row r="302">
          <cell r="D302">
            <v>49822</v>
          </cell>
          <cell r="E302" t="str">
            <v>EL3 chondrite meteorite</v>
          </cell>
          <cell r="F302" t="str">
            <v>EL3 chondrite meteorite</v>
          </cell>
        </row>
        <row r="303">
          <cell r="D303">
            <v>49823</v>
          </cell>
          <cell r="E303" t="str">
            <v>EL4 chondrite meteorite</v>
          </cell>
          <cell r="F303" t="str">
            <v>EL4 chondrite meteorite</v>
          </cell>
        </row>
        <row r="304">
          <cell r="D304">
            <v>49824</v>
          </cell>
          <cell r="E304" t="str">
            <v>EL5 chondrite meteorite</v>
          </cell>
          <cell r="F304" t="str">
            <v>EL5 chondrite meteorite</v>
          </cell>
        </row>
        <row r="305">
          <cell r="D305">
            <v>49825</v>
          </cell>
          <cell r="E305" t="str">
            <v>EL5-melt breccia chondrite meteorite</v>
          </cell>
        </row>
        <row r="306">
          <cell r="D306">
            <v>49826</v>
          </cell>
          <cell r="E306" t="str">
            <v>EL6 chondrite meteorite</v>
          </cell>
          <cell r="F306" t="str">
            <v>EL6 chondrite meteorite</v>
          </cell>
        </row>
        <row r="307">
          <cell r="D307">
            <v>49827</v>
          </cell>
          <cell r="E307" t="str">
            <v>EL6/7 chondrite meteorite</v>
          </cell>
        </row>
        <row r="308">
          <cell r="D308">
            <v>49828</v>
          </cell>
          <cell r="E308" t="str">
            <v>EL7 chondrite meteorite</v>
          </cell>
          <cell r="F308" t="str">
            <v>EL7 chondrite meteorite</v>
          </cell>
        </row>
        <row r="309">
          <cell r="D309">
            <v>49829</v>
          </cell>
          <cell r="E309" t="str">
            <v>K chondrite meteorite</v>
          </cell>
          <cell r="F309" t="str">
            <v>K chondrite meteorite</v>
          </cell>
        </row>
        <row r="310">
          <cell r="D310">
            <v>49830</v>
          </cell>
          <cell r="E310" t="str">
            <v>Kakangari chondrite meteorite</v>
          </cell>
        </row>
        <row r="311">
          <cell r="D311">
            <v>49831</v>
          </cell>
          <cell r="E311" t="str">
            <v>K3 chondrite meteorite</v>
          </cell>
          <cell r="F311" t="str">
            <v>K3 chondrite meteorite</v>
          </cell>
        </row>
        <row r="312">
          <cell r="D312">
            <v>49832</v>
          </cell>
          <cell r="E312" t="str">
            <v>K4 chondrite meteorite</v>
          </cell>
          <cell r="F312" t="str">
            <v>K4 chondrite meteorite</v>
          </cell>
        </row>
        <row r="313">
          <cell r="D313">
            <v>49833</v>
          </cell>
          <cell r="E313" t="str">
            <v>R chondrite meteorite</v>
          </cell>
          <cell r="F313" t="str">
            <v>R chondrite meteorite</v>
          </cell>
        </row>
        <row r="314">
          <cell r="D314">
            <v>49834</v>
          </cell>
          <cell r="E314" t="str">
            <v>Rumuruti chondrite meteorite</v>
          </cell>
        </row>
        <row r="315">
          <cell r="D315">
            <v>49835</v>
          </cell>
          <cell r="E315" t="str">
            <v>R3 chondrite meteorite</v>
          </cell>
          <cell r="F315" t="str">
            <v>R3 chondrite meteorite</v>
          </cell>
        </row>
        <row r="316">
          <cell r="D316">
            <v>49836</v>
          </cell>
          <cell r="E316" t="str">
            <v>R4 chondrite meteorite</v>
          </cell>
          <cell r="F316" t="str">
            <v>R4 chondrite meteorite</v>
          </cell>
        </row>
        <row r="317">
          <cell r="D317">
            <v>49837</v>
          </cell>
          <cell r="E317" t="str">
            <v>R5 chondrite meteorite</v>
          </cell>
          <cell r="F317" t="str">
            <v>R5 chondrite meteorite</v>
          </cell>
        </row>
        <row r="318">
          <cell r="D318">
            <v>49838</v>
          </cell>
          <cell r="E318" t="str">
            <v>R6 chondrite meteorite</v>
          </cell>
          <cell r="F318" t="str">
            <v>R6 chondrite meteorite</v>
          </cell>
        </row>
        <row r="319">
          <cell r="D319">
            <v>49839</v>
          </cell>
          <cell r="E319" t="str">
            <v>Chondrite meteorite by petrological type</v>
          </cell>
          <cell r="F319" t="str">
            <v>Chondrite meteorite by petrological type</v>
          </cell>
        </row>
        <row r="320">
          <cell r="D320">
            <v>49840</v>
          </cell>
          <cell r="E320" t="str">
            <v>Petrologic Type 1 chondrite meteorite</v>
          </cell>
          <cell r="F320" t="str">
            <v>Petrologic Type 1 chondrite meteorite</v>
          </cell>
        </row>
        <row r="321">
          <cell r="D321">
            <v>49841</v>
          </cell>
          <cell r="E321" t="str">
            <v>Petrologic Type 2 chondrite meteorite</v>
          </cell>
          <cell r="F321" t="str">
            <v>Petrologic Type 2 chondrite meteorite</v>
          </cell>
        </row>
        <row r="322">
          <cell r="D322">
            <v>49842</v>
          </cell>
          <cell r="E322" t="str">
            <v>Petrologic Type 3 chondrite meteorite</v>
          </cell>
          <cell r="F322" t="str">
            <v>Petrologic Type 3 chondrite meteorite</v>
          </cell>
        </row>
        <row r="323">
          <cell r="D323">
            <v>49843</v>
          </cell>
          <cell r="E323" t="str">
            <v>Petrologic Type 4 chondrite meteorite</v>
          </cell>
          <cell r="F323" t="str">
            <v>Petrologic Type 4 chondrite meteorite</v>
          </cell>
        </row>
        <row r="324">
          <cell r="D324">
            <v>49844</v>
          </cell>
          <cell r="E324" t="str">
            <v>Petrologic Type 5 chondrite meteorite</v>
          </cell>
          <cell r="F324" t="str">
            <v>Petrologic Type 5 chondrite meteorite</v>
          </cell>
        </row>
        <row r="325">
          <cell r="D325">
            <v>49845</v>
          </cell>
          <cell r="E325" t="str">
            <v>Petrologic Type 6 chondrite meteorite</v>
          </cell>
          <cell r="F325" t="str">
            <v>Petrologic Type 6 chondrite meteorite</v>
          </cell>
        </row>
        <row r="326">
          <cell r="D326">
            <v>49846</v>
          </cell>
          <cell r="E326" t="str">
            <v>Petrologic Type 7 chondrite meteorite</v>
          </cell>
          <cell r="F326" t="str">
            <v>Petrologic Type 7 chondrite meteorite</v>
          </cell>
        </row>
        <row r="327">
          <cell r="D327">
            <v>49847</v>
          </cell>
          <cell r="E327" t="str">
            <v>Primitive achondrite meteorite</v>
          </cell>
          <cell r="F327" t="str">
            <v>Primitive achondrite meteorite</v>
          </cell>
        </row>
        <row r="328">
          <cell r="D328">
            <v>49848</v>
          </cell>
          <cell r="E328" t="str">
            <v>Acapulcoite meteorite</v>
          </cell>
          <cell r="F328" t="str">
            <v>Acapulcoite meteorite</v>
          </cell>
        </row>
        <row r="329">
          <cell r="D329">
            <v>49849</v>
          </cell>
          <cell r="E329" t="str">
            <v>Acapulcoite-lodranite meteorite</v>
          </cell>
          <cell r="F329" t="str">
            <v>Acapulcoite-lodranite meteorite</v>
          </cell>
        </row>
        <row r="330">
          <cell r="D330">
            <v>49850</v>
          </cell>
          <cell r="E330" t="str">
            <v>Brachinite meteorite</v>
          </cell>
          <cell r="F330" t="str">
            <v>Brachinite meteorite</v>
          </cell>
        </row>
        <row r="331">
          <cell r="D331">
            <v>49851</v>
          </cell>
          <cell r="E331" t="str">
            <v>IAB complex iron meteorite</v>
          </cell>
          <cell r="F331" t="str">
            <v>IAB complex iron meteorite</v>
          </cell>
        </row>
        <row r="332">
          <cell r="D332">
            <v>49852</v>
          </cell>
          <cell r="E332" t="str">
            <v>IAB-MG iron meteorite</v>
          </cell>
          <cell r="F332" t="str">
            <v>IAB-MG iron meteorite</v>
          </cell>
        </row>
        <row r="333">
          <cell r="D333">
            <v>49853</v>
          </cell>
          <cell r="E333" t="str">
            <v>IAB-sLL iron meteorite</v>
          </cell>
          <cell r="F333" t="str">
            <v>IAB-sLL iron meteorite</v>
          </cell>
        </row>
        <row r="334">
          <cell r="D334">
            <v>49854</v>
          </cell>
          <cell r="E334" t="str">
            <v>IAB-sLM iron meteorite</v>
          </cell>
          <cell r="F334" t="str">
            <v>IAB-sLM iron meteorite</v>
          </cell>
        </row>
        <row r="335">
          <cell r="D335">
            <v>49856</v>
          </cell>
          <cell r="E335" t="str">
            <v>Anomalous IAB-sLM iron meteorite</v>
          </cell>
        </row>
        <row r="336">
          <cell r="D336">
            <v>49857</v>
          </cell>
          <cell r="E336" t="str">
            <v>IAB-sLH iron meteorite</v>
          </cell>
          <cell r="F336" t="str">
            <v>IAB-sLH iron meteorite</v>
          </cell>
        </row>
        <row r="337">
          <cell r="D337">
            <v>49859</v>
          </cell>
          <cell r="E337" t="str">
            <v>IAB-sHL iron meteorite</v>
          </cell>
          <cell r="F337" t="str">
            <v>IAB-sHL iron meteorite</v>
          </cell>
        </row>
        <row r="338">
          <cell r="D338">
            <v>49860</v>
          </cell>
          <cell r="E338" t="str">
            <v>Anomalous IAB-sHL iron meteorite</v>
          </cell>
        </row>
        <row r="339">
          <cell r="D339">
            <v>49861</v>
          </cell>
          <cell r="E339" t="str">
            <v>IAB-sHH iron meteorite</v>
          </cell>
          <cell r="F339" t="str">
            <v>IAB-sHH iron meteorite</v>
          </cell>
        </row>
        <row r="340">
          <cell r="D340">
            <v>49862</v>
          </cell>
          <cell r="E340" t="str">
            <v>Ungrouped IAB iron meteorite</v>
          </cell>
          <cell r="F340" t="str">
            <v>Ungrouped IAB iron meteorite</v>
          </cell>
        </row>
        <row r="341">
          <cell r="D341">
            <v>49863</v>
          </cell>
          <cell r="E341" t="str">
            <v>Anomalous IAB iron meteorite</v>
          </cell>
          <cell r="F341" t="str">
            <v>Anomalous IAB iron meteorite</v>
          </cell>
        </row>
        <row r="342">
          <cell r="D342">
            <v>49864</v>
          </cell>
          <cell r="E342" t="str">
            <v>IIICD iron meteorite</v>
          </cell>
          <cell r="F342" t="str">
            <v>IIICD iron meteorite</v>
          </cell>
        </row>
        <row r="343">
          <cell r="D343">
            <v>49865</v>
          </cell>
          <cell r="E343" t="str">
            <v>Lodranite-an meteorite</v>
          </cell>
          <cell r="F343" t="str">
            <v>Lodranite-an meteorite</v>
          </cell>
        </row>
        <row r="344">
          <cell r="D344">
            <v>49866</v>
          </cell>
          <cell r="E344" t="str">
            <v>Ureilite meteorite</v>
          </cell>
          <cell r="F344" t="str">
            <v>Ureilite meteorite</v>
          </cell>
        </row>
        <row r="345">
          <cell r="D345">
            <v>49867</v>
          </cell>
          <cell r="E345" t="str">
            <v>Anomalous ureilite meteorite</v>
          </cell>
          <cell r="F345" t="str">
            <v>Anomalous ureilite meteorite</v>
          </cell>
        </row>
        <row r="346">
          <cell r="D346">
            <v>49868</v>
          </cell>
          <cell r="E346" t="str">
            <v>Polymict ureilite meteorite</v>
          </cell>
          <cell r="F346" t="str">
            <v>Polymict ureilite meteorite</v>
          </cell>
        </row>
        <row r="347">
          <cell r="D347">
            <v>49869</v>
          </cell>
          <cell r="E347" t="str">
            <v>Winonaite meteorite</v>
          </cell>
          <cell r="F347" t="str">
            <v>Winonaite meteorite</v>
          </cell>
        </row>
        <row r="348">
          <cell r="D348">
            <v>49872</v>
          </cell>
          <cell r="E348" t="str">
            <v>Angrite meteorite</v>
          </cell>
          <cell r="F348" t="str">
            <v>Angrite meteorite</v>
          </cell>
        </row>
        <row r="349">
          <cell r="D349">
            <v>49873</v>
          </cell>
          <cell r="E349" t="str">
            <v>Aubrite meteorite</v>
          </cell>
          <cell r="F349" t="str">
            <v>Aubrite meteorite</v>
          </cell>
        </row>
        <row r="350">
          <cell r="D350">
            <v>49876</v>
          </cell>
          <cell r="E350" t="str">
            <v>Ungrouped enstatite-rich achondrite meteorite</v>
          </cell>
          <cell r="F350" t="str">
            <v>Ungrouped enstatite-rich achondrite meteorite</v>
          </cell>
        </row>
        <row r="351">
          <cell r="D351">
            <v>49877</v>
          </cell>
          <cell r="E351" t="str">
            <v>HED achondrite meteorite</v>
          </cell>
          <cell r="F351" t="str">
            <v>HED achondrite meteorite</v>
          </cell>
        </row>
        <row r="352">
          <cell r="D352">
            <v>49878</v>
          </cell>
          <cell r="E352" t="str">
            <v>Howardite meteorite</v>
          </cell>
          <cell r="F352" t="str">
            <v>Howardite meteorite</v>
          </cell>
        </row>
        <row r="353">
          <cell r="D353">
            <v>49879</v>
          </cell>
          <cell r="E353" t="str">
            <v>Anomalous howardite meteorite</v>
          </cell>
        </row>
        <row r="354">
          <cell r="D354">
            <v>49880</v>
          </cell>
          <cell r="E354" t="str">
            <v>Eucrite meteorite</v>
          </cell>
          <cell r="F354" t="str">
            <v>Eucrite meteorite</v>
          </cell>
        </row>
        <row r="355">
          <cell r="D355">
            <v>49881</v>
          </cell>
          <cell r="E355" t="str">
            <v>Anomalous eucrite meteorite</v>
          </cell>
        </row>
        <row r="356">
          <cell r="D356">
            <v>49882</v>
          </cell>
          <cell r="E356" t="str">
            <v>Eucrite breccia meteorite</v>
          </cell>
        </row>
        <row r="357">
          <cell r="D357">
            <v>49883</v>
          </cell>
          <cell r="E357" t="str">
            <v>Eucrite cumulate meteorite</v>
          </cell>
        </row>
        <row r="358">
          <cell r="D358">
            <v>49884</v>
          </cell>
          <cell r="E358" t="str">
            <v>Eucrite melt breccia meteorite</v>
          </cell>
        </row>
        <row r="359">
          <cell r="D359">
            <v>49885</v>
          </cell>
          <cell r="E359" t="str">
            <v>Mg-rich eucrite meteorite</v>
          </cell>
        </row>
        <row r="360">
          <cell r="D360">
            <v>49886</v>
          </cell>
          <cell r="E360" t="str">
            <v>Eucrite monomict breccia meteorite</v>
          </cell>
        </row>
        <row r="361">
          <cell r="D361">
            <v>49887</v>
          </cell>
          <cell r="E361" t="str">
            <v>Eucrite polymict breccia meteorite</v>
          </cell>
        </row>
        <row r="362">
          <cell r="D362">
            <v>49888</v>
          </cell>
          <cell r="E362" t="str">
            <v>Unbrecciated eucrite meteorite</v>
          </cell>
          <cell r="F362" t="str">
            <v>Unbrecciated eucrite meteorite</v>
          </cell>
        </row>
        <row r="363">
          <cell r="D363">
            <v>49889</v>
          </cell>
          <cell r="E363" t="str">
            <v>Diogenite meteorite</v>
          </cell>
          <cell r="F363" t="str">
            <v>Diogenite meteorite</v>
          </cell>
        </row>
        <row r="364">
          <cell r="D364">
            <v>49890</v>
          </cell>
          <cell r="E364" t="str">
            <v>Polymict breccia diogenite meteorite</v>
          </cell>
        </row>
        <row r="365">
          <cell r="D365">
            <v>49891</v>
          </cell>
          <cell r="E365" t="str">
            <v>Anomalous diogenite meteorite</v>
          </cell>
        </row>
        <row r="366">
          <cell r="D366">
            <v>49892</v>
          </cell>
          <cell r="E366" t="str">
            <v>Orthopyroxenitic diogenite meteorite</v>
          </cell>
        </row>
        <row r="367">
          <cell r="D367">
            <v>49893</v>
          </cell>
          <cell r="E367" t="str">
            <v>Olivine orthopyroxenitic diogenite meteorite</v>
          </cell>
        </row>
        <row r="368">
          <cell r="D368">
            <v>49894</v>
          </cell>
          <cell r="E368" t="str">
            <v>Harzburgitic diogenite meteorite</v>
          </cell>
        </row>
        <row r="369">
          <cell r="D369">
            <v>49895</v>
          </cell>
          <cell r="E369" t="str">
            <v>Noritic diogenite meteorite</v>
          </cell>
        </row>
        <row r="370">
          <cell r="D370">
            <v>49896</v>
          </cell>
          <cell r="E370" t="str">
            <v>Dunitic diogenite meteorite</v>
          </cell>
        </row>
        <row r="371">
          <cell r="D371">
            <v>49898</v>
          </cell>
          <cell r="E371" t="str">
            <v>Pallasite meteorite</v>
          </cell>
          <cell r="F371" t="str">
            <v>Pallasite meteorite</v>
          </cell>
        </row>
        <row r="372">
          <cell r="D372">
            <v>49899</v>
          </cell>
          <cell r="E372" t="str">
            <v>PMG pallasite meteorite</v>
          </cell>
          <cell r="F372" t="str">
            <v>PMG pallasite meteorite</v>
          </cell>
        </row>
        <row r="373">
          <cell r="D373">
            <v>49901</v>
          </cell>
          <cell r="E373" t="str">
            <v>Anomalous PMG pallasite meteorite</v>
          </cell>
          <cell r="F373" t="str">
            <v>Anomalous PMG pallasite meteorite</v>
          </cell>
        </row>
        <row r="374">
          <cell r="D374">
            <v>49902</v>
          </cell>
          <cell r="E374" t="str">
            <v>PES pallasite meteorite</v>
          </cell>
          <cell r="F374" t="str">
            <v>PES pallasite meteorite</v>
          </cell>
        </row>
        <row r="375">
          <cell r="D375">
            <v>49904</v>
          </cell>
          <cell r="E375" t="str">
            <v>Pyroxene pallasite meteorite</v>
          </cell>
          <cell r="F375" t="str">
            <v>Pyroxene pallasite meteorite</v>
          </cell>
        </row>
        <row r="376">
          <cell r="D376">
            <v>49905</v>
          </cell>
          <cell r="E376" t="str">
            <v>Mesosiderite meteorite</v>
          </cell>
          <cell r="F376" t="str">
            <v>Mesosiderite meteorite</v>
          </cell>
        </row>
        <row r="377">
          <cell r="D377">
            <v>49906</v>
          </cell>
          <cell r="E377" t="str">
            <v>Mesosiderite-A meteorite</v>
          </cell>
          <cell r="F377" t="str">
            <v>Mesosiderite-A meteorite</v>
          </cell>
        </row>
        <row r="378">
          <cell r="D378">
            <v>49907</v>
          </cell>
          <cell r="E378" t="str">
            <v>Mesosiderite-A1 meteorite</v>
          </cell>
          <cell r="F378" t="str">
            <v>Mesosiderite-A1 meteorite</v>
          </cell>
        </row>
        <row r="379">
          <cell r="D379">
            <v>49908</v>
          </cell>
          <cell r="E379" t="str">
            <v>Mesosiderite-A2 meteorite</v>
          </cell>
          <cell r="F379" t="str">
            <v>Mesosiderite-A2 meteorite</v>
          </cell>
        </row>
        <row r="380">
          <cell r="D380">
            <v>49909</v>
          </cell>
          <cell r="E380" t="str">
            <v>Mesosiderite-A3 meteorite</v>
          </cell>
          <cell r="F380" t="str">
            <v>Mesosiderite-A3 meteorite</v>
          </cell>
        </row>
        <row r="381">
          <cell r="D381">
            <v>49910</v>
          </cell>
          <cell r="E381" t="str">
            <v>Mesosiderite-A4 meteorite</v>
          </cell>
          <cell r="F381" t="str">
            <v>Mesosiderite-A4 meteorite</v>
          </cell>
        </row>
        <row r="382">
          <cell r="D382">
            <v>49911</v>
          </cell>
          <cell r="E382" t="str">
            <v>Anomalous mesosiderite meteorite</v>
          </cell>
          <cell r="F382" t="str">
            <v>Anomalous mesosiderite meteorite</v>
          </cell>
        </row>
        <row r="383">
          <cell r="D383">
            <v>49912</v>
          </cell>
          <cell r="E383" t="str">
            <v>Mesosiderite-B meteorite</v>
          </cell>
          <cell r="F383" t="str">
            <v>Mesosiderite-B meteorite</v>
          </cell>
        </row>
        <row r="384">
          <cell r="D384">
            <v>49913</v>
          </cell>
          <cell r="E384" t="str">
            <v>Mesosiderite-B1 meteorite</v>
          </cell>
          <cell r="F384" t="str">
            <v>Mesosiderite-B1 meteorite</v>
          </cell>
        </row>
        <row r="385">
          <cell r="D385">
            <v>49914</v>
          </cell>
          <cell r="E385" t="str">
            <v>Mesosiderite-B2 meteorite</v>
          </cell>
          <cell r="F385" t="str">
            <v>Mesosiderite-B2 meteorite</v>
          </cell>
        </row>
        <row r="386">
          <cell r="D386">
            <v>49915</v>
          </cell>
          <cell r="E386" t="str">
            <v>Mesosiderite-B3 meteorite</v>
          </cell>
          <cell r="F386" t="str">
            <v>Mesosiderite-B3 meteorite</v>
          </cell>
        </row>
        <row r="387">
          <cell r="D387">
            <v>49916</v>
          </cell>
          <cell r="E387" t="str">
            <v>Mesosiderite-B4 meteorite</v>
          </cell>
          <cell r="F387" t="str">
            <v>Mesosiderite-B4 meteorite</v>
          </cell>
        </row>
        <row r="388">
          <cell r="D388">
            <v>49917</v>
          </cell>
          <cell r="E388" t="str">
            <v>Mesosiderite-C meteorite</v>
          </cell>
          <cell r="F388" t="str">
            <v>Mesosiderite-C meteorite</v>
          </cell>
        </row>
        <row r="389">
          <cell r="D389">
            <v>49918</v>
          </cell>
          <cell r="E389" t="str">
            <v>Mesosiderite-C2 meteorite</v>
          </cell>
          <cell r="F389" t="str">
            <v>Mesosiderite-C2 meteorite</v>
          </cell>
        </row>
        <row r="390">
          <cell r="D390">
            <v>49919</v>
          </cell>
          <cell r="E390" t="str">
            <v>Iron group meteorite</v>
          </cell>
          <cell r="F390" t="str">
            <v>Iron group meteorite</v>
          </cell>
        </row>
        <row r="391">
          <cell r="D391">
            <v>49920</v>
          </cell>
          <cell r="E391" t="str">
            <v>IC iron meteorite</v>
          </cell>
          <cell r="F391" t="str">
            <v>IC iron meteorite</v>
          </cell>
        </row>
        <row r="392">
          <cell r="D392">
            <v>49921</v>
          </cell>
          <cell r="E392" t="str">
            <v>Anomalous IC iron meteorite</v>
          </cell>
          <cell r="F392" t="str">
            <v>Anomalous IC iron meteorite</v>
          </cell>
        </row>
        <row r="393">
          <cell r="D393">
            <v>49922</v>
          </cell>
          <cell r="E393" t="str">
            <v>IIAB iron meteorite</v>
          </cell>
          <cell r="F393" t="str">
            <v>IIAB iron meteorite</v>
          </cell>
        </row>
        <row r="394">
          <cell r="D394">
            <v>49923</v>
          </cell>
          <cell r="E394" t="str">
            <v>Anomalous IIAB iron meteorite</v>
          </cell>
          <cell r="F394" t="str">
            <v>Anomalous IIAB iron meteorite</v>
          </cell>
        </row>
        <row r="395">
          <cell r="D395">
            <v>49924</v>
          </cell>
          <cell r="E395" t="str">
            <v>IIC iron meteorite</v>
          </cell>
          <cell r="F395" t="str">
            <v>IIC iron meteorite</v>
          </cell>
        </row>
        <row r="396">
          <cell r="D396">
            <v>49925</v>
          </cell>
          <cell r="E396" t="str">
            <v>IID iron meteorite</v>
          </cell>
          <cell r="F396" t="str">
            <v>IID iron meteorite</v>
          </cell>
        </row>
        <row r="397">
          <cell r="D397">
            <v>49926</v>
          </cell>
          <cell r="E397" t="str">
            <v>Anomalous IID iron meteorite</v>
          </cell>
          <cell r="F397" t="str">
            <v>Anomalous IID iron meteorite</v>
          </cell>
        </row>
        <row r="398">
          <cell r="D398">
            <v>49927</v>
          </cell>
          <cell r="E398" t="str">
            <v>IIE iron meteorite</v>
          </cell>
          <cell r="F398" t="str">
            <v>IIE iron meteorite</v>
          </cell>
        </row>
        <row r="399">
          <cell r="D399">
            <v>49928</v>
          </cell>
          <cell r="E399" t="str">
            <v>Anomalous IIE iron meteorite</v>
          </cell>
          <cell r="F399" t="str">
            <v>Anomalous IIE iron meteorite</v>
          </cell>
        </row>
        <row r="400">
          <cell r="D400">
            <v>49929</v>
          </cell>
          <cell r="E400" t="str">
            <v>IIF iron meteorite</v>
          </cell>
          <cell r="F400" t="str">
            <v>IIF iron meteorite</v>
          </cell>
        </row>
        <row r="401">
          <cell r="D401">
            <v>49930</v>
          </cell>
          <cell r="E401" t="str">
            <v>IIIAB iron meteorite</v>
          </cell>
          <cell r="F401" t="str">
            <v>IIIAB iron meteorite</v>
          </cell>
        </row>
        <row r="402">
          <cell r="D402">
            <v>49931</v>
          </cell>
          <cell r="E402" t="str">
            <v>Anomalous IIIAB iron meteorite</v>
          </cell>
          <cell r="F402" t="str">
            <v>Anomalous IIIAB iron meteorite</v>
          </cell>
        </row>
        <row r="403">
          <cell r="D403">
            <v>49932</v>
          </cell>
          <cell r="E403" t="str">
            <v>IIIE iron meteorite</v>
          </cell>
          <cell r="F403" t="str">
            <v>IIIE iron meteorite</v>
          </cell>
        </row>
        <row r="404">
          <cell r="D404">
            <v>49933</v>
          </cell>
          <cell r="E404" t="str">
            <v>Anomalous IIIE iron meteorite</v>
          </cell>
          <cell r="F404" t="str">
            <v>Anomalous IIIE iron meteorite</v>
          </cell>
        </row>
        <row r="405">
          <cell r="D405">
            <v>49934</v>
          </cell>
          <cell r="E405" t="str">
            <v>IIIF iron meteorite</v>
          </cell>
          <cell r="F405" t="str">
            <v>IIIF iron meteorite</v>
          </cell>
        </row>
        <row r="406">
          <cell r="D406">
            <v>49935</v>
          </cell>
          <cell r="E406" t="str">
            <v>IVA iron meteorite</v>
          </cell>
          <cell r="F406" t="str">
            <v>IVA iron meteorite</v>
          </cell>
        </row>
        <row r="407">
          <cell r="D407">
            <v>49936</v>
          </cell>
          <cell r="E407" t="str">
            <v>Anomalous IVA iron meteorite</v>
          </cell>
          <cell r="F407" t="str">
            <v>Anomalous IVA iron meteorite</v>
          </cell>
        </row>
        <row r="408">
          <cell r="D408">
            <v>49937</v>
          </cell>
          <cell r="E408" t="str">
            <v>IVB iron meteorite</v>
          </cell>
          <cell r="F408" t="str">
            <v>IVB iron meteorite</v>
          </cell>
        </row>
        <row r="409">
          <cell r="D409">
            <v>49938</v>
          </cell>
          <cell r="E409" t="str">
            <v>Martian achrondite meteorite</v>
          </cell>
          <cell r="F409" t="str">
            <v>Martian achrondite meteorite</v>
          </cell>
        </row>
        <row r="410">
          <cell r="D410">
            <v>49939</v>
          </cell>
          <cell r="E410" t="str">
            <v>Shergottite meteorite</v>
          </cell>
          <cell r="F410" t="str">
            <v>Shergottite meteorite</v>
          </cell>
        </row>
        <row r="411">
          <cell r="D411">
            <v>49941</v>
          </cell>
          <cell r="E411" t="str">
            <v>Basaltic shergottite meteorite</v>
          </cell>
          <cell r="F411" t="str">
            <v>Basaltic shergottite meteorite</v>
          </cell>
        </row>
        <row r="412">
          <cell r="D412">
            <v>49942</v>
          </cell>
          <cell r="E412" t="str">
            <v>Olivine-phyric shergottite meteorite</v>
          </cell>
          <cell r="F412" t="str">
            <v>Olivine-phyric shergottite meteorite</v>
          </cell>
        </row>
        <row r="413">
          <cell r="D413">
            <v>49944</v>
          </cell>
          <cell r="E413" t="str">
            <v>Lherzolitic shergottite meteorite</v>
          </cell>
          <cell r="F413" t="str">
            <v>Lherzolitic shergottite meteorite</v>
          </cell>
        </row>
        <row r="414">
          <cell r="D414">
            <v>49945</v>
          </cell>
          <cell r="E414" t="str">
            <v>Nakhlite meteorite</v>
          </cell>
          <cell r="F414" t="str">
            <v>Nakhlite meteorite</v>
          </cell>
        </row>
        <row r="415">
          <cell r="D415">
            <v>49947</v>
          </cell>
          <cell r="E415" t="str">
            <v>Chassignite meteorite</v>
          </cell>
          <cell r="F415" t="str">
            <v>Chassignite meteorite</v>
          </cell>
        </row>
        <row r="416">
          <cell r="D416">
            <v>49950</v>
          </cell>
          <cell r="E416" t="str">
            <v>Anorthositic Lunar meteorite</v>
          </cell>
          <cell r="F416" t="str">
            <v>Anorthositic Lunar meteorite</v>
          </cell>
        </row>
        <row r="417">
          <cell r="D417">
            <v>49951</v>
          </cell>
          <cell r="E417" t="str">
            <v>Basaltic breccia Lunar meteorite</v>
          </cell>
          <cell r="F417" t="str">
            <v>Basaltic breccia Lunar meteorite</v>
          </cell>
        </row>
        <row r="418">
          <cell r="D418">
            <v>49952</v>
          </cell>
          <cell r="E418" t="str">
            <v>Basaltic and anorthositic Lunar meteorite</v>
          </cell>
          <cell r="F418" t="str">
            <v>Basaltic and anorthositic Lunar meteorite</v>
          </cell>
        </row>
        <row r="419">
          <cell r="D419">
            <v>49953</v>
          </cell>
          <cell r="E419" t="str">
            <v>Basaltic and gabbroic breccia Lunar meteorite</v>
          </cell>
          <cell r="F419" t="str">
            <v>Basaltic and gabbroic breccia Lunar meteorite</v>
          </cell>
        </row>
        <row r="420">
          <cell r="D420">
            <v>49954</v>
          </cell>
          <cell r="E420" t="str">
            <v>Feldspathic breccia Lunar meteorite</v>
          </cell>
          <cell r="F420" t="str">
            <v>Feldspathic breccia Lunar meteorite</v>
          </cell>
        </row>
        <row r="421">
          <cell r="D421">
            <v>49955</v>
          </cell>
          <cell r="E421" t="str">
            <v>Basaltic Lunar meteorite</v>
          </cell>
          <cell r="F421" t="str">
            <v>Basaltic Lunar meteorite</v>
          </cell>
        </row>
        <row r="422">
          <cell r="D422">
            <v>49956</v>
          </cell>
          <cell r="E422" t="str">
            <v>Gabbroic Lunar meteorite</v>
          </cell>
          <cell r="F422" t="str">
            <v>Gabbroic Lunar meteorite</v>
          </cell>
        </row>
        <row r="423">
          <cell r="D423">
            <v>49957</v>
          </cell>
          <cell r="E423" t="str">
            <v>Noritic Lunar meteorite</v>
          </cell>
          <cell r="F423" t="str">
            <v>Noritic Lunar meteorite</v>
          </cell>
        </row>
        <row r="424">
          <cell r="D424">
            <v>49958</v>
          </cell>
          <cell r="E424" t="str">
            <v>Olivine-bearing gabbroic Lunar meteorite</v>
          </cell>
          <cell r="F424" t="str">
            <v>Olivine-bearing gabbroic Lunar meteorite</v>
          </cell>
        </row>
        <row r="425">
          <cell r="D425">
            <v>49959</v>
          </cell>
          <cell r="E425" t="str">
            <v>Trocolitic anorthositic Lunar meteorite</v>
          </cell>
          <cell r="F425" t="str">
            <v>Trocolitic anorthositic Lunar meteorite</v>
          </cell>
        </row>
        <row r="426">
          <cell r="D426">
            <v>49960</v>
          </cell>
          <cell r="E426" t="str">
            <v>Iron meteorite</v>
          </cell>
          <cell r="F426" t="str">
            <v>Iron meteorite</v>
          </cell>
        </row>
        <row r="427">
          <cell r="D427">
            <v>49961</v>
          </cell>
          <cell r="E427" t="str">
            <v>Magmatic iron meteorite</v>
          </cell>
          <cell r="F427" t="str">
            <v>Magmatic iron meteorite</v>
          </cell>
        </row>
        <row r="428">
          <cell r="D428">
            <v>49962</v>
          </cell>
          <cell r="E428" t="str">
            <v>Primitive iron meteorite</v>
          </cell>
          <cell r="F428" t="str">
            <v>Primitive iron meteorite</v>
          </cell>
        </row>
        <row r="429">
          <cell r="D429">
            <v>49963</v>
          </cell>
          <cell r="E429" t="str">
            <v>Stony-iron meteorite</v>
          </cell>
          <cell r="F429" t="str">
            <v>Stony-iron meteorite</v>
          </cell>
        </row>
        <row r="430">
          <cell r="D430">
            <v>50269</v>
          </cell>
          <cell r="E430" t="str">
            <v>Differentiated achondrite meteorite</v>
          </cell>
          <cell r="F430" t="str">
            <v>Differentiated achondrite meteorite</v>
          </cell>
        </row>
        <row r="431">
          <cell r="D431">
            <v>50270</v>
          </cell>
          <cell r="E431" t="str">
            <v>Asteroidal achondrite meteorite</v>
          </cell>
          <cell r="F431" t="str">
            <v>Asteroidal achondrite meteorite</v>
          </cell>
        </row>
        <row r="432">
          <cell r="D432">
            <v>50275</v>
          </cell>
          <cell r="E432" t="str">
            <v>Lunar achondrite meteorite</v>
          </cell>
          <cell r="F432" t="str">
            <v>Lunar achondrite meteorite</v>
          </cell>
        </row>
        <row r="433">
          <cell r="D433">
            <v>50444</v>
          </cell>
          <cell r="E433" t="str">
            <v>CM1-2 chondrite meteorite</v>
          </cell>
        </row>
        <row r="434">
          <cell r="D434">
            <v>50445</v>
          </cell>
          <cell r="E434" t="str">
            <v>H/L3 chondrite meteorite</v>
          </cell>
        </row>
        <row r="435">
          <cell r="D435">
            <v>50446</v>
          </cell>
          <cell r="E435" t="str">
            <v>H3-4 chondrite meteorite</v>
          </cell>
        </row>
        <row r="436">
          <cell r="D436">
            <v>50447</v>
          </cell>
          <cell r="E436" t="str">
            <v>H/L4-5 chondrite meteorite</v>
          </cell>
        </row>
        <row r="437">
          <cell r="D437">
            <v>50448</v>
          </cell>
          <cell r="E437" t="str">
            <v>H4-5 chondrite meteorite</v>
          </cell>
        </row>
        <row r="438">
          <cell r="D438">
            <v>50449</v>
          </cell>
          <cell r="E438" t="str">
            <v>H/L6 chondrite meteorite</v>
          </cell>
        </row>
        <row r="439">
          <cell r="D439">
            <v>50450</v>
          </cell>
          <cell r="E439" t="str">
            <v>L3.4 chondrite meteorite</v>
          </cell>
        </row>
        <row r="440">
          <cell r="D440">
            <v>50451</v>
          </cell>
          <cell r="E440" t="str">
            <v>L3/4 chondrite meteorite</v>
          </cell>
        </row>
        <row r="441">
          <cell r="D441">
            <v>50452</v>
          </cell>
          <cell r="E441" t="str">
            <v>L(LL)3 chondrite meteorite</v>
          </cell>
        </row>
        <row r="442">
          <cell r="D442">
            <v>50453</v>
          </cell>
          <cell r="E442" t="str">
            <v>L/LL3 chondrite meteorite</v>
          </cell>
        </row>
        <row r="443">
          <cell r="D443">
            <v>50454</v>
          </cell>
          <cell r="E443" t="str">
            <v>L/LL3.1 chondrite meteorite</v>
          </cell>
        </row>
        <row r="444">
          <cell r="D444">
            <v>50455</v>
          </cell>
          <cell r="E444" t="str">
            <v>L/LL3.2 chondrite meteorite</v>
          </cell>
        </row>
        <row r="445">
          <cell r="D445">
            <v>50456</v>
          </cell>
          <cell r="E445" t="str">
            <v>L4-5 chondrite meteorite</v>
          </cell>
        </row>
        <row r="446">
          <cell r="D446">
            <v>50457</v>
          </cell>
          <cell r="E446" t="str">
            <v>L(LL)5 chondrite meteorite</v>
          </cell>
        </row>
        <row r="447">
          <cell r="D447">
            <v>50458</v>
          </cell>
          <cell r="E447" t="str">
            <v>L/LL5-6 chondrite meteorite</v>
          </cell>
        </row>
        <row r="448">
          <cell r="D448">
            <v>50459</v>
          </cell>
          <cell r="E448" t="str">
            <v>L(LL)6 chondrite meteorite</v>
          </cell>
        </row>
        <row r="449">
          <cell r="D449">
            <v>50460</v>
          </cell>
          <cell r="E449" t="str">
            <v>LL3-4 chondrite meteorite</v>
          </cell>
        </row>
        <row r="450">
          <cell r="D450">
            <v>50461</v>
          </cell>
          <cell r="E450" t="str">
            <v>LL3.4 chondrite meteorite</v>
          </cell>
        </row>
        <row r="451">
          <cell r="D451">
            <v>50462</v>
          </cell>
          <cell r="E451" t="str">
            <v>LL4-5 chondrite meteorite</v>
          </cell>
        </row>
        <row r="452">
          <cell r="D452">
            <v>50463</v>
          </cell>
          <cell r="E452" t="str">
            <v>LL5-6 chondrite meteorite</v>
          </cell>
        </row>
        <row r="453">
          <cell r="D453">
            <v>51453</v>
          </cell>
          <cell r="E453" t="str">
            <v>Shock lithified impact regolith breccia</v>
          </cell>
          <cell r="F453" t="str">
            <v>Shock lithified impact regolith breccia</v>
          </cell>
        </row>
        <row r="454">
          <cell r="D454">
            <v>51872</v>
          </cell>
          <cell r="E454" t="str">
            <v>CV3 carbonaceous chondrite meteorite</v>
          </cell>
        </row>
        <row r="455">
          <cell r="D455">
            <v>51873</v>
          </cell>
          <cell r="E455" t="str">
            <v>CV carbonaceous chondrite meteorite</v>
          </cell>
        </row>
        <row r="456">
          <cell r="D456">
            <v>52197</v>
          </cell>
          <cell r="E456" t="str">
            <v>Orthopyroxene-rich Martian meteorite</v>
          </cell>
          <cell r="F456" t="str">
            <v>Orthopyroxene-rich Martian meteorite</v>
          </cell>
        </row>
        <row r="457">
          <cell r="D457">
            <v>52198</v>
          </cell>
          <cell r="E457" t="str">
            <v>Martian (basaltic breccia) meteorite</v>
          </cell>
          <cell r="F457" t="str">
            <v>Martian (basaltic breccia) meteorite</v>
          </cell>
        </row>
        <row r="458">
          <cell r="D458">
            <v>52199</v>
          </cell>
          <cell r="E458" t="str">
            <v>H3.5 chondrite meteorite</v>
          </cell>
        </row>
        <row r="459">
          <cell r="D459">
            <v>52200</v>
          </cell>
          <cell r="E459" t="str">
            <v>H3.4 chondrite meteorite</v>
          </cell>
        </row>
        <row r="460">
          <cell r="D460">
            <v>52201</v>
          </cell>
          <cell r="E460" t="str">
            <v>Ungrouped Achondrite meteorite</v>
          </cell>
          <cell r="F460" t="str">
            <v>Ungrouped Achondrite meteorite</v>
          </cell>
        </row>
        <row r="461">
          <cell r="D461">
            <v>52202</v>
          </cell>
          <cell r="E461" t="str">
            <v>Ungrouped C chondrite meteorite</v>
          </cell>
          <cell r="F461" t="str">
            <v>Ungrouped C chondrite meteorite</v>
          </cell>
        </row>
        <row r="462">
          <cell r="D462">
            <v>52203</v>
          </cell>
          <cell r="E462" t="str">
            <v>CK3-6 chondrite meteorite</v>
          </cell>
        </row>
        <row r="463">
          <cell r="D463">
            <v>52204</v>
          </cell>
          <cell r="E463" t="str">
            <v>CH/CBb chondrite meteorite</v>
          </cell>
          <cell r="F463" t="str">
            <v>CH/CBb chondrite meteorite</v>
          </cell>
        </row>
        <row r="464">
          <cell r="D464">
            <v>52205</v>
          </cell>
          <cell r="E464" t="str">
            <v>CK4/5 chondrite meteorite</v>
          </cell>
        </row>
        <row r="465">
          <cell r="D465">
            <v>52206</v>
          </cell>
          <cell r="E465" t="str">
            <v>Anomalous CK5 chondrite meteorite</v>
          </cell>
        </row>
        <row r="466">
          <cell r="D466">
            <v>52207</v>
          </cell>
          <cell r="E466" t="str">
            <v>CK5/6 chondrite meteorite</v>
          </cell>
        </row>
        <row r="467">
          <cell r="D467">
            <v>52208</v>
          </cell>
          <cell r="E467" t="str">
            <v>EH4/5 chondrite meteorite</v>
          </cell>
        </row>
        <row r="468">
          <cell r="D468">
            <v>52209</v>
          </cell>
          <cell r="E468" t="str">
            <v>R3-4 chondrite meteorite</v>
          </cell>
          <cell r="F468" t="str">
            <v>R3-4 chondrite meteorite</v>
          </cell>
        </row>
        <row r="469">
          <cell r="D469">
            <v>52210</v>
          </cell>
          <cell r="E469" t="str">
            <v>R3-5 chondrite meteorite</v>
          </cell>
          <cell r="F469" t="str">
            <v>R3-5 chondrite meteorite</v>
          </cell>
        </row>
        <row r="470">
          <cell r="D470">
            <v>52211</v>
          </cell>
          <cell r="E470" t="str">
            <v>R3-6 chondrite meteorite</v>
          </cell>
          <cell r="F470" t="str">
            <v>R3-6 chondrite meteorite</v>
          </cell>
        </row>
        <row r="471">
          <cell r="D471">
            <v>52212</v>
          </cell>
          <cell r="E471" t="str">
            <v>R3.4 chondrite meteorite</v>
          </cell>
          <cell r="F471" t="str">
            <v>R3.4 chondrite meteorite</v>
          </cell>
        </row>
        <row r="472">
          <cell r="D472">
            <v>52213</v>
          </cell>
          <cell r="E472" t="str">
            <v>R3.5-4 chondrite meteorite</v>
          </cell>
        </row>
        <row r="473">
          <cell r="D473">
            <v>52214</v>
          </cell>
          <cell r="E473" t="str">
            <v>R3.5-6 chondrite meteorite</v>
          </cell>
        </row>
        <row r="474">
          <cell r="D474">
            <v>52215</v>
          </cell>
          <cell r="E474" t="str">
            <v>R3.6 chondrite meteorite</v>
          </cell>
          <cell r="F474" t="str">
            <v>R3.6 chondrite meteorite</v>
          </cell>
        </row>
        <row r="475">
          <cell r="D475">
            <v>52216</v>
          </cell>
          <cell r="E475" t="str">
            <v>R3.7 chondrite meteorite</v>
          </cell>
          <cell r="F475" t="str">
            <v>R3.7 chondrite meteorite</v>
          </cell>
        </row>
        <row r="476">
          <cell r="D476">
            <v>52217</v>
          </cell>
          <cell r="E476" t="str">
            <v>R3.8 chondrite meteorite</v>
          </cell>
          <cell r="F476" t="str">
            <v>R3.8 chondrite meteorite</v>
          </cell>
        </row>
        <row r="477">
          <cell r="D477">
            <v>52218</v>
          </cell>
          <cell r="E477" t="str">
            <v>R3.8-5 chondrite meteorite</v>
          </cell>
        </row>
        <row r="478">
          <cell r="D478">
            <v>52219</v>
          </cell>
          <cell r="E478" t="str">
            <v>R3.8-6 chondrite meteorite</v>
          </cell>
        </row>
        <row r="479">
          <cell r="D479">
            <v>52220</v>
          </cell>
          <cell r="E479" t="str">
            <v>R3.9 chondrite meteorite</v>
          </cell>
          <cell r="F479" t="str">
            <v>R3.9 chondrite meteorite</v>
          </cell>
        </row>
        <row r="480">
          <cell r="D480">
            <v>52221</v>
          </cell>
          <cell r="E480" t="str">
            <v>R3/4 chondrite meteorite</v>
          </cell>
          <cell r="F480" t="str">
            <v>R3/4 chondrite meteorite</v>
          </cell>
        </row>
        <row r="481">
          <cell r="D481">
            <v>52222</v>
          </cell>
          <cell r="E481" t="str">
            <v>R4-5 chondrite meteorite</v>
          </cell>
          <cell r="F481" t="str">
            <v>R4-5 chondrite meteorite</v>
          </cell>
        </row>
        <row r="482">
          <cell r="D482">
            <v>52223</v>
          </cell>
          <cell r="E482" t="str">
            <v>R4-6 chondrite meteorite</v>
          </cell>
          <cell r="F482" t="str">
            <v>R4-6 chondrite meteorite</v>
          </cell>
        </row>
        <row r="483">
          <cell r="D483">
            <v>52224</v>
          </cell>
          <cell r="E483" t="str">
            <v>R4/5 chondrite meteorite</v>
          </cell>
          <cell r="F483" t="str">
            <v>R4/5 chondrite meteorite</v>
          </cell>
        </row>
        <row r="484">
          <cell r="D484">
            <v>52225</v>
          </cell>
          <cell r="E484" t="str">
            <v>Mesosiderite-A3/4 meteorite</v>
          </cell>
        </row>
        <row r="485">
          <cell r="D485">
            <v>52226</v>
          </cell>
          <cell r="E485" t="str">
            <v>H3.8 chondrite meteorite</v>
          </cell>
        </row>
        <row r="486">
          <cell r="D486">
            <v>52227</v>
          </cell>
          <cell r="E486" t="str">
            <v>H3.9 chondrite meteorite</v>
          </cell>
        </row>
        <row r="487">
          <cell r="D487">
            <v>52228</v>
          </cell>
          <cell r="E487" t="str">
            <v>H3.6 chondrite meteorite</v>
          </cell>
        </row>
        <row r="488">
          <cell r="D488">
            <v>52229</v>
          </cell>
          <cell r="E488" t="str">
            <v>H3.7 chondrite meteorite</v>
          </cell>
        </row>
        <row r="489">
          <cell r="D489">
            <v>52231</v>
          </cell>
          <cell r="E489" t="str">
            <v>Ungrouped iron meteorite</v>
          </cell>
          <cell r="F489" t="str">
            <v>Ungrouped iron meteorite</v>
          </cell>
        </row>
        <row r="490">
          <cell r="D490">
            <v>52237</v>
          </cell>
          <cell r="E490" t="str">
            <v>Relict meteorite</v>
          </cell>
          <cell r="F490" t="str">
            <v>Relict meteorite</v>
          </cell>
        </row>
        <row r="491">
          <cell r="D491">
            <v>52238</v>
          </cell>
          <cell r="E491" t="str">
            <v>Relict H meteorite</v>
          </cell>
          <cell r="F491" t="str">
            <v>Relict H meteorite</v>
          </cell>
        </row>
        <row r="492">
          <cell r="D492">
            <v>52239</v>
          </cell>
          <cell r="E492" t="str">
            <v>Relict iron meteorite</v>
          </cell>
          <cell r="F492" t="str">
            <v>Relict iron meteorite</v>
          </cell>
        </row>
        <row r="493">
          <cell r="D493">
            <v>52240</v>
          </cell>
          <cell r="E493" t="str">
            <v>Relict OC meteorite</v>
          </cell>
          <cell r="F493" t="str">
            <v>Relict OC meteorite</v>
          </cell>
        </row>
        <row r="494">
          <cell r="D494">
            <v>52241</v>
          </cell>
          <cell r="E494" t="str">
            <v>Relict ureilite meteorite</v>
          </cell>
          <cell r="F494" t="str">
            <v>Relict ureilite meteorite</v>
          </cell>
        </row>
        <row r="495">
          <cell r="D495">
            <v>52338</v>
          </cell>
          <cell r="E495" t="str">
            <v>Ureilite-pmict meteorite</v>
          </cell>
        </row>
        <row r="496">
          <cell r="D496">
            <v>52360</v>
          </cell>
          <cell r="E496" t="str">
            <v>Anomalous EH7 chondrite meteorite</v>
          </cell>
        </row>
        <row r="497">
          <cell r="D497">
            <v>52363</v>
          </cell>
          <cell r="E497" t="str">
            <v>C-ung chondrite meteorite</v>
          </cell>
        </row>
        <row r="498">
          <cell r="D498">
            <v>52364</v>
          </cell>
          <cell r="E498" t="str">
            <v>C1-ung chondrite meteorite</v>
          </cell>
        </row>
        <row r="499">
          <cell r="D499">
            <v>52365</v>
          </cell>
          <cell r="E499" t="str">
            <v>C1/2-ung chondrite meteorite</v>
          </cell>
        </row>
        <row r="500">
          <cell r="D500">
            <v>52366</v>
          </cell>
          <cell r="E500" t="str">
            <v>C2-ung chondrite meteorite</v>
          </cell>
        </row>
        <row r="501">
          <cell r="D501">
            <v>52367</v>
          </cell>
          <cell r="E501" t="str">
            <v>C3-ung chondrite meteorite</v>
          </cell>
        </row>
        <row r="502">
          <cell r="D502">
            <v>52368</v>
          </cell>
          <cell r="E502" t="str">
            <v>H3.3 chondrite meteorite</v>
          </cell>
        </row>
        <row r="503">
          <cell r="D503">
            <v>52369</v>
          </cell>
          <cell r="E503" t="str">
            <v>Unclassified stony meteorite</v>
          </cell>
          <cell r="F503" t="str">
            <v>Unclassified stony meteorite</v>
          </cell>
        </row>
        <row r="504">
          <cell r="D504">
            <v>52370</v>
          </cell>
          <cell r="E504" t="str">
            <v>IIG iron meteorite</v>
          </cell>
          <cell r="F504" t="str">
            <v>IIG iron meteorite</v>
          </cell>
        </row>
        <row r="505">
          <cell r="D505">
            <v>52371</v>
          </cell>
          <cell r="E505" t="str">
            <v>Ungrouped pallasite meteorite</v>
          </cell>
          <cell r="F505" t="str">
            <v>Ungrouped pallasite meteorite</v>
          </cell>
        </row>
        <row r="506">
          <cell r="D506">
            <v>52372</v>
          </cell>
          <cell r="E506" t="str">
            <v>Anomalous aubrite meteorite</v>
          </cell>
          <cell r="F506" t="str">
            <v>Anomalous aubrite meteorite</v>
          </cell>
        </row>
        <row r="507">
          <cell r="D507">
            <v>52373</v>
          </cell>
          <cell r="E507" t="str">
            <v>Possible iron meteorite</v>
          </cell>
          <cell r="F507" t="str">
            <v>Possible iron meteorite</v>
          </cell>
        </row>
        <row r="508">
          <cell r="D508">
            <v>52374</v>
          </cell>
          <cell r="E508" t="str">
            <v>OC3 chondrite meteorite</v>
          </cell>
          <cell r="F508" t="str">
            <v>OC3 chondrite meteorite</v>
          </cell>
        </row>
        <row r="509">
          <cell r="D509">
            <v>52375</v>
          </cell>
          <cell r="E509" t="str">
            <v>CK4-an chondrite meteorite</v>
          </cell>
        </row>
        <row r="510">
          <cell r="D510">
            <v>52376</v>
          </cell>
          <cell r="E510" t="str">
            <v>CK3-an chondrite meteorite</v>
          </cell>
        </row>
        <row r="511">
          <cell r="D511">
            <v>52377</v>
          </cell>
          <cell r="E511" t="str">
            <v>CM-an chondrite meteorite</v>
          </cell>
        </row>
        <row r="512">
          <cell r="D512">
            <v>52378</v>
          </cell>
          <cell r="E512" t="str">
            <v>C3.0-ung chondrite meteorite</v>
          </cell>
        </row>
        <row r="513">
          <cell r="D513">
            <v>52379</v>
          </cell>
          <cell r="E513" t="str">
            <v>C3/4-ung chondrite meteorite</v>
          </cell>
        </row>
        <row r="514">
          <cell r="D514">
            <v>52380</v>
          </cell>
          <cell r="E514" t="str">
            <v>IAB-sHL-an iron meteorite</v>
          </cell>
        </row>
        <row r="515">
          <cell r="D515">
            <v>52381</v>
          </cell>
          <cell r="E515" t="str">
            <v>IC-an iron meteorite</v>
          </cell>
        </row>
        <row r="516">
          <cell r="D516">
            <v>52382</v>
          </cell>
          <cell r="E516" t="str">
            <v>IIAB-an iron meteorite</v>
          </cell>
        </row>
        <row r="517">
          <cell r="D517">
            <v>52383</v>
          </cell>
          <cell r="E517" t="str">
            <v>IIE-an iron meteorite</v>
          </cell>
        </row>
        <row r="518">
          <cell r="D518">
            <v>52384</v>
          </cell>
          <cell r="E518" t="str">
            <v>IIIAB-an iron meteorite</v>
          </cell>
        </row>
        <row r="519">
          <cell r="D519">
            <v>52385</v>
          </cell>
          <cell r="E519" t="str">
            <v>IIIE-an iron meteorite</v>
          </cell>
        </row>
        <row r="520">
          <cell r="D520">
            <v>52386</v>
          </cell>
          <cell r="E520" t="str">
            <v>IVA-an iron meteorite</v>
          </cell>
        </row>
        <row r="521">
          <cell r="D521">
            <v>52387</v>
          </cell>
          <cell r="E521" t="str">
            <v>CK5-an chondrite meteorite</v>
          </cell>
        </row>
        <row r="522">
          <cell r="D522">
            <v>52388</v>
          </cell>
          <cell r="E522" t="str">
            <v>CM2-an chondrite meteorite</v>
          </cell>
        </row>
        <row r="523">
          <cell r="D523">
            <v>52389</v>
          </cell>
          <cell r="E523" t="str">
            <v>CR2-an chondrite meteorite</v>
          </cell>
        </row>
        <row r="524">
          <cell r="D524">
            <v>52390</v>
          </cell>
          <cell r="E524" t="str">
            <v>E3-an chondrite meteorite</v>
          </cell>
        </row>
        <row r="525">
          <cell r="D525">
            <v>52391</v>
          </cell>
          <cell r="E525" t="str">
            <v>E5-an chondrite meteorite</v>
          </cell>
        </row>
        <row r="526">
          <cell r="D526">
            <v>52392</v>
          </cell>
          <cell r="E526" t="str">
            <v>IAB-ung iron meteorite</v>
          </cell>
        </row>
        <row r="527">
          <cell r="D527">
            <v>52393</v>
          </cell>
          <cell r="E527" t="str">
            <v>Possible IAB complex iron meteorite</v>
          </cell>
        </row>
        <row r="528">
          <cell r="D528">
            <v>52394</v>
          </cell>
          <cell r="E528" t="str">
            <v>LL7 chondrite meteorite</v>
          </cell>
        </row>
        <row r="529">
          <cell r="D529">
            <v>52395</v>
          </cell>
          <cell r="E529" t="str">
            <v>Anomalous H3.8 chondrite meteorite</v>
          </cell>
        </row>
        <row r="530">
          <cell r="D530">
            <v>52396</v>
          </cell>
          <cell r="E530" t="str">
            <v>CO3-melt breccia chondrite meteorite</v>
          </cell>
        </row>
        <row r="531">
          <cell r="D531">
            <v>52720</v>
          </cell>
          <cell r="E531" t="str">
            <v>Catarinite</v>
          </cell>
        </row>
        <row r="532">
          <cell r="D532">
            <v>52787</v>
          </cell>
          <cell r="E532" t="str">
            <v>Ataxite</v>
          </cell>
        </row>
        <row r="533">
          <cell r="D533">
            <v>52895</v>
          </cell>
          <cell r="E533" t="str">
            <v>glass meteorite</v>
          </cell>
        </row>
        <row r="534">
          <cell r="D534">
            <v>54116</v>
          </cell>
          <cell r="E534" t="str">
            <v>Octahedrite (meteorite)</v>
          </cell>
        </row>
        <row r="535">
          <cell r="D535" t="e">
            <v>#N/A</v>
          </cell>
          <cell r="E535" t="str">
            <v>Hexahedrite</v>
          </cell>
        </row>
      </sheetData>
      <sheetData sheetId="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en.wikipedia.org/wiki/Nonmagmatic_meteorite%20|" TargetMode="External"/><Relationship Id="rId1" Type="http://schemas.openxmlformats.org/officeDocument/2006/relationships/hyperlink" Target="https://www.mindat.org/min-49559.htm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S502"/>
  <sheetViews>
    <sheetView topLeftCell="G1" workbookViewId="0">
      <pane ySplit="1" topLeftCell="A24" activePane="bottomLeft" state="frozen"/>
      <selection pane="bottomLeft" activeCell="J503" sqref="A1:XFD1048576"/>
    </sheetView>
  </sheetViews>
  <sheetFormatPr defaultRowHeight="15" x14ac:dyDescent="0.25"/>
  <cols>
    <col min="2" max="2" width="41.140625" customWidth="1"/>
    <col min="3" max="3" width="13.7109375" customWidth="1"/>
    <col min="4" max="4" width="10.7109375" bestFit="1" customWidth="1"/>
    <col min="5" max="5" width="38.42578125" bestFit="1" customWidth="1"/>
    <col min="6" max="6" width="12" bestFit="1" customWidth="1"/>
    <col min="7" max="7" width="16.7109375" bestFit="1" customWidth="1"/>
    <col min="8" max="9" width="37.7109375" customWidth="1"/>
    <col min="10" max="10" width="13.85546875" bestFit="1" customWidth="1"/>
    <col min="11" max="11" width="18.85546875" bestFit="1" customWidth="1"/>
    <col min="12" max="13" width="20" bestFit="1" customWidth="1"/>
    <col min="14" max="14" width="13.7109375" customWidth="1"/>
    <col min="15" max="15" width="11.42578125" customWidth="1"/>
    <col min="16" max="16" width="21.42578125" customWidth="1"/>
    <col min="17" max="17" width="45.5703125" customWidth="1"/>
    <col min="18" max="18" width="23.5703125" bestFit="1" customWidth="1"/>
    <col min="19" max="19" width="17.28515625" customWidth="1"/>
  </cols>
  <sheetData>
    <row r="1" spans="1:19" x14ac:dyDescent="0.25">
      <c r="A1" s="1" t="s">
        <v>2252</v>
      </c>
      <c r="B1" s="1" t="s">
        <v>3</v>
      </c>
      <c r="C1" s="1" t="s">
        <v>0</v>
      </c>
      <c r="D1" s="1" t="s">
        <v>1</v>
      </c>
      <c r="E1" s="1" t="s">
        <v>2</v>
      </c>
      <c r="F1" s="1" t="s">
        <v>4</v>
      </c>
      <c r="G1" s="1" t="s">
        <v>5</v>
      </c>
      <c r="H1" s="1" t="s">
        <v>6</v>
      </c>
      <c r="I1" s="1" t="s">
        <v>2472</v>
      </c>
      <c r="J1" s="3" t="s">
        <v>7</v>
      </c>
      <c r="K1" s="3" t="s">
        <v>2254</v>
      </c>
      <c r="L1" s="1" t="s">
        <v>8</v>
      </c>
      <c r="M1" s="1" t="s">
        <v>2255</v>
      </c>
      <c r="N1" s="1" t="s">
        <v>9</v>
      </c>
      <c r="O1" s="1" t="s">
        <v>2248</v>
      </c>
      <c r="P1" s="1" t="s">
        <v>2456</v>
      </c>
      <c r="Q1" s="1" t="s">
        <v>2457</v>
      </c>
      <c r="R1" s="1" t="s">
        <v>10</v>
      </c>
      <c r="S1" s="1" t="s">
        <v>2253</v>
      </c>
    </row>
    <row r="2" spans="1:19" x14ac:dyDescent="0.25">
      <c r="A2" s="1">
        <v>0</v>
      </c>
      <c r="B2" s="1" t="s">
        <v>13</v>
      </c>
      <c r="C2" s="1">
        <v>11263</v>
      </c>
      <c r="D2" s="1" t="s">
        <v>11</v>
      </c>
      <c r="E2" s="1" t="s">
        <v>12</v>
      </c>
      <c r="F2" s="1">
        <v>7</v>
      </c>
      <c r="G2" s="1" t="s">
        <v>14</v>
      </c>
      <c r="H2" s="1" t="s">
        <v>15</v>
      </c>
      <c r="I2" s="1"/>
      <c r="J2" s="1">
        <v>49847</v>
      </c>
      <c r="K2" s="1" t="str">
        <f>IFERROR(VLOOKUP(J2,$C$2:$D$502,2,FALSE),"")</f>
        <v>1:1:49847:8</v>
      </c>
      <c r="L2" s="1">
        <v>0</v>
      </c>
      <c r="M2" s="1" t="str">
        <f>IFERROR(VLOOKUP(L2,$C$2:$D$502,2,FALSE),"")</f>
        <v/>
      </c>
      <c r="N2" s="1">
        <v>1</v>
      </c>
      <c r="O2" s="1" t="s">
        <v>2249</v>
      </c>
      <c r="P2" s="3" t="str" cm="1">
        <f t="array" ref="P2">IFERROR(mindat_longid(O2),"")</f>
        <v/>
      </c>
      <c r="Q2" s="1" t="str">
        <f>IFERROR(VLOOKUP(O2, [1]meteoriteQuery!$D$2:$E$540,2,FALSE),"")</f>
        <v/>
      </c>
      <c r="R2" s="1" t="s">
        <v>16</v>
      </c>
      <c r="S2" s="1">
        <f>IFERROR(VLOOKUP(C2,[1]meteoriteQuery!$D$2:$F$517,1,FALSE),"")</f>
        <v>11263</v>
      </c>
    </row>
    <row r="3" spans="1:19" x14ac:dyDescent="0.25">
      <c r="A3" s="1">
        <v>246</v>
      </c>
      <c r="B3" s="1" t="s">
        <v>2351</v>
      </c>
      <c r="C3" s="3">
        <v>48145</v>
      </c>
      <c r="D3" s="1" t="s">
        <v>2352</v>
      </c>
      <c r="E3" s="1" t="s">
        <v>2353</v>
      </c>
      <c r="F3" s="1">
        <v>7</v>
      </c>
      <c r="G3" s="1" t="s">
        <v>14</v>
      </c>
      <c r="H3" s="1" t="s">
        <v>2354</v>
      </c>
      <c r="I3" s="1"/>
      <c r="J3" s="1">
        <v>49507</v>
      </c>
      <c r="K3" s="1" t="str">
        <f t="shared" ref="K3:K67" si="0">IFERROR(VLOOKUP(J3,$C$2:$D$502,2,FALSE),"")</f>
        <v>1:1:49507:3</v>
      </c>
      <c r="L3" s="3">
        <v>48144</v>
      </c>
      <c r="M3" s="3" t="s">
        <v>2452</v>
      </c>
      <c r="N3" s="1">
        <v>0</v>
      </c>
      <c r="O3" s="1"/>
      <c r="P3" s="3" t="str" cm="1">
        <f t="array" ref="P3">IFERROR(mindat_longid(O3),"")</f>
        <v/>
      </c>
      <c r="Q3" s="1" t="str">
        <f>IFERROR(VLOOKUP(O3, [1]meteoriteQuery!$D$2:$E$540,2,FALSE),"")</f>
        <v/>
      </c>
      <c r="R3" s="1"/>
    </row>
    <row r="4" spans="1:19" ht="15.75" x14ac:dyDescent="0.3">
      <c r="A4" s="1"/>
      <c r="B4" t="s">
        <v>2447</v>
      </c>
      <c r="C4">
        <v>49089</v>
      </c>
      <c r="D4" t="s">
        <v>2448</v>
      </c>
      <c r="E4" t="s">
        <v>2449</v>
      </c>
      <c r="F4">
        <v>7</v>
      </c>
      <c r="G4" t="s">
        <v>14</v>
      </c>
      <c r="H4" t="s">
        <v>2450</v>
      </c>
      <c r="J4">
        <v>49077</v>
      </c>
      <c r="K4" s="5" t="s">
        <v>2451</v>
      </c>
      <c r="L4" s="3"/>
      <c r="M4" s="3"/>
      <c r="N4" s="1"/>
      <c r="O4" s="1"/>
      <c r="P4" s="3" t="str" cm="1">
        <f t="array" ref="P4">IFERROR(mindat_longid(O4),"")</f>
        <v/>
      </c>
      <c r="Q4" s="1" t="str">
        <f>IFERROR(VLOOKUP(O4, [1]meteoriteQuery!$D$2:$E$540,2,FALSE),"")</f>
        <v/>
      </c>
      <c r="R4" s="1"/>
    </row>
    <row r="5" spans="1:19" x14ac:dyDescent="0.25">
      <c r="A5" s="1">
        <v>87</v>
      </c>
      <c r="B5" s="1" t="s">
        <v>2424</v>
      </c>
      <c r="C5" s="3">
        <v>49091</v>
      </c>
      <c r="D5" s="1" t="s">
        <v>2425</v>
      </c>
      <c r="E5" s="1" t="s">
        <v>2426</v>
      </c>
      <c r="F5" s="1">
        <v>7</v>
      </c>
      <c r="G5" s="1" t="s">
        <v>14</v>
      </c>
      <c r="H5" s="1" t="s">
        <v>2427</v>
      </c>
      <c r="I5" s="1"/>
      <c r="J5" s="1">
        <v>49509</v>
      </c>
      <c r="K5" s="1" t="str">
        <f t="shared" si="0"/>
        <v>1:1:49509:1</v>
      </c>
      <c r="L5" s="3">
        <v>49089</v>
      </c>
      <c r="M5" s="3" t="str">
        <f t="shared" ref="M5:M67" si="1">IFERROR(VLOOKUP(L5,$C$2:$D$502,2,FALSE),"")</f>
        <v>1:1:49089:2</v>
      </c>
      <c r="N5" s="1">
        <v>1</v>
      </c>
      <c r="O5" s="1"/>
      <c r="P5" s="3" t="str" cm="1">
        <f t="array" ref="P5">IFERROR(mindat_longid(O5),"")</f>
        <v/>
      </c>
      <c r="Q5" s="1" t="str">
        <f>IFERROR(VLOOKUP(O5, [1]meteoriteQuery!$D$2:$E$540,2,FALSE),"")</f>
        <v/>
      </c>
      <c r="R5" s="1"/>
    </row>
    <row r="6" spans="1:19" x14ac:dyDescent="0.25">
      <c r="A6" s="1">
        <v>207</v>
      </c>
      <c r="B6" s="1" t="s">
        <v>2377</v>
      </c>
      <c r="C6" s="3">
        <v>49093</v>
      </c>
      <c r="D6" s="1" t="s">
        <v>2378</v>
      </c>
      <c r="E6" s="1" t="s">
        <v>2379</v>
      </c>
      <c r="F6" s="1">
        <v>7</v>
      </c>
      <c r="G6" s="1" t="s">
        <v>14</v>
      </c>
      <c r="H6" s="1" t="s">
        <v>2380</v>
      </c>
      <c r="I6" s="1"/>
      <c r="J6" s="1">
        <v>49938</v>
      </c>
      <c r="K6" s="1" t="str">
        <f t="shared" si="0"/>
        <v>1:1:49938:9</v>
      </c>
      <c r="L6" s="3">
        <v>49092</v>
      </c>
      <c r="M6" s="3" t="s">
        <v>2453</v>
      </c>
      <c r="N6" s="1">
        <v>0</v>
      </c>
      <c r="O6" s="1"/>
      <c r="P6" s="3" t="str" cm="1">
        <f t="array" ref="P6">IFERROR(mindat_longid(O6),"")</f>
        <v/>
      </c>
      <c r="Q6" s="1" t="str">
        <f>IFERROR(VLOOKUP(O6, [1]meteoriteQuery!$D$2:$E$540,2,FALSE),"")</f>
        <v/>
      </c>
      <c r="R6" s="1"/>
    </row>
    <row r="7" spans="1:19" x14ac:dyDescent="0.25">
      <c r="A7" s="1"/>
      <c r="B7" s="1" t="s">
        <v>2434</v>
      </c>
      <c r="C7" s="3">
        <v>49504</v>
      </c>
      <c r="D7" s="4" t="s">
        <v>2350</v>
      </c>
      <c r="E7" s="4" t="s">
        <v>2435</v>
      </c>
      <c r="F7" s="1"/>
      <c r="G7" s="1"/>
      <c r="H7" s="4" t="s">
        <v>2436</v>
      </c>
      <c r="I7" s="4"/>
      <c r="J7" s="3"/>
      <c r="K7" s="1" t="str">
        <f t="shared" si="0"/>
        <v/>
      </c>
      <c r="L7" s="1"/>
      <c r="M7" s="3" t="str">
        <f t="shared" si="1"/>
        <v/>
      </c>
      <c r="N7" s="1"/>
      <c r="O7" s="1"/>
      <c r="P7" s="3" t="str" cm="1">
        <f t="array" ref="P7">IFERROR(mindat_longid(O7),"")</f>
        <v/>
      </c>
      <c r="Q7" s="1" t="str">
        <f>IFERROR(VLOOKUP(O7, [1]meteoriteQuery!$D$2:$E$540,2,FALSE),"")</f>
        <v/>
      </c>
      <c r="R7" s="1"/>
    </row>
    <row r="8" spans="1:19" x14ac:dyDescent="0.25">
      <c r="A8" s="1">
        <v>32</v>
      </c>
      <c r="B8" s="1" t="s">
        <v>2360</v>
      </c>
      <c r="C8" s="3">
        <v>49505</v>
      </c>
      <c r="D8" s="1" t="s">
        <v>2328</v>
      </c>
      <c r="E8" s="1" t="s">
        <v>2361</v>
      </c>
      <c r="F8" s="1">
        <v>7</v>
      </c>
      <c r="G8" s="1" t="s">
        <v>14</v>
      </c>
      <c r="H8" s="1" t="s">
        <v>2362</v>
      </c>
      <c r="I8" s="1"/>
      <c r="J8" s="3">
        <v>49504</v>
      </c>
      <c r="K8" s="1" t="str">
        <f t="shared" si="0"/>
        <v>1:1:49504:6</v>
      </c>
      <c r="L8" s="1">
        <v>0</v>
      </c>
      <c r="M8" s="3" t="str">
        <f t="shared" si="1"/>
        <v/>
      </c>
      <c r="N8" s="1">
        <v>1</v>
      </c>
      <c r="O8" s="1"/>
      <c r="P8" s="3" t="str" cm="1">
        <f t="array" ref="P8">IFERROR(mindat_longid(O8),"")</f>
        <v/>
      </c>
      <c r="Q8" s="1" t="str">
        <f>IFERROR(VLOOKUP(O8, [1]meteoriteQuery!$D$2:$E$540,2,FALSE),"")</f>
        <v/>
      </c>
      <c r="R8" s="1"/>
    </row>
    <row r="9" spans="1:19" x14ac:dyDescent="0.25">
      <c r="A9" s="1">
        <v>135</v>
      </c>
      <c r="B9" s="1" t="s">
        <v>2373</v>
      </c>
      <c r="C9" s="3">
        <v>49506</v>
      </c>
      <c r="D9" s="1" t="s">
        <v>2374</v>
      </c>
      <c r="E9" s="1" t="s">
        <v>2375</v>
      </c>
      <c r="F9" s="1">
        <v>7</v>
      </c>
      <c r="G9" s="1" t="s">
        <v>14</v>
      </c>
      <c r="H9" s="1" t="s">
        <v>2376</v>
      </c>
      <c r="I9" s="1"/>
      <c r="J9" s="3">
        <v>49505</v>
      </c>
      <c r="K9" s="1" t="str">
        <f t="shared" si="0"/>
        <v>1:1:49505:5</v>
      </c>
      <c r="L9" s="1">
        <v>0</v>
      </c>
      <c r="M9" s="3" t="str">
        <f t="shared" si="1"/>
        <v/>
      </c>
      <c r="N9" s="1">
        <v>1</v>
      </c>
      <c r="O9" s="1"/>
      <c r="P9" s="3" t="str" cm="1">
        <f t="array" ref="P9">IFERROR(mindat_longid(O9),"")</f>
        <v/>
      </c>
      <c r="Q9" s="1" t="str">
        <f>IFERROR(VLOOKUP(O9, [1]meteoriteQuery!$D$2:$E$540,2,FALSE),"")</f>
        <v/>
      </c>
      <c r="R9" s="1"/>
    </row>
    <row r="10" spans="1:19" x14ac:dyDescent="0.25">
      <c r="A10" s="1">
        <v>39</v>
      </c>
      <c r="B10" s="1" t="s">
        <v>2324</v>
      </c>
      <c r="C10" s="3">
        <v>49507</v>
      </c>
      <c r="D10" s="1" t="s">
        <v>2325</v>
      </c>
      <c r="E10" s="1" t="s">
        <v>2326</v>
      </c>
      <c r="F10" s="1">
        <v>7</v>
      </c>
      <c r="G10" s="1" t="s">
        <v>14</v>
      </c>
      <c r="H10" s="1" t="s">
        <v>2327</v>
      </c>
      <c r="I10" s="1"/>
      <c r="J10" s="3">
        <v>49505</v>
      </c>
      <c r="K10" s="1" t="str">
        <f t="shared" si="0"/>
        <v>1:1:49505:5</v>
      </c>
      <c r="L10" s="1">
        <v>0</v>
      </c>
      <c r="M10" s="3" t="str">
        <f t="shared" si="1"/>
        <v/>
      </c>
      <c r="N10" s="1">
        <v>1</v>
      </c>
      <c r="O10" s="1"/>
      <c r="P10" s="3" t="str" cm="1">
        <f t="array" ref="P10">IFERROR(mindat_longid(O10),"")</f>
        <v/>
      </c>
      <c r="Q10" s="1" t="str">
        <f>IFERROR(VLOOKUP(O10, [1]meteoriteQuery!$D$2:$E$540,2,FALSE),"")</f>
        <v/>
      </c>
      <c r="R10" s="1"/>
    </row>
    <row r="11" spans="1:19" x14ac:dyDescent="0.25">
      <c r="A11" s="1">
        <v>219</v>
      </c>
      <c r="B11" s="1" t="s">
        <v>2347</v>
      </c>
      <c r="C11" s="3">
        <v>49508</v>
      </c>
      <c r="D11" s="1" t="s">
        <v>2345</v>
      </c>
      <c r="E11" s="1" t="s">
        <v>2348</v>
      </c>
      <c r="F11" s="1">
        <v>7</v>
      </c>
      <c r="G11" s="1" t="s">
        <v>14</v>
      </c>
      <c r="H11" s="1" t="s">
        <v>2349</v>
      </c>
      <c r="I11" s="1"/>
      <c r="J11" s="3">
        <v>49504</v>
      </c>
      <c r="K11" s="1" t="str">
        <f t="shared" si="0"/>
        <v>1:1:49504:6</v>
      </c>
      <c r="L11" s="1">
        <v>0</v>
      </c>
      <c r="M11" s="3" t="str">
        <f t="shared" si="1"/>
        <v/>
      </c>
      <c r="N11" s="1">
        <v>1</v>
      </c>
      <c r="O11" s="1"/>
      <c r="P11" s="3" t="str" cm="1">
        <f t="array" ref="P11">IFERROR(mindat_longid(O11),"")</f>
        <v/>
      </c>
      <c r="Q11" s="1" t="str">
        <f>IFERROR(VLOOKUP(O11, [1]meteoriteQuery!$D$2:$E$540,2,FALSE),"")</f>
        <v/>
      </c>
      <c r="R11" s="1"/>
    </row>
    <row r="12" spans="1:19" x14ac:dyDescent="0.25">
      <c r="A12" s="1">
        <v>196</v>
      </c>
      <c r="B12" s="1" t="s">
        <v>2342</v>
      </c>
      <c r="C12" s="3">
        <v>49509</v>
      </c>
      <c r="D12" s="1" t="s">
        <v>2315</v>
      </c>
      <c r="E12" s="1" t="s">
        <v>2343</v>
      </c>
      <c r="F12" s="1">
        <v>7</v>
      </c>
      <c r="G12" s="1" t="s">
        <v>14</v>
      </c>
      <c r="H12" s="1" t="s">
        <v>2344</v>
      </c>
      <c r="I12" s="1"/>
      <c r="J12" s="3">
        <v>49508</v>
      </c>
      <c r="K12" s="1" t="str">
        <f t="shared" si="0"/>
        <v>1:1:49508:2</v>
      </c>
      <c r="L12" s="1">
        <v>51453</v>
      </c>
      <c r="M12" s="3" t="str">
        <f t="shared" si="1"/>
        <v>1:1:51453:6</v>
      </c>
      <c r="N12" s="1">
        <v>1</v>
      </c>
      <c r="O12" s="1"/>
      <c r="P12" s="3" t="str" cm="1">
        <f t="array" ref="P12">IFERROR(mindat_longid(O12),"")</f>
        <v/>
      </c>
      <c r="Q12" s="1" t="str">
        <f>IFERROR(VLOOKUP(O12, [1]meteoriteQuery!$D$2:$E$540,2,FALSE),"")</f>
        <v/>
      </c>
      <c r="R12" s="1"/>
    </row>
    <row r="13" spans="1:19" x14ac:dyDescent="0.25">
      <c r="A13" s="1">
        <v>43</v>
      </c>
      <c r="B13" s="1" t="s">
        <v>2311</v>
      </c>
      <c r="C13" s="3">
        <v>49510</v>
      </c>
      <c r="D13" s="1" t="s">
        <v>2312</v>
      </c>
      <c r="E13" s="1" t="s">
        <v>2313</v>
      </c>
      <c r="F13" s="1">
        <v>7</v>
      </c>
      <c r="G13" s="1" t="s">
        <v>14</v>
      </c>
      <c r="H13" s="1" t="s">
        <v>2314</v>
      </c>
      <c r="I13" s="1"/>
      <c r="J13" s="3">
        <v>49509</v>
      </c>
      <c r="K13" s="1" t="str">
        <f t="shared" si="0"/>
        <v>1:1:49509:1</v>
      </c>
      <c r="L13" s="1">
        <v>0</v>
      </c>
      <c r="M13" s="3" t="str">
        <f t="shared" si="1"/>
        <v/>
      </c>
      <c r="N13" s="1">
        <v>1</v>
      </c>
      <c r="O13" s="1"/>
      <c r="P13" s="3" t="str" cm="1">
        <f t="array" ref="P13">IFERROR(mindat_longid(O13),"")</f>
        <v/>
      </c>
      <c r="Q13" s="1" t="str">
        <f>IFERROR(VLOOKUP(O13, [1]meteoriteQuery!$D$2:$E$540,2,FALSE),"")</f>
        <v/>
      </c>
      <c r="R13" s="1"/>
    </row>
    <row r="14" spans="1:19" x14ac:dyDescent="0.25">
      <c r="A14" s="1">
        <v>83</v>
      </c>
      <c r="B14" s="1" t="s">
        <v>2367</v>
      </c>
      <c r="C14" s="3">
        <v>49511</v>
      </c>
      <c r="D14" s="1" t="s">
        <v>2359</v>
      </c>
      <c r="E14" s="1" t="s">
        <v>2368</v>
      </c>
      <c r="F14" s="1">
        <v>7</v>
      </c>
      <c r="G14" s="1" t="s">
        <v>14</v>
      </c>
      <c r="H14" s="1" t="s">
        <v>2369</v>
      </c>
      <c r="I14" s="1"/>
      <c r="J14" s="3">
        <v>49508</v>
      </c>
      <c r="K14" s="1" t="str">
        <f t="shared" si="0"/>
        <v>1:1:49508:2</v>
      </c>
      <c r="L14" s="1">
        <v>0</v>
      </c>
      <c r="M14" s="3" t="str">
        <f t="shared" si="1"/>
        <v/>
      </c>
      <c r="N14" s="1">
        <v>1</v>
      </c>
      <c r="O14" s="1"/>
      <c r="P14" s="3" t="str" cm="1">
        <f t="array" ref="P14">IFERROR(mindat_longid(O14),"")</f>
        <v/>
      </c>
      <c r="Q14" s="1" t="str">
        <f>IFERROR(VLOOKUP(O14, [1]meteoriteQuery!$D$2:$E$540,2,FALSE),"")</f>
        <v/>
      </c>
      <c r="R14" s="1"/>
    </row>
    <row r="15" spans="1:19" x14ac:dyDescent="0.25">
      <c r="A15" s="1">
        <v>7</v>
      </c>
      <c r="B15" s="1" t="s">
        <v>2355</v>
      </c>
      <c r="C15" s="3">
        <v>49512</v>
      </c>
      <c r="D15" s="1" t="s">
        <v>2356</v>
      </c>
      <c r="E15" s="1" t="s">
        <v>2357</v>
      </c>
      <c r="F15" s="1">
        <v>7</v>
      </c>
      <c r="G15" s="1" t="s">
        <v>14</v>
      </c>
      <c r="H15" s="1" t="s">
        <v>2358</v>
      </c>
      <c r="I15" s="1"/>
      <c r="J15" s="3">
        <v>49511</v>
      </c>
      <c r="K15" s="1" t="str">
        <f t="shared" si="0"/>
        <v>1:1:49511:6</v>
      </c>
      <c r="L15" s="1">
        <v>0</v>
      </c>
      <c r="M15" s="3" t="str">
        <f t="shared" si="1"/>
        <v/>
      </c>
      <c r="N15" s="1">
        <v>1</v>
      </c>
      <c r="O15" s="1"/>
      <c r="P15" s="3" t="str" cm="1">
        <f t="array" ref="P15">IFERROR(mindat_longid(O15),"")</f>
        <v/>
      </c>
      <c r="Q15" s="1" t="str">
        <f>IFERROR(VLOOKUP(O15, [1]meteoriteQuery!$D$2:$E$540,2,FALSE),"")</f>
        <v/>
      </c>
      <c r="R15" s="1"/>
    </row>
    <row r="16" spans="1:19" x14ac:dyDescent="0.25">
      <c r="A16" s="1">
        <v>57</v>
      </c>
      <c r="B16" s="1" t="s">
        <v>2363</v>
      </c>
      <c r="C16" s="3">
        <v>49513</v>
      </c>
      <c r="D16" s="1" t="s">
        <v>2364</v>
      </c>
      <c r="E16" s="1" t="s">
        <v>2365</v>
      </c>
      <c r="F16" s="1">
        <v>7</v>
      </c>
      <c r="G16" s="1" t="s">
        <v>14</v>
      </c>
      <c r="H16" s="1" t="s">
        <v>2366</v>
      </c>
      <c r="I16" s="1"/>
      <c r="J16" s="3">
        <v>49511</v>
      </c>
      <c r="K16" s="1" t="str">
        <f t="shared" si="0"/>
        <v>1:1:49511:6</v>
      </c>
      <c r="L16" s="1">
        <v>0</v>
      </c>
      <c r="M16" s="3" t="str">
        <f t="shared" si="1"/>
        <v/>
      </c>
      <c r="N16" s="1">
        <v>1</v>
      </c>
      <c r="O16" s="1"/>
      <c r="P16" s="3" t="str" cm="1">
        <f t="array" ref="P16">IFERROR(mindat_longid(O16),"")</f>
        <v/>
      </c>
      <c r="Q16" s="1" t="str">
        <f>IFERROR(VLOOKUP(O16, [1]meteoriteQuery!$D$2:$E$540,2,FALSE),"")</f>
        <v/>
      </c>
      <c r="R16" s="1"/>
    </row>
    <row r="17" spans="1:19" x14ac:dyDescent="0.25">
      <c r="A17" s="1">
        <v>33</v>
      </c>
      <c r="B17" s="1" t="s">
        <v>2381</v>
      </c>
      <c r="C17" s="3">
        <v>49514</v>
      </c>
      <c r="D17" s="1" t="s">
        <v>2302</v>
      </c>
      <c r="E17" s="1" t="s">
        <v>2382</v>
      </c>
      <c r="F17" s="1">
        <v>7</v>
      </c>
      <c r="G17" s="1" t="s">
        <v>14</v>
      </c>
      <c r="H17" s="1" t="s">
        <v>2383</v>
      </c>
      <c r="I17" s="1"/>
      <c r="J17" s="3">
        <v>49504</v>
      </c>
      <c r="K17" s="1" t="str">
        <f t="shared" si="0"/>
        <v>1:1:49504:6</v>
      </c>
      <c r="L17" s="1">
        <v>0</v>
      </c>
      <c r="M17" s="3" t="str">
        <f t="shared" si="1"/>
        <v/>
      </c>
      <c r="N17" s="1">
        <v>1</v>
      </c>
      <c r="O17" s="1"/>
      <c r="P17" s="3" t="str" cm="1">
        <f t="array" ref="P17">IFERROR(mindat_longid(O17),"")</f>
        <v/>
      </c>
      <c r="Q17" s="1" t="str">
        <f>IFERROR(VLOOKUP(O17, [1]meteoriteQuery!$D$2:$E$540,2,FALSE),"")</f>
        <v/>
      </c>
      <c r="R17" s="1"/>
    </row>
    <row r="18" spans="1:19" x14ac:dyDescent="0.25">
      <c r="A18" s="1">
        <v>1</v>
      </c>
      <c r="B18" s="1" t="s">
        <v>19</v>
      </c>
      <c r="C18" s="1">
        <v>49515</v>
      </c>
      <c r="D18" s="1" t="s">
        <v>17</v>
      </c>
      <c r="E18" s="1" t="s">
        <v>18</v>
      </c>
      <c r="F18" s="1">
        <v>7</v>
      </c>
      <c r="G18" s="1" t="s">
        <v>14</v>
      </c>
      <c r="H18" s="1" t="s">
        <v>2470</v>
      </c>
      <c r="I18" s="1" t="s">
        <v>2471</v>
      </c>
      <c r="J18" s="1">
        <v>49514</v>
      </c>
      <c r="K18" s="1" t="str">
        <f t="shared" si="0"/>
        <v>1:1:49514:3</v>
      </c>
      <c r="L18" s="1">
        <v>0</v>
      </c>
      <c r="M18" s="3" t="str">
        <f t="shared" si="1"/>
        <v/>
      </c>
      <c r="N18" s="1">
        <v>1</v>
      </c>
      <c r="O18" s="1" t="s">
        <v>2249</v>
      </c>
      <c r="P18" s="3" t="str" cm="1">
        <f t="array" ref="P18">IFERROR(mindat_longid(O18),"")</f>
        <v/>
      </c>
      <c r="Q18" s="1" t="str">
        <f>IFERROR(VLOOKUP(O18, [1]meteoriteQuery!$D$2:$E$540,2,FALSE),"")</f>
        <v/>
      </c>
      <c r="R18" s="1" t="s">
        <v>20</v>
      </c>
      <c r="S18" s="1">
        <f>IFERROR(VLOOKUP(C18,[1]meteoriteQuery!$D$2:$F$517,1,FALSE),"")</f>
        <v>49515</v>
      </c>
    </row>
    <row r="19" spans="1:19" x14ac:dyDescent="0.25">
      <c r="A19" s="1">
        <v>2</v>
      </c>
      <c r="B19" s="1" t="s">
        <v>23</v>
      </c>
      <c r="C19" s="1">
        <v>49517</v>
      </c>
      <c r="D19" s="1" t="s">
        <v>21</v>
      </c>
      <c r="E19" s="1" t="s">
        <v>22</v>
      </c>
      <c r="F19" s="1">
        <v>7</v>
      </c>
      <c r="G19" s="1" t="s">
        <v>14</v>
      </c>
      <c r="H19" s="1" t="s">
        <v>24</v>
      </c>
      <c r="I19" s="1"/>
      <c r="J19" s="1">
        <v>49515</v>
      </c>
      <c r="K19" s="1" t="str">
        <f t="shared" si="0"/>
        <v>1:1:49515:2</v>
      </c>
      <c r="L19" s="1">
        <v>0</v>
      </c>
      <c r="M19" s="3" t="str">
        <f t="shared" si="1"/>
        <v/>
      </c>
      <c r="N19" s="1">
        <v>0</v>
      </c>
      <c r="O19" s="1" t="s">
        <v>2249</v>
      </c>
      <c r="P19" s="3" t="str" cm="1">
        <f t="array" ref="P19">IFERROR(mindat_longid(O19),"")</f>
        <v/>
      </c>
      <c r="Q19" s="1" t="str">
        <f>IFERROR(VLOOKUP(O19, [1]meteoriteQuery!$D$2:$E$540,2,FALSE),"")</f>
        <v/>
      </c>
      <c r="R19" s="1" t="s">
        <v>25</v>
      </c>
      <c r="S19" s="1">
        <f>IFERROR(VLOOKUP(C19,[1]meteoriteQuery!$D$2:$F$517,1,FALSE),"")</f>
        <v>49517</v>
      </c>
    </row>
    <row r="20" spans="1:19" x14ac:dyDescent="0.25">
      <c r="A20" s="1">
        <v>3</v>
      </c>
      <c r="B20" s="1" t="s">
        <v>28</v>
      </c>
      <c r="C20" s="1">
        <v>49518</v>
      </c>
      <c r="D20" s="1" t="s">
        <v>26</v>
      </c>
      <c r="E20" s="1" t="s">
        <v>27</v>
      </c>
      <c r="F20" s="1">
        <v>7</v>
      </c>
      <c r="G20" s="1" t="s">
        <v>14</v>
      </c>
      <c r="H20" s="1" t="s">
        <v>29</v>
      </c>
      <c r="I20" s="1"/>
      <c r="J20" s="1">
        <v>49515</v>
      </c>
      <c r="K20" s="1" t="str">
        <f t="shared" si="0"/>
        <v>1:1:49515:2</v>
      </c>
      <c r="L20" s="1">
        <v>0</v>
      </c>
      <c r="M20" s="3" t="str">
        <f t="shared" si="1"/>
        <v/>
      </c>
      <c r="N20" s="1">
        <v>0</v>
      </c>
      <c r="O20" s="1" t="s">
        <v>2249</v>
      </c>
      <c r="P20" s="3" t="str" cm="1">
        <f t="array" ref="P20">IFERROR(mindat_longid(O20),"")</f>
        <v/>
      </c>
      <c r="Q20" s="1" t="str">
        <f>IFERROR(VLOOKUP(O20, [1]meteoriteQuery!$D$2:$E$540,2,FALSE),"")</f>
        <v/>
      </c>
      <c r="R20" s="1" t="s">
        <v>30</v>
      </c>
      <c r="S20" s="1">
        <f>IFERROR(VLOOKUP(C20,[1]meteoriteQuery!$D$2:$F$517,1,FALSE),"")</f>
        <v>49518</v>
      </c>
    </row>
    <row r="21" spans="1:19" x14ac:dyDescent="0.25">
      <c r="A21" s="1">
        <v>4</v>
      </c>
      <c r="B21" s="1" t="s">
        <v>33</v>
      </c>
      <c r="C21" s="1">
        <v>49519</v>
      </c>
      <c r="D21" s="1" t="s">
        <v>31</v>
      </c>
      <c r="E21" s="1" t="s">
        <v>32</v>
      </c>
      <c r="F21" s="1">
        <v>7</v>
      </c>
      <c r="G21" s="1" t="s">
        <v>14</v>
      </c>
      <c r="H21" s="1" t="s">
        <v>34</v>
      </c>
      <c r="I21" s="1"/>
      <c r="J21" s="1">
        <v>49515</v>
      </c>
      <c r="K21" s="1" t="str">
        <f t="shared" si="0"/>
        <v>1:1:49515:2</v>
      </c>
      <c r="L21" s="1">
        <v>0</v>
      </c>
      <c r="M21" s="3" t="str">
        <f t="shared" si="1"/>
        <v/>
      </c>
      <c r="N21" s="1">
        <v>1</v>
      </c>
      <c r="O21" s="1" t="s">
        <v>2249</v>
      </c>
      <c r="P21" s="3" t="str" cm="1">
        <f t="array" ref="P21">IFERROR(mindat_longid(O21),"")</f>
        <v/>
      </c>
      <c r="Q21" s="1" t="str">
        <f>IFERROR(VLOOKUP(O21, [1]meteoriteQuery!$D$2:$E$540,2,FALSE),"")</f>
        <v/>
      </c>
      <c r="R21" s="1" t="s">
        <v>35</v>
      </c>
      <c r="S21" s="1">
        <f>IFERROR(VLOOKUP(C21,[1]meteoriteQuery!$D$2:$F$517,1,FALSE),"")</f>
        <v>49519</v>
      </c>
    </row>
    <row r="22" spans="1:19" x14ac:dyDescent="0.25">
      <c r="A22" s="1">
        <v>5</v>
      </c>
      <c r="B22" s="1" t="s">
        <v>38</v>
      </c>
      <c r="C22" s="1">
        <v>49520</v>
      </c>
      <c r="D22" s="1" t="s">
        <v>36</v>
      </c>
      <c r="E22" s="1" t="s">
        <v>37</v>
      </c>
      <c r="F22" s="1">
        <v>7</v>
      </c>
      <c r="G22" s="1" t="s">
        <v>14</v>
      </c>
      <c r="H22" s="1" t="s">
        <v>39</v>
      </c>
      <c r="I22" s="1"/>
      <c r="J22" s="1">
        <v>49519</v>
      </c>
      <c r="K22" s="1" t="str">
        <f t="shared" si="0"/>
        <v>1:1:49519:8</v>
      </c>
      <c r="L22" s="1">
        <v>0</v>
      </c>
      <c r="M22" s="3" t="str">
        <f t="shared" si="1"/>
        <v/>
      </c>
      <c r="N22" s="1">
        <v>1</v>
      </c>
      <c r="O22" s="1" t="s">
        <v>2249</v>
      </c>
      <c r="P22" s="3" t="str" cm="1">
        <f t="array" ref="P22">IFERROR(mindat_longid(O22),"")</f>
        <v/>
      </c>
      <c r="Q22" s="1" t="str">
        <f>IFERROR(VLOOKUP(O22, [1]meteoriteQuery!$D$2:$E$540,2,FALSE),"")</f>
        <v/>
      </c>
      <c r="R22" s="1" t="s">
        <v>35</v>
      </c>
      <c r="S22" s="1">
        <f>IFERROR(VLOOKUP(C22,[1]meteoriteQuery!$D$2:$F$517,1,FALSE),"")</f>
        <v>49520</v>
      </c>
    </row>
    <row r="23" spans="1:19" x14ac:dyDescent="0.25">
      <c r="A23" s="1">
        <v>89</v>
      </c>
      <c r="B23" s="1" t="s">
        <v>2269</v>
      </c>
      <c r="C23" s="3">
        <v>49521</v>
      </c>
      <c r="D23" s="1" t="s">
        <v>2270</v>
      </c>
      <c r="E23" s="1" t="s">
        <v>2271</v>
      </c>
      <c r="F23" s="1">
        <v>7</v>
      </c>
      <c r="G23" s="1" t="s">
        <v>14</v>
      </c>
      <c r="H23" s="1" t="s">
        <v>2272</v>
      </c>
      <c r="I23" s="1"/>
      <c r="J23" s="3">
        <v>49520</v>
      </c>
      <c r="K23" s="1" t="str">
        <f t="shared" si="0"/>
        <v>1:1:49520:4</v>
      </c>
      <c r="L23" s="1">
        <v>49840</v>
      </c>
      <c r="M23" s="3" t="str">
        <f t="shared" si="1"/>
        <v>1:1:49840:5</v>
      </c>
      <c r="N23" s="1">
        <v>1</v>
      </c>
      <c r="O23" s="1"/>
      <c r="P23" s="3" t="str" cm="1">
        <f t="array" ref="P23">IFERROR(mindat_longid(O23),"")</f>
        <v/>
      </c>
      <c r="Q23" s="1" t="str">
        <f>IFERROR(VLOOKUP(O23, [1]meteoriteQuery!$D$2:$E$540,2,FALSE),"")</f>
        <v/>
      </c>
      <c r="R23" s="1"/>
    </row>
    <row r="24" spans="1:19" x14ac:dyDescent="0.25">
      <c r="A24" s="1">
        <v>6</v>
      </c>
      <c r="B24" s="1" t="s">
        <v>42</v>
      </c>
      <c r="C24" s="1">
        <v>49522</v>
      </c>
      <c r="D24" s="1" t="s">
        <v>40</v>
      </c>
      <c r="E24" s="1" t="s">
        <v>41</v>
      </c>
      <c r="F24" s="1">
        <v>7</v>
      </c>
      <c r="G24" s="1" t="s">
        <v>14</v>
      </c>
      <c r="H24" s="1" t="s">
        <v>43</v>
      </c>
      <c r="I24" s="1"/>
      <c r="J24" s="1">
        <v>49521</v>
      </c>
      <c r="K24" s="1" t="str">
        <f t="shared" si="0"/>
        <v>1:1:49521:3</v>
      </c>
      <c r="L24" s="1">
        <v>0</v>
      </c>
      <c r="M24" s="3" t="str">
        <f t="shared" si="1"/>
        <v/>
      </c>
      <c r="N24" s="1">
        <v>0</v>
      </c>
      <c r="O24" s="1">
        <v>52364</v>
      </c>
      <c r="P24" s="3" t="str" cm="1">
        <f t="array" ref="P24">IFERROR(mindat_longid(O24),"")</f>
        <v>1:1:52364:0</v>
      </c>
      <c r="Q24" s="1" t="str">
        <f>IFERROR(VLOOKUP(O24, [1]meteoriteQuery!$D$2:$E$540,2,FALSE),"")</f>
        <v>C1-ung chondrite meteorite</v>
      </c>
      <c r="R24" s="1" t="s">
        <v>44</v>
      </c>
      <c r="S24" s="1">
        <f>IFERROR(VLOOKUP(C24,[1]meteoriteQuery!$D$2:$F$517,1,FALSE),"")</f>
        <v>49522</v>
      </c>
    </row>
    <row r="25" spans="1:19" x14ac:dyDescent="0.25">
      <c r="A25" s="1">
        <v>7</v>
      </c>
      <c r="B25" s="1" t="s">
        <v>47</v>
      </c>
      <c r="C25" s="1">
        <v>49523</v>
      </c>
      <c r="D25" s="1" t="s">
        <v>45</v>
      </c>
      <c r="E25" s="1" t="s">
        <v>46</v>
      </c>
      <c r="F25" s="1">
        <v>7</v>
      </c>
      <c r="G25" s="1" t="s">
        <v>14</v>
      </c>
      <c r="H25" s="1" t="s">
        <v>48</v>
      </c>
      <c r="I25" s="1"/>
      <c r="J25" s="1">
        <v>49521</v>
      </c>
      <c r="K25" s="1" t="str">
        <f t="shared" si="0"/>
        <v>1:1:49521:3</v>
      </c>
      <c r="L25" s="1">
        <v>49524</v>
      </c>
      <c r="M25" s="3" t="str">
        <f t="shared" si="1"/>
        <v>1:1:49524:0</v>
      </c>
      <c r="N25" s="1">
        <v>0</v>
      </c>
      <c r="O25" s="1">
        <v>52365</v>
      </c>
      <c r="P25" s="3" t="str" cm="1">
        <f t="array" ref="P25">IFERROR(mindat_longid(O25),"")</f>
        <v>1:1:52365:9</v>
      </c>
      <c r="Q25" s="1" t="str">
        <f>IFERROR(VLOOKUP(O25, [1]meteoriteQuery!$D$2:$E$540,2,FALSE),"")</f>
        <v>C1/2-ung chondrite meteorite</v>
      </c>
      <c r="R25" s="1" t="s">
        <v>49</v>
      </c>
      <c r="S25" s="1">
        <f>IFERROR(VLOOKUP(C25,[1]meteoriteQuery!$D$2:$F$517,1,FALSE),"")</f>
        <v>49523</v>
      </c>
    </row>
    <row r="26" spans="1:19" x14ac:dyDescent="0.25">
      <c r="A26" s="1">
        <v>8</v>
      </c>
      <c r="B26" s="1" t="s">
        <v>52</v>
      </c>
      <c r="C26" s="1">
        <v>49524</v>
      </c>
      <c r="D26" s="1" t="s">
        <v>50</v>
      </c>
      <c r="E26" s="1" t="s">
        <v>51</v>
      </c>
      <c r="F26" s="1">
        <v>7</v>
      </c>
      <c r="G26" s="1" t="s">
        <v>14</v>
      </c>
      <c r="H26" s="1" t="s">
        <v>53</v>
      </c>
      <c r="I26" s="1"/>
      <c r="J26" s="1">
        <v>49520</v>
      </c>
      <c r="K26" s="1" t="str">
        <f t="shared" si="0"/>
        <v>1:1:49520:4</v>
      </c>
      <c r="L26" s="1">
        <v>49841</v>
      </c>
      <c r="M26" s="3" t="str">
        <f t="shared" si="1"/>
        <v>1:1:49841:4</v>
      </c>
      <c r="N26" s="1">
        <v>1</v>
      </c>
      <c r="O26" s="1" t="s">
        <v>2249</v>
      </c>
      <c r="P26" s="3" t="str" cm="1">
        <f t="array" ref="P26">IFERROR(mindat_longid(O26),"")</f>
        <v/>
      </c>
      <c r="Q26" s="1" t="str">
        <f>IFERROR(VLOOKUP(O26, [1]meteoriteQuery!$D$2:$E$540,2,FALSE),"")</f>
        <v/>
      </c>
      <c r="R26" s="1" t="s">
        <v>54</v>
      </c>
      <c r="S26" s="1">
        <f>IFERROR(VLOOKUP(C26,[1]meteoriteQuery!$D$2:$F$517,1,FALSE),"")</f>
        <v>49524</v>
      </c>
    </row>
    <row r="27" spans="1:19" x14ac:dyDescent="0.25">
      <c r="A27" s="1">
        <v>9</v>
      </c>
      <c r="B27" s="1" t="s">
        <v>57</v>
      </c>
      <c r="C27" s="1">
        <v>49525</v>
      </c>
      <c r="D27" s="1" t="s">
        <v>55</v>
      </c>
      <c r="E27" s="1" t="s">
        <v>56</v>
      </c>
      <c r="F27" s="1">
        <v>7</v>
      </c>
      <c r="G27" s="1" t="s">
        <v>14</v>
      </c>
      <c r="H27" s="1" t="s">
        <v>58</v>
      </c>
      <c r="I27" s="1"/>
      <c r="J27" s="1">
        <v>49524</v>
      </c>
      <c r="K27" s="1" t="str">
        <f t="shared" si="0"/>
        <v>1:1:49524:0</v>
      </c>
      <c r="L27" s="1">
        <v>0</v>
      </c>
      <c r="M27" s="3" t="str">
        <f t="shared" si="1"/>
        <v/>
      </c>
      <c r="N27" s="1">
        <v>0</v>
      </c>
      <c r="O27" s="1">
        <v>52366</v>
      </c>
      <c r="P27" s="3" t="str" cm="1">
        <f t="array" ref="P27">IFERROR(mindat_longid(O27),"")</f>
        <v>1:1:52366:8</v>
      </c>
      <c r="Q27" s="1" t="str">
        <f>IFERROR(VLOOKUP(O27, [1]meteoriteQuery!$D$2:$E$540,2,FALSE),"")</f>
        <v>C2-ung chondrite meteorite</v>
      </c>
      <c r="R27" s="1" t="s">
        <v>59</v>
      </c>
      <c r="S27" s="1">
        <f>IFERROR(VLOOKUP(C27,[1]meteoriteQuery!$D$2:$F$517,1,FALSE),"")</f>
        <v>49525</v>
      </c>
    </row>
    <row r="28" spans="1:19" x14ac:dyDescent="0.25">
      <c r="A28" s="1">
        <v>10</v>
      </c>
      <c r="B28" s="1" t="s">
        <v>62</v>
      </c>
      <c r="C28" s="1">
        <v>49526</v>
      </c>
      <c r="D28" s="1" t="s">
        <v>60</v>
      </c>
      <c r="E28" s="1" t="s">
        <v>61</v>
      </c>
      <c r="F28" s="1">
        <v>7</v>
      </c>
      <c r="G28" s="1" t="s">
        <v>14</v>
      </c>
      <c r="H28" s="1" t="s">
        <v>63</v>
      </c>
      <c r="I28" s="1"/>
      <c r="J28" s="1">
        <v>49520</v>
      </c>
      <c r="K28" s="1" t="str">
        <f t="shared" si="0"/>
        <v>1:1:49520:4</v>
      </c>
      <c r="L28" s="1">
        <v>49842</v>
      </c>
      <c r="M28" s="3" t="str">
        <f t="shared" si="1"/>
        <v>1:1:49842:3</v>
      </c>
      <c r="N28" s="1">
        <v>1</v>
      </c>
      <c r="O28" s="1" t="s">
        <v>2249</v>
      </c>
      <c r="P28" s="3" t="str" cm="1">
        <f t="array" ref="P28">IFERROR(mindat_longid(O28),"")</f>
        <v/>
      </c>
      <c r="Q28" s="1" t="str">
        <f>IFERROR(VLOOKUP(O28, [1]meteoriteQuery!$D$2:$E$540,2,FALSE),"")</f>
        <v/>
      </c>
      <c r="R28" s="1" t="s">
        <v>64</v>
      </c>
      <c r="S28" s="1">
        <f>IFERROR(VLOOKUP(C28,[1]meteoriteQuery!$D$2:$F$517,1,FALSE),"")</f>
        <v>49526</v>
      </c>
    </row>
    <row r="29" spans="1:19" x14ac:dyDescent="0.25">
      <c r="A29" s="1">
        <v>11</v>
      </c>
      <c r="B29" s="1" t="s">
        <v>67</v>
      </c>
      <c r="C29" s="1">
        <v>49527</v>
      </c>
      <c r="D29" s="1" t="s">
        <v>65</v>
      </c>
      <c r="E29" s="1" t="s">
        <v>66</v>
      </c>
      <c r="F29" s="1">
        <v>7</v>
      </c>
      <c r="G29" s="1" t="s">
        <v>14</v>
      </c>
      <c r="H29" s="1" t="s">
        <v>68</v>
      </c>
      <c r="I29" s="1"/>
      <c r="J29" s="1">
        <v>49526</v>
      </c>
      <c r="K29" s="1" t="str">
        <f t="shared" si="0"/>
        <v>1:1:49526:8</v>
      </c>
      <c r="L29" s="1">
        <v>0</v>
      </c>
      <c r="M29" s="3" t="str">
        <f t="shared" si="1"/>
        <v/>
      </c>
      <c r="N29" s="1">
        <v>0</v>
      </c>
      <c r="O29" s="1">
        <v>52367</v>
      </c>
      <c r="P29" s="3" t="str" cm="1">
        <f t="array" ref="P29">IFERROR(mindat_longid(O29),"")</f>
        <v>1:1:52367:7</v>
      </c>
      <c r="Q29" s="1" t="str">
        <f>IFERROR(VLOOKUP(O29, [1]meteoriteQuery!$D$2:$E$540,2,FALSE),"")</f>
        <v>C3-ung chondrite meteorite</v>
      </c>
      <c r="R29" s="1" t="s">
        <v>69</v>
      </c>
      <c r="S29" s="1">
        <f>IFERROR(VLOOKUP(C29,[1]meteoriteQuery!$D$2:$F$517,1,FALSE),"")</f>
        <v>49527</v>
      </c>
    </row>
    <row r="30" spans="1:19" x14ac:dyDescent="0.25">
      <c r="A30" s="1">
        <v>12</v>
      </c>
      <c r="B30" s="1" t="s">
        <v>72</v>
      </c>
      <c r="C30" s="1">
        <v>49528</v>
      </c>
      <c r="D30" s="1" t="s">
        <v>70</v>
      </c>
      <c r="E30" s="1" t="s">
        <v>71</v>
      </c>
      <c r="F30" s="1">
        <v>7</v>
      </c>
      <c r="G30" s="1" t="s">
        <v>14</v>
      </c>
      <c r="H30" s="1" t="s">
        <v>73</v>
      </c>
      <c r="I30" s="1"/>
      <c r="J30" s="1">
        <v>49526</v>
      </c>
      <c r="K30" s="1" t="str">
        <f t="shared" si="0"/>
        <v>1:1:49526:8</v>
      </c>
      <c r="L30" s="1">
        <v>0</v>
      </c>
      <c r="M30" s="3" t="str">
        <f t="shared" si="1"/>
        <v/>
      </c>
      <c r="N30" s="1">
        <v>0</v>
      </c>
      <c r="O30" s="1">
        <v>52378</v>
      </c>
      <c r="P30" s="3" t="str" cm="1">
        <f t="array" ref="P30">IFERROR(mindat_longid(O30),"")</f>
        <v>1:1:52378:3</v>
      </c>
      <c r="Q30" s="1" t="str">
        <f>IFERROR(VLOOKUP(O30, [1]meteoriteQuery!$D$2:$E$540,2,FALSE),"")</f>
        <v>C3.0-ung chondrite meteorite</v>
      </c>
      <c r="R30" s="1" t="s">
        <v>74</v>
      </c>
      <c r="S30" s="1">
        <f>IFERROR(VLOOKUP(C30,[1]meteoriteQuery!$D$2:$F$517,1,FALSE),"")</f>
        <v>49528</v>
      </c>
    </row>
    <row r="31" spans="1:19" x14ac:dyDescent="0.25">
      <c r="A31" s="1">
        <v>13</v>
      </c>
      <c r="B31" s="1" t="s">
        <v>77</v>
      </c>
      <c r="C31" s="1">
        <v>49529</v>
      </c>
      <c r="D31" s="1" t="s">
        <v>75</v>
      </c>
      <c r="E31" s="1" t="s">
        <v>76</v>
      </c>
      <c r="F31" s="1">
        <v>7</v>
      </c>
      <c r="G31" s="1" t="s">
        <v>14</v>
      </c>
      <c r="H31" s="1" t="s">
        <v>78</v>
      </c>
      <c r="I31" s="1"/>
      <c r="J31" s="1">
        <v>49526</v>
      </c>
      <c r="K31" s="1" t="str">
        <f t="shared" si="0"/>
        <v>1:1:49526:8</v>
      </c>
      <c r="L31" s="1">
        <v>49530</v>
      </c>
      <c r="M31" s="3" t="str">
        <f t="shared" si="1"/>
        <v>1:1:49530:1</v>
      </c>
      <c r="N31" s="1">
        <v>0</v>
      </c>
      <c r="O31" s="1">
        <v>52379</v>
      </c>
      <c r="P31" s="3" t="str" cm="1">
        <f t="array" ref="P31">IFERROR(mindat_longid(O31),"")</f>
        <v>1:1:52379:2</v>
      </c>
      <c r="Q31" s="1" t="str">
        <f>IFERROR(VLOOKUP(O31, [1]meteoriteQuery!$D$2:$E$540,2,FALSE),"")</f>
        <v>C3/4-ung chondrite meteorite</v>
      </c>
      <c r="R31" s="1" t="s">
        <v>79</v>
      </c>
      <c r="S31" s="1">
        <f>IFERROR(VLOOKUP(C31,[1]meteoriteQuery!$D$2:$F$517,1,FALSE),"")</f>
        <v>49529</v>
      </c>
    </row>
    <row r="32" spans="1:19" x14ac:dyDescent="0.25">
      <c r="A32" s="1">
        <v>14</v>
      </c>
      <c r="B32" s="1" t="s">
        <v>82</v>
      </c>
      <c r="C32" s="1">
        <v>49530</v>
      </c>
      <c r="D32" s="1" t="s">
        <v>80</v>
      </c>
      <c r="E32" s="1" t="s">
        <v>81</v>
      </c>
      <c r="F32" s="1">
        <v>7</v>
      </c>
      <c r="G32" s="1" t="s">
        <v>14</v>
      </c>
      <c r="H32" s="1" t="s">
        <v>83</v>
      </c>
      <c r="I32" s="1"/>
      <c r="J32" s="1">
        <v>49520</v>
      </c>
      <c r="K32" s="1" t="str">
        <f t="shared" si="0"/>
        <v>1:1:49520:4</v>
      </c>
      <c r="L32" s="1">
        <v>49843</v>
      </c>
      <c r="M32" s="3" t="str">
        <f t="shared" si="1"/>
        <v>1:1:49843:2</v>
      </c>
      <c r="N32" s="1">
        <v>1</v>
      </c>
      <c r="O32" s="1" t="s">
        <v>2249</v>
      </c>
      <c r="P32" s="3" t="str" cm="1">
        <f t="array" ref="P32">IFERROR(mindat_longid(O32),"")</f>
        <v/>
      </c>
      <c r="Q32" s="1" t="str">
        <f>IFERROR(VLOOKUP(O32, [1]meteoriteQuery!$D$2:$E$540,2,FALSE),"")</f>
        <v/>
      </c>
      <c r="R32" s="1" t="s">
        <v>84</v>
      </c>
      <c r="S32" s="1">
        <f>IFERROR(VLOOKUP(C32,[1]meteoriteQuery!$D$2:$F$517,1,FALSE),"")</f>
        <v>49530</v>
      </c>
    </row>
    <row r="33" spans="1:19" x14ac:dyDescent="0.25">
      <c r="A33" s="1">
        <v>15</v>
      </c>
      <c r="B33" s="1" t="s">
        <v>87</v>
      </c>
      <c r="C33" s="1">
        <v>49531</v>
      </c>
      <c r="D33" s="1" t="s">
        <v>85</v>
      </c>
      <c r="E33" s="1" t="s">
        <v>86</v>
      </c>
      <c r="F33" s="1">
        <v>7</v>
      </c>
      <c r="G33" s="1" t="s">
        <v>14</v>
      </c>
      <c r="H33" s="1" t="s">
        <v>88</v>
      </c>
      <c r="I33" s="1"/>
      <c r="J33" s="1">
        <v>49530</v>
      </c>
      <c r="K33" s="1" t="str">
        <f t="shared" si="0"/>
        <v>1:1:49530:1</v>
      </c>
      <c r="L33" s="1">
        <v>0</v>
      </c>
      <c r="M33" s="3" t="str">
        <f t="shared" si="1"/>
        <v/>
      </c>
      <c r="N33" s="1">
        <v>0</v>
      </c>
      <c r="O33" s="1" t="s">
        <v>2249</v>
      </c>
      <c r="P33" s="3" t="str" cm="1">
        <f t="array" ref="P33">IFERROR(mindat_longid(O33),"")</f>
        <v/>
      </c>
      <c r="Q33" s="1" t="str">
        <f>IFERROR(VLOOKUP(O33, [1]meteoriteQuery!$D$2:$E$540,2,FALSE),"")</f>
        <v/>
      </c>
      <c r="R33" s="1" t="s">
        <v>89</v>
      </c>
      <c r="S33" s="1">
        <f>IFERROR(VLOOKUP(C33,[1]meteoriteQuery!$D$2:$F$517,1,FALSE),"")</f>
        <v>49531</v>
      </c>
    </row>
    <row r="34" spans="1:19" x14ac:dyDescent="0.25">
      <c r="A34" s="1">
        <v>16</v>
      </c>
      <c r="B34" s="1" t="s">
        <v>92</v>
      </c>
      <c r="C34" s="1">
        <v>49532</v>
      </c>
      <c r="D34" s="1" t="s">
        <v>90</v>
      </c>
      <c r="E34" s="1" t="s">
        <v>91</v>
      </c>
      <c r="F34" s="1">
        <v>7</v>
      </c>
      <c r="G34" s="1" t="s">
        <v>14</v>
      </c>
      <c r="H34" s="1" t="s">
        <v>93</v>
      </c>
      <c r="I34" s="1"/>
      <c r="J34" s="1">
        <v>49530</v>
      </c>
      <c r="K34" s="1" t="str">
        <f t="shared" si="0"/>
        <v>1:1:49530:1</v>
      </c>
      <c r="L34" s="1">
        <v>49533</v>
      </c>
      <c r="M34" s="3" t="str">
        <f t="shared" si="1"/>
        <v>1:1:49533:8</v>
      </c>
      <c r="N34" s="1">
        <v>0</v>
      </c>
      <c r="O34" s="1" t="s">
        <v>2249</v>
      </c>
      <c r="P34" s="3" t="str" cm="1">
        <f t="array" ref="P34">IFERROR(mindat_longid(O34),"")</f>
        <v/>
      </c>
      <c r="Q34" s="1" t="str">
        <f>IFERROR(VLOOKUP(O34, [1]meteoriteQuery!$D$2:$E$540,2,FALSE),"")</f>
        <v/>
      </c>
      <c r="R34" s="1" t="s">
        <v>94</v>
      </c>
      <c r="S34" s="1">
        <f>IFERROR(VLOOKUP(C34,[1]meteoriteQuery!$D$2:$F$517,1,FALSE),"")</f>
        <v>49532</v>
      </c>
    </row>
    <row r="35" spans="1:19" x14ac:dyDescent="0.25">
      <c r="A35" s="1">
        <v>191</v>
      </c>
      <c r="B35" s="1" t="s">
        <v>2274</v>
      </c>
      <c r="C35" s="3">
        <v>49533</v>
      </c>
      <c r="D35" s="1" t="s">
        <v>2275</v>
      </c>
      <c r="E35" s="1" t="s">
        <v>2276</v>
      </c>
      <c r="F35" s="1">
        <v>7</v>
      </c>
      <c r="G35" s="1" t="s">
        <v>14</v>
      </c>
      <c r="H35" s="1" t="s">
        <v>2277</v>
      </c>
      <c r="I35" s="1"/>
      <c r="J35" s="3">
        <v>49520</v>
      </c>
      <c r="K35" s="1" t="str">
        <f t="shared" si="0"/>
        <v>1:1:49520:4</v>
      </c>
      <c r="L35" s="1">
        <v>49844</v>
      </c>
      <c r="M35" s="3" t="str">
        <f t="shared" si="1"/>
        <v>1:1:49844:1</v>
      </c>
      <c r="N35" s="1">
        <v>1</v>
      </c>
      <c r="O35" s="1"/>
      <c r="P35" s="3" t="str" cm="1">
        <f t="array" ref="P35">IFERROR(mindat_longid(O35),"")</f>
        <v/>
      </c>
      <c r="Q35" s="1" t="str">
        <f>IFERROR(VLOOKUP(O35, [1]meteoriteQuery!$D$2:$E$540,2,FALSE),"")</f>
        <v/>
      </c>
      <c r="R35" s="1"/>
    </row>
    <row r="36" spans="1:19" x14ac:dyDescent="0.25">
      <c r="A36" s="1">
        <v>17</v>
      </c>
      <c r="B36" s="1" t="s">
        <v>97</v>
      </c>
      <c r="C36" s="1">
        <v>49534</v>
      </c>
      <c r="D36" s="1" t="s">
        <v>95</v>
      </c>
      <c r="E36" s="1" t="s">
        <v>96</v>
      </c>
      <c r="F36" s="1">
        <v>7</v>
      </c>
      <c r="G36" s="1" t="s">
        <v>14</v>
      </c>
      <c r="H36" s="1" t="s">
        <v>98</v>
      </c>
      <c r="I36" s="1"/>
      <c r="J36" s="1">
        <v>49533</v>
      </c>
      <c r="K36" s="1" t="str">
        <f t="shared" si="0"/>
        <v>1:1:49533:8</v>
      </c>
      <c r="L36" s="1">
        <v>49535</v>
      </c>
      <c r="M36" s="3" t="str">
        <f t="shared" si="1"/>
        <v>1:1:49535:6</v>
      </c>
      <c r="N36" s="1">
        <v>0</v>
      </c>
      <c r="O36" s="1" t="s">
        <v>2249</v>
      </c>
      <c r="P36" s="3" t="str" cm="1">
        <f t="array" ref="P36">IFERROR(mindat_longid(O36),"")</f>
        <v/>
      </c>
      <c r="Q36" s="1" t="str">
        <f>IFERROR(VLOOKUP(O36, [1]meteoriteQuery!$D$2:$E$540,2,FALSE),"")</f>
        <v/>
      </c>
      <c r="R36" s="1" t="s">
        <v>99</v>
      </c>
      <c r="S36" s="1">
        <f>IFERROR(VLOOKUP(C36,[1]meteoriteQuery!$D$2:$F$517,1,FALSE),"")</f>
        <v>49534</v>
      </c>
    </row>
    <row r="37" spans="1:19" x14ac:dyDescent="0.25">
      <c r="A37" s="1">
        <v>18</v>
      </c>
      <c r="B37" s="1" t="s">
        <v>102</v>
      </c>
      <c r="C37" s="1">
        <v>49535</v>
      </c>
      <c r="D37" s="1" t="s">
        <v>100</v>
      </c>
      <c r="E37" s="1" t="s">
        <v>101</v>
      </c>
      <c r="F37" s="1">
        <v>7</v>
      </c>
      <c r="G37" s="1" t="s">
        <v>14</v>
      </c>
      <c r="H37" s="1" t="s">
        <v>103</v>
      </c>
      <c r="I37" s="1"/>
      <c r="J37" s="1">
        <v>49520</v>
      </c>
      <c r="K37" s="1" t="str">
        <f t="shared" si="0"/>
        <v>1:1:49520:4</v>
      </c>
      <c r="L37" s="1">
        <v>49845</v>
      </c>
      <c r="M37" s="3" t="str">
        <f t="shared" si="1"/>
        <v>1:1:49845:0</v>
      </c>
      <c r="N37" s="1">
        <v>1</v>
      </c>
      <c r="O37" s="1" t="s">
        <v>2249</v>
      </c>
      <c r="P37" s="3" t="str" cm="1">
        <f t="array" ref="P37">IFERROR(mindat_longid(O37),"")</f>
        <v/>
      </c>
      <c r="Q37" s="1" t="str">
        <f>IFERROR(VLOOKUP(O37, [1]meteoriteQuery!$D$2:$E$540,2,FALSE),"")</f>
        <v/>
      </c>
      <c r="R37" s="1" t="s">
        <v>104</v>
      </c>
      <c r="S37" s="1">
        <f>IFERROR(VLOOKUP(C37,[1]meteoriteQuery!$D$2:$F$517,1,FALSE),"")</f>
        <v>49535</v>
      </c>
    </row>
    <row r="38" spans="1:19" x14ac:dyDescent="0.25">
      <c r="A38" s="1">
        <v>19</v>
      </c>
      <c r="B38" s="1" t="s">
        <v>107</v>
      </c>
      <c r="C38" s="1">
        <v>49536</v>
      </c>
      <c r="D38" s="1" t="s">
        <v>105</v>
      </c>
      <c r="E38" s="1" t="s">
        <v>106</v>
      </c>
      <c r="F38" s="1">
        <v>7</v>
      </c>
      <c r="G38" s="1" t="s">
        <v>14</v>
      </c>
      <c r="H38" s="1" t="s">
        <v>108</v>
      </c>
      <c r="I38" s="1"/>
      <c r="J38" s="1">
        <v>49519</v>
      </c>
      <c r="K38" s="1" t="str">
        <f t="shared" si="0"/>
        <v>1:1:49519:8</v>
      </c>
      <c r="L38" s="1">
        <v>0</v>
      </c>
      <c r="M38" s="3" t="str">
        <f t="shared" si="1"/>
        <v/>
      </c>
      <c r="N38" s="1">
        <v>1</v>
      </c>
      <c r="O38" s="1" t="s">
        <v>2249</v>
      </c>
      <c r="P38" s="3" t="str" cm="1">
        <f t="array" ref="P38">IFERROR(mindat_longid(O38),"")</f>
        <v/>
      </c>
      <c r="Q38" s="1" t="str">
        <f>IFERROR(VLOOKUP(O38, [1]meteoriteQuery!$D$2:$E$540,2,FALSE),"")</f>
        <v/>
      </c>
      <c r="R38" s="1" t="s">
        <v>109</v>
      </c>
      <c r="S38" s="1">
        <f>IFERROR(VLOOKUP(C38,[1]meteoriteQuery!$D$2:$F$517,1,FALSE),"")</f>
        <v>49536</v>
      </c>
    </row>
    <row r="39" spans="1:19" x14ac:dyDescent="0.25">
      <c r="A39" s="1">
        <v>20</v>
      </c>
      <c r="B39" s="1" t="s">
        <v>112</v>
      </c>
      <c r="C39" s="1">
        <v>49537</v>
      </c>
      <c r="D39" s="1" t="s">
        <v>110</v>
      </c>
      <c r="E39" s="1" t="s">
        <v>111</v>
      </c>
      <c r="F39" s="1">
        <v>7</v>
      </c>
      <c r="G39" s="1" t="s">
        <v>14</v>
      </c>
      <c r="H39" s="1" t="s">
        <v>113</v>
      </c>
      <c r="I39" s="1"/>
      <c r="J39" s="1">
        <v>49536</v>
      </c>
      <c r="K39" s="1" t="str">
        <f t="shared" si="0"/>
        <v>1:1:49536:5</v>
      </c>
      <c r="L39" s="1">
        <v>0</v>
      </c>
      <c r="M39" s="3" t="str">
        <f t="shared" si="1"/>
        <v/>
      </c>
      <c r="N39" s="1">
        <v>1</v>
      </c>
      <c r="O39" s="1" t="s">
        <v>2249</v>
      </c>
      <c r="P39" s="3" t="str" cm="1">
        <f t="array" ref="P39">IFERROR(mindat_longid(O39),"")</f>
        <v/>
      </c>
      <c r="Q39" s="1" t="str">
        <f>IFERROR(VLOOKUP(O39, [1]meteoriteQuery!$D$2:$E$540,2,FALSE),"")</f>
        <v/>
      </c>
      <c r="R39" s="1" t="s">
        <v>114</v>
      </c>
      <c r="S39" s="1">
        <f>IFERROR(VLOOKUP(C39,[1]meteoriteQuery!$D$2:$F$517,1,FALSE),"")</f>
        <v>49537</v>
      </c>
    </row>
    <row r="40" spans="1:19" x14ac:dyDescent="0.25">
      <c r="A40" s="1">
        <v>21</v>
      </c>
      <c r="B40" s="1" t="s">
        <v>117</v>
      </c>
      <c r="C40" s="1">
        <v>49538</v>
      </c>
      <c r="D40" s="1" t="s">
        <v>115</v>
      </c>
      <c r="E40" s="1" t="s">
        <v>116</v>
      </c>
      <c r="F40" s="1">
        <v>7</v>
      </c>
      <c r="G40" s="1" t="s">
        <v>14</v>
      </c>
      <c r="H40" s="1" t="s">
        <v>118</v>
      </c>
      <c r="I40" s="1"/>
      <c r="J40" s="1">
        <v>49536</v>
      </c>
      <c r="K40" s="1" t="str">
        <f t="shared" si="0"/>
        <v>1:1:49536:5</v>
      </c>
      <c r="L40" s="1">
        <v>0</v>
      </c>
      <c r="M40" s="3" t="str">
        <f t="shared" si="1"/>
        <v/>
      </c>
      <c r="N40" s="1">
        <v>1</v>
      </c>
      <c r="O40" s="1" t="s">
        <v>2249</v>
      </c>
      <c r="P40" s="3" t="str" cm="1">
        <f t="array" ref="P40">IFERROR(mindat_longid(O40),"")</f>
        <v/>
      </c>
      <c r="Q40" s="1" t="str">
        <f>IFERROR(VLOOKUP(O40, [1]meteoriteQuery!$D$2:$E$540,2,FALSE),"")</f>
        <v/>
      </c>
      <c r="R40" s="1" t="s">
        <v>119</v>
      </c>
      <c r="S40" s="1">
        <f>IFERROR(VLOOKUP(C40,[1]meteoriteQuery!$D$2:$F$517,1,FALSE),"")</f>
        <v>49538</v>
      </c>
    </row>
    <row r="41" spans="1:19" x14ac:dyDescent="0.25">
      <c r="A41" s="1">
        <v>103</v>
      </c>
      <c r="B41" s="1" t="s">
        <v>2283</v>
      </c>
      <c r="C41" s="3">
        <v>49539</v>
      </c>
      <c r="D41" s="1" t="s">
        <v>2284</v>
      </c>
      <c r="E41" s="1" t="s">
        <v>2285</v>
      </c>
      <c r="F41" s="1">
        <v>7</v>
      </c>
      <c r="G41" s="1" t="s">
        <v>14</v>
      </c>
      <c r="H41" s="1" t="s">
        <v>2286</v>
      </c>
      <c r="I41" s="1"/>
      <c r="J41" s="3">
        <v>49519</v>
      </c>
      <c r="K41" s="1" t="str">
        <f t="shared" si="0"/>
        <v>1:1:49519:8</v>
      </c>
      <c r="L41" s="1">
        <v>0</v>
      </c>
      <c r="M41" s="3" t="str">
        <f t="shared" si="1"/>
        <v/>
      </c>
      <c r="N41" s="1">
        <v>1</v>
      </c>
      <c r="O41" s="1"/>
      <c r="P41" s="3" t="str" cm="1">
        <f t="array" ref="P41">IFERROR(mindat_longid(O41),"")</f>
        <v/>
      </c>
      <c r="Q41" s="1" t="str">
        <f>IFERROR(VLOOKUP(O41, [1]meteoriteQuery!$D$2:$E$540,2,FALSE),"")</f>
        <v/>
      </c>
      <c r="R41" s="1"/>
    </row>
    <row r="42" spans="1:19" x14ac:dyDescent="0.25">
      <c r="A42" s="1">
        <v>22</v>
      </c>
      <c r="B42" s="1" t="s">
        <v>122</v>
      </c>
      <c r="C42" s="1">
        <v>49540</v>
      </c>
      <c r="D42" s="1" t="s">
        <v>120</v>
      </c>
      <c r="E42" s="1" t="s">
        <v>121</v>
      </c>
      <c r="F42" s="1">
        <v>7</v>
      </c>
      <c r="G42" s="1" t="s">
        <v>14</v>
      </c>
      <c r="H42" s="1" t="s">
        <v>123</v>
      </c>
      <c r="I42" s="1"/>
      <c r="J42" s="1">
        <v>49539</v>
      </c>
      <c r="K42" s="1" t="str">
        <f t="shared" si="0"/>
        <v>1:1:49539:2</v>
      </c>
      <c r="L42" s="1">
        <v>49842</v>
      </c>
      <c r="M42" s="3" t="str">
        <f t="shared" si="1"/>
        <v>1:1:49842:3</v>
      </c>
      <c r="N42" s="1">
        <v>1</v>
      </c>
      <c r="O42" s="1" t="s">
        <v>2249</v>
      </c>
      <c r="P42" s="3" t="str" cm="1">
        <f t="array" ref="P42">IFERROR(mindat_longid(O42),"")</f>
        <v/>
      </c>
      <c r="Q42" s="1" t="str">
        <f>IFERROR(VLOOKUP(O42, [1]meteoriteQuery!$D$2:$E$540,2,FALSE),"")</f>
        <v/>
      </c>
      <c r="R42" s="1" t="s">
        <v>124</v>
      </c>
      <c r="S42" s="1">
        <f>IFERROR(VLOOKUP(C42,[1]meteoriteQuery!$D$2:$F$517,1,FALSE),"")</f>
        <v>49540</v>
      </c>
    </row>
    <row r="43" spans="1:19" x14ac:dyDescent="0.25">
      <c r="A43" s="1">
        <v>15</v>
      </c>
      <c r="B43" s="1" t="s">
        <v>2291</v>
      </c>
      <c r="C43" s="3">
        <v>49541</v>
      </c>
      <c r="D43" s="1" t="s">
        <v>2292</v>
      </c>
      <c r="E43" s="1" t="s">
        <v>2293</v>
      </c>
      <c r="F43" s="1">
        <v>7</v>
      </c>
      <c r="G43" s="1" t="s">
        <v>14</v>
      </c>
      <c r="H43" s="1" t="s">
        <v>2294</v>
      </c>
      <c r="I43" s="1"/>
      <c r="J43" s="3">
        <v>49519</v>
      </c>
      <c r="K43" s="1" t="str">
        <f t="shared" si="0"/>
        <v>1:1:49519:8</v>
      </c>
      <c r="L43" s="1">
        <v>0</v>
      </c>
      <c r="M43" s="3" t="str">
        <f t="shared" si="1"/>
        <v/>
      </c>
      <c r="N43" s="1">
        <v>1</v>
      </c>
      <c r="O43" s="1"/>
      <c r="P43" s="3" t="str" cm="1">
        <f t="array" ref="P43">IFERROR(mindat_longid(O43),"")</f>
        <v/>
      </c>
      <c r="Q43" s="1" t="str">
        <f>IFERROR(VLOOKUP(O43, [1]meteoriteQuery!$D$2:$E$540,2,FALSE),"")</f>
        <v/>
      </c>
      <c r="R43" s="1"/>
    </row>
    <row r="44" spans="1:19" x14ac:dyDescent="0.25">
      <c r="A44" s="1">
        <v>23</v>
      </c>
      <c r="B44" s="1" t="s">
        <v>127</v>
      </c>
      <c r="C44" s="1">
        <v>49542</v>
      </c>
      <c r="D44" s="1" t="s">
        <v>125</v>
      </c>
      <c r="E44" s="1" t="s">
        <v>126</v>
      </c>
      <c r="F44" s="1">
        <v>7</v>
      </c>
      <c r="G44" s="1" t="s">
        <v>14</v>
      </c>
      <c r="H44" s="1" t="s">
        <v>128</v>
      </c>
      <c r="I44" s="1"/>
      <c r="J44" s="1">
        <v>49541</v>
      </c>
      <c r="K44" s="1" t="str">
        <f t="shared" si="0"/>
        <v>1:1:49541:7</v>
      </c>
      <c r="L44" s="1">
        <v>49840</v>
      </c>
      <c r="M44" s="3" t="str">
        <f t="shared" si="1"/>
        <v>1:1:49840:5</v>
      </c>
      <c r="N44" s="1">
        <v>1</v>
      </c>
      <c r="O44" s="1" t="s">
        <v>2249</v>
      </c>
      <c r="P44" s="3" t="str" cm="1">
        <f t="array" ref="P44">IFERROR(mindat_longid(O44),"")</f>
        <v/>
      </c>
      <c r="Q44" s="1" t="str">
        <f>IFERROR(VLOOKUP(O44, [1]meteoriteQuery!$D$2:$E$540,2,FALSE),"")</f>
        <v/>
      </c>
      <c r="R44" s="1" t="s">
        <v>129</v>
      </c>
      <c r="S44" s="1">
        <f>IFERROR(VLOOKUP(C44,[1]meteoriteQuery!$D$2:$F$517,1,FALSE),"")</f>
        <v>49542</v>
      </c>
    </row>
    <row r="45" spans="1:19" x14ac:dyDescent="0.25">
      <c r="A45" s="1">
        <v>24</v>
      </c>
      <c r="B45" s="1" t="s">
        <v>132</v>
      </c>
      <c r="C45" s="1">
        <v>49543</v>
      </c>
      <c r="D45" s="1" t="s">
        <v>130</v>
      </c>
      <c r="E45" s="1" t="s">
        <v>131</v>
      </c>
      <c r="F45" s="1">
        <v>7</v>
      </c>
      <c r="G45" s="1" t="s">
        <v>14</v>
      </c>
      <c r="H45" s="1" t="s">
        <v>133</v>
      </c>
      <c r="I45" s="1"/>
      <c r="J45" s="1">
        <v>49519</v>
      </c>
      <c r="K45" s="1" t="str">
        <f t="shared" si="0"/>
        <v>1:1:49519:8</v>
      </c>
      <c r="L45" s="1">
        <v>0</v>
      </c>
      <c r="M45" s="3" t="str">
        <f t="shared" si="1"/>
        <v/>
      </c>
      <c r="N45" s="1">
        <v>1</v>
      </c>
      <c r="O45" s="1" t="s">
        <v>2249</v>
      </c>
      <c r="P45" s="3" t="str" cm="1">
        <f t="array" ref="P45">IFERROR(mindat_longid(O45),"")</f>
        <v/>
      </c>
      <c r="Q45" s="1" t="str">
        <f>IFERROR(VLOOKUP(O45, [1]meteoriteQuery!$D$2:$E$540,2,FALSE),"")</f>
        <v/>
      </c>
      <c r="R45" s="1" t="s">
        <v>134</v>
      </c>
      <c r="S45" s="1">
        <f>IFERROR(VLOOKUP(C45,[1]meteoriteQuery!$D$2:$F$517,1,FALSE),"")</f>
        <v>49543</v>
      </c>
    </row>
    <row r="46" spans="1:19" x14ac:dyDescent="0.25">
      <c r="A46" s="1">
        <v>25</v>
      </c>
      <c r="B46" s="1" t="s">
        <v>137</v>
      </c>
      <c r="C46" s="1">
        <v>49544</v>
      </c>
      <c r="D46" s="1" t="s">
        <v>135</v>
      </c>
      <c r="E46" s="1" t="s">
        <v>136</v>
      </c>
      <c r="F46" s="1">
        <v>7</v>
      </c>
      <c r="G46" s="1" t="s">
        <v>14</v>
      </c>
      <c r="H46" s="1" t="s">
        <v>138</v>
      </c>
      <c r="I46" s="1"/>
      <c r="J46" s="1">
        <v>49543</v>
      </c>
      <c r="K46" s="1" t="str">
        <f t="shared" si="0"/>
        <v>1:1:49543:5</v>
      </c>
      <c r="L46" s="1">
        <v>49842</v>
      </c>
      <c r="M46" s="3" t="str">
        <f t="shared" si="1"/>
        <v>1:1:49842:3</v>
      </c>
      <c r="N46" s="1">
        <v>1</v>
      </c>
      <c r="O46" s="1" t="s">
        <v>2249</v>
      </c>
      <c r="P46" s="3" t="str" cm="1">
        <f t="array" ref="P46">IFERROR(mindat_longid(O46),"")</f>
        <v/>
      </c>
      <c r="Q46" s="1" t="str">
        <f>IFERROR(VLOOKUP(O46, [1]meteoriteQuery!$D$2:$E$540,2,FALSE),"")</f>
        <v/>
      </c>
      <c r="R46" s="1" t="s">
        <v>139</v>
      </c>
      <c r="S46" s="1">
        <f>IFERROR(VLOOKUP(C46,[1]meteoriteQuery!$D$2:$F$517,1,FALSE),"")</f>
        <v>49544</v>
      </c>
    </row>
    <row r="47" spans="1:19" x14ac:dyDescent="0.25">
      <c r="A47" s="1">
        <v>26</v>
      </c>
      <c r="B47" s="1" t="s">
        <v>142</v>
      </c>
      <c r="C47" s="1">
        <v>49545</v>
      </c>
      <c r="D47" s="1" t="s">
        <v>140</v>
      </c>
      <c r="E47" s="1" t="s">
        <v>141</v>
      </c>
      <c r="F47" s="1">
        <v>7</v>
      </c>
      <c r="G47" s="1" t="s">
        <v>14</v>
      </c>
      <c r="H47" s="1" t="s">
        <v>143</v>
      </c>
      <c r="I47" s="1"/>
      <c r="J47" s="1">
        <v>49544</v>
      </c>
      <c r="K47" s="1" t="str">
        <f t="shared" si="0"/>
        <v>1:1:49544:4</v>
      </c>
      <c r="L47" s="1">
        <v>0</v>
      </c>
      <c r="M47" s="3" t="str">
        <f t="shared" si="1"/>
        <v/>
      </c>
      <c r="N47" s="1">
        <v>0</v>
      </c>
      <c r="O47" s="1">
        <v>52376</v>
      </c>
      <c r="P47" s="3" t="str" cm="1">
        <f t="array" ref="P47">IFERROR(mindat_longid(O47),"")</f>
        <v>1:1:52376:5</v>
      </c>
      <c r="Q47" s="1" t="str">
        <f>IFERROR(VLOOKUP(O47, [1]meteoriteQuery!$D$2:$E$540,2,FALSE),"")</f>
        <v>CK3-an chondrite meteorite</v>
      </c>
      <c r="R47" s="1" t="s">
        <v>144</v>
      </c>
      <c r="S47" s="1">
        <f>IFERROR(VLOOKUP(C47,[1]meteoriteQuery!$D$2:$F$517,1,FALSE),"")</f>
        <v>49545</v>
      </c>
    </row>
    <row r="48" spans="1:19" x14ac:dyDescent="0.25">
      <c r="A48" s="1">
        <v>27</v>
      </c>
      <c r="B48" s="1" t="s">
        <v>147</v>
      </c>
      <c r="C48" s="1">
        <v>49546</v>
      </c>
      <c r="D48" s="1" t="s">
        <v>145</v>
      </c>
      <c r="E48" s="1" t="s">
        <v>146</v>
      </c>
      <c r="F48" s="1">
        <v>7</v>
      </c>
      <c r="G48" s="1" t="s">
        <v>14</v>
      </c>
      <c r="H48" s="1" t="s">
        <v>148</v>
      </c>
      <c r="I48" s="1"/>
      <c r="J48" s="1">
        <v>49544</v>
      </c>
      <c r="K48" s="1" t="str">
        <f t="shared" si="0"/>
        <v>1:1:49544:4</v>
      </c>
      <c r="L48" s="1">
        <v>0</v>
      </c>
      <c r="M48" s="3" t="str">
        <f t="shared" si="1"/>
        <v/>
      </c>
      <c r="N48" s="1">
        <v>0</v>
      </c>
      <c r="O48" s="1" t="s">
        <v>2249</v>
      </c>
      <c r="P48" s="3" t="str" cm="1">
        <f t="array" ref="P48">IFERROR(mindat_longid(O48),"")</f>
        <v/>
      </c>
      <c r="Q48" s="1" t="str">
        <f>IFERROR(VLOOKUP(O48, [1]meteoriteQuery!$D$2:$E$540,2,FALSE),"")</f>
        <v/>
      </c>
      <c r="R48" s="1" t="s">
        <v>149</v>
      </c>
      <c r="S48" s="1">
        <f>IFERROR(VLOOKUP(C48,[1]meteoriteQuery!$D$2:$F$517,1,FALSE),"")</f>
        <v>49546</v>
      </c>
    </row>
    <row r="49" spans="1:19" x14ac:dyDescent="0.25">
      <c r="A49" s="1">
        <v>28</v>
      </c>
      <c r="B49" s="1" t="s">
        <v>152</v>
      </c>
      <c r="C49" s="1">
        <v>49547</v>
      </c>
      <c r="D49" s="1" t="s">
        <v>150</v>
      </c>
      <c r="E49" s="1" t="s">
        <v>151</v>
      </c>
      <c r="F49" s="1">
        <v>7</v>
      </c>
      <c r="G49" s="1" t="s">
        <v>14</v>
      </c>
      <c r="H49" s="1" t="s">
        <v>153</v>
      </c>
      <c r="I49" s="1"/>
      <c r="J49" s="1">
        <v>49544</v>
      </c>
      <c r="K49" s="1" t="str">
        <f t="shared" si="0"/>
        <v>1:1:49544:4</v>
      </c>
      <c r="L49" s="1">
        <v>49548</v>
      </c>
      <c r="M49" s="3" t="str">
        <f t="shared" si="1"/>
        <v>1:1:49548:0</v>
      </c>
      <c r="N49" s="1">
        <v>0</v>
      </c>
      <c r="O49" s="1" t="s">
        <v>2249</v>
      </c>
      <c r="P49" s="3" t="str" cm="1">
        <f t="array" ref="P49">IFERROR(mindat_longid(O49),"")</f>
        <v/>
      </c>
      <c r="Q49" s="1" t="str">
        <f>IFERROR(VLOOKUP(O49, [1]meteoriteQuery!$D$2:$E$540,2,FALSE),"")</f>
        <v/>
      </c>
      <c r="R49" s="1" t="s">
        <v>154</v>
      </c>
      <c r="S49" s="1">
        <f>IFERROR(VLOOKUP(C49,[1]meteoriteQuery!$D$2:$F$517,1,FALSE),"")</f>
        <v>49547</v>
      </c>
    </row>
    <row r="50" spans="1:19" x14ac:dyDescent="0.25">
      <c r="A50" s="1">
        <v>29</v>
      </c>
      <c r="B50" s="1" t="s">
        <v>157</v>
      </c>
      <c r="C50" s="1">
        <v>49548</v>
      </c>
      <c r="D50" s="1" t="s">
        <v>155</v>
      </c>
      <c r="E50" s="1" t="s">
        <v>156</v>
      </c>
      <c r="F50" s="1">
        <v>7</v>
      </c>
      <c r="G50" s="1" t="s">
        <v>14</v>
      </c>
      <c r="H50" s="1" t="s">
        <v>158</v>
      </c>
      <c r="I50" s="1"/>
      <c r="J50" s="1">
        <v>49543</v>
      </c>
      <c r="K50" s="1" t="str">
        <f t="shared" si="0"/>
        <v>1:1:49543:5</v>
      </c>
      <c r="L50" s="1">
        <v>49843</v>
      </c>
      <c r="M50" s="3" t="str">
        <f t="shared" si="1"/>
        <v>1:1:49843:2</v>
      </c>
      <c r="N50" s="1">
        <v>1</v>
      </c>
      <c r="O50" s="1" t="s">
        <v>2249</v>
      </c>
      <c r="P50" s="3" t="str" cm="1">
        <f t="array" ref="P50">IFERROR(mindat_longid(O50),"")</f>
        <v/>
      </c>
      <c r="Q50" s="1" t="str">
        <f>IFERROR(VLOOKUP(O50, [1]meteoriteQuery!$D$2:$E$540,2,FALSE),"")</f>
        <v/>
      </c>
      <c r="R50" s="1" t="s">
        <v>159</v>
      </c>
      <c r="S50" s="1">
        <f>IFERROR(VLOOKUP(C50,[1]meteoriteQuery!$D$2:$F$517,1,FALSE),"")</f>
        <v>49548</v>
      </c>
    </row>
    <row r="51" spans="1:19" x14ac:dyDescent="0.25">
      <c r="A51" s="1">
        <v>30</v>
      </c>
      <c r="B51" s="1" t="s">
        <v>162</v>
      </c>
      <c r="C51" s="1">
        <v>49549</v>
      </c>
      <c r="D51" s="1" t="s">
        <v>160</v>
      </c>
      <c r="E51" s="1" t="s">
        <v>161</v>
      </c>
      <c r="F51" s="1">
        <v>7</v>
      </c>
      <c r="G51" s="1" t="s">
        <v>14</v>
      </c>
      <c r="H51" s="1" t="s">
        <v>163</v>
      </c>
      <c r="I51" s="1"/>
      <c r="J51" s="1">
        <v>49548</v>
      </c>
      <c r="K51" s="1" t="str">
        <f t="shared" si="0"/>
        <v>1:1:49548:0</v>
      </c>
      <c r="L51" s="1">
        <v>0</v>
      </c>
      <c r="M51" s="3" t="str">
        <f t="shared" si="1"/>
        <v/>
      </c>
      <c r="N51" s="1">
        <v>0</v>
      </c>
      <c r="O51" s="1">
        <v>52375</v>
      </c>
      <c r="P51" s="3" t="str" cm="1">
        <f t="array" ref="P51">IFERROR(mindat_longid(O51),"")</f>
        <v>1:1:52375:6</v>
      </c>
      <c r="Q51" s="1" t="str">
        <f>IFERROR(VLOOKUP(O51, [1]meteoriteQuery!$D$2:$E$540,2,FALSE),"")</f>
        <v>CK4-an chondrite meteorite</v>
      </c>
      <c r="R51" s="1" t="s">
        <v>164</v>
      </c>
      <c r="S51" s="1">
        <f>IFERROR(VLOOKUP(C51,[1]meteoriteQuery!$D$2:$F$517,1,FALSE),"")</f>
        <v>49549</v>
      </c>
    </row>
    <row r="52" spans="1:19" x14ac:dyDescent="0.25">
      <c r="A52" s="1">
        <v>31</v>
      </c>
      <c r="B52" s="1" t="s">
        <v>167</v>
      </c>
      <c r="C52" s="1">
        <v>49550</v>
      </c>
      <c r="D52" s="1" t="s">
        <v>165</v>
      </c>
      <c r="E52" s="1" t="s">
        <v>166</v>
      </c>
      <c r="F52" s="1">
        <v>7</v>
      </c>
      <c r="G52" s="1" t="s">
        <v>14</v>
      </c>
      <c r="H52" s="1" t="s">
        <v>168</v>
      </c>
      <c r="I52" s="1"/>
      <c r="J52" s="1">
        <v>49543</v>
      </c>
      <c r="K52" s="1" t="str">
        <f t="shared" si="0"/>
        <v>1:1:49543:5</v>
      </c>
      <c r="L52" s="1">
        <v>49844</v>
      </c>
      <c r="M52" s="3" t="str">
        <f t="shared" si="1"/>
        <v>1:1:49844:1</v>
      </c>
      <c r="N52" s="1">
        <v>1</v>
      </c>
      <c r="O52" s="1" t="s">
        <v>2249</v>
      </c>
      <c r="P52" s="3" t="str" cm="1">
        <f t="array" ref="P52">IFERROR(mindat_longid(O52),"")</f>
        <v/>
      </c>
      <c r="Q52" s="1" t="str">
        <f>IFERROR(VLOOKUP(O52, [1]meteoriteQuery!$D$2:$E$540,2,FALSE),"")</f>
        <v/>
      </c>
      <c r="R52" s="1" t="s">
        <v>169</v>
      </c>
      <c r="S52" s="1">
        <f>IFERROR(VLOOKUP(C52,[1]meteoriteQuery!$D$2:$F$517,1,FALSE),"")</f>
        <v>49550</v>
      </c>
    </row>
    <row r="53" spans="1:19" x14ac:dyDescent="0.25">
      <c r="A53" s="1">
        <v>32</v>
      </c>
      <c r="B53" s="1" t="s">
        <v>172</v>
      </c>
      <c r="C53" s="1">
        <v>49551</v>
      </c>
      <c r="D53" s="1" t="s">
        <v>170</v>
      </c>
      <c r="E53" s="1" t="s">
        <v>171</v>
      </c>
      <c r="F53" s="1">
        <v>7</v>
      </c>
      <c r="G53" s="1" t="s">
        <v>14</v>
      </c>
      <c r="H53" s="1" t="s">
        <v>173</v>
      </c>
      <c r="I53" s="1"/>
      <c r="J53" s="1">
        <v>49543</v>
      </c>
      <c r="K53" s="1" t="str">
        <f t="shared" si="0"/>
        <v>1:1:49543:5</v>
      </c>
      <c r="L53" s="1">
        <v>49845</v>
      </c>
      <c r="M53" s="3" t="str">
        <f t="shared" si="1"/>
        <v>1:1:49845:0</v>
      </c>
      <c r="N53" s="1">
        <v>1</v>
      </c>
      <c r="O53" s="1" t="s">
        <v>2249</v>
      </c>
      <c r="P53" s="3" t="str" cm="1">
        <f t="array" ref="P53">IFERROR(mindat_longid(O53),"")</f>
        <v/>
      </c>
      <c r="Q53" s="1" t="str">
        <f>IFERROR(VLOOKUP(O53, [1]meteoriteQuery!$D$2:$E$540,2,FALSE),"")</f>
        <v/>
      </c>
      <c r="R53" s="1" t="s">
        <v>174</v>
      </c>
      <c r="S53" s="1">
        <f>IFERROR(VLOOKUP(C53,[1]meteoriteQuery!$D$2:$F$517,1,FALSE),"")</f>
        <v>49551</v>
      </c>
    </row>
    <row r="54" spans="1:19" x14ac:dyDescent="0.25">
      <c r="A54" s="1">
        <v>33</v>
      </c>
      <c r="B54" s="1" t="s">
        <v>177</v>
      </c>
      <c r="C54" s="1">
        <v>49552</v>
      </c>
      <c r="D54" s="1" t="s">
        <v>175</v>
      </c>
      <c r="E54" s="1" t="s">
        <v>176</v>
      </c>
      <c r="F54" s="1">
        <v>7</v>
      </c>
      <c r="G54" s="1" t="s">
        <v>14</v>
      </c>
      <c r="H54" s="1" t="s">
        <v>178</v>
      </c>
      <c r="I54" s="1"/>
      <c r="J54" s="1">
        <v>49519</v>
      </c>
      <c r="K54" s="1" t="str">
        <f t="shared" si="0"/>
        <v>1:1:49519:8</v>
      </c>
      <c r="L54" s="1">
        <v>0</v>
      </c>
      <c r="M54" s="3" t="str">
        <f t="shared" si="1"/>
        <v/>
      </c>
      <c r="N54" s="1">
        <v>1</v>
      </c>
      <c r="O54" s="1" t="s">
        <v>2249</v>
      </c>
      <c r="P54" s="3" t="str" cm="1">
        <f t="array" ref="P54">IFERROR(mindat_longid(O54),"")</f>
        <v/>
      </c>
      <c r="Q54" s="1" t="str">
        <f>IFERROR(VLOOKUP(O54, [1]meteoriteQuery!$D$2:$E$540,2,FALSE),"")</f>
        <v/>
      </c>
      <c r="R54" s="1" t="s">
        <v>179</v>
      </c>
      <c r="S54" s="1">
        <f>IFERROR(VLOOKUP(C54,[1]meteoriteQuery!$D$2:$F$517,1,FALSE),"")</f>
        <v>49552</v>
      </c>
    </row>
    <row r="55" spans="1:19" x14ac:dyDescent="0.25">
      <c r="A55" s="1">
        <v>34</v>
      </c>
      <c r="B55" s="1" t="s">
        <v>182</v>
      </c>
      <c r="C55" s="1">
        <v>49553</v>
      </c>
      <c r="D55" s="1" t="s">
        <v>180</v>
      </c>
      <c r="E55" s="1" t="s">
        <v>181</v>
      </c>
      <c r="F55" s="1">
        <v>7</v>
      </c>
      <c r="G55" s="1" t="s">
        <v>14</v>
      </c>
      <c r="H55" s="1" t="s">
        <v>183</v>
      </c>
      <c r="I55" s="1"/>
      <c r="J55" s="1">
        <v>49552</v>
      </c>
      <c r="K55" s="1" t="str">
        <f t="shared" si="0"/>
        <v>1:1:49552:3</v>
      </c>
      <c r="L55" s="1">
        <v>49840</v>
      </c>
      <c r="M55" s="3" t="str">
        <f t="shared" si="1"/>
        <v>1:1:49840:5</v>
      </c>
      <c r="N55" s="1">
        <v>1</v>
      </c>
      <c r="O55" s="1" t="s">
        <v>2249</v>
      </c>
      <c r="P55" s="3" t="str" cm="1">
        <f t="array" ref="P55">IFERROR(mindat_longid(O55),"")</f>
        <v/>
      </c>
      <c r="Q55" s="1" t="str">
        <f>IFERROR(VLOOKUP(O55, [1]meteoriteQuery!$D$2:$E$540,2,FALSE),"")</f>
        <v/>
      </c>
      <c r="R55" s="1" t="s">
        <v>184</v>
      </c>
      <c r="S55" s="1">
        <f>IFERROR(VLOOKUP(C55,[1]meteoriteQuery!$D$2:$F$517,1,FALSE),"")</f>
        <v>49553</v>
      </c>
    </row>
    <row r="56" spans="1:19" x14ac:dyDescent="0.25">
      <c r="A56" s="1">
        <v>35</v>
      </c>
      <c r="B56" s="1" t="s">
        <v>187</v>
      </c>
      <c r="C56" s="1">
        <v>49554</v>
      </c>
      <c r="D56" s="1" t="s">
        <v>185</v>
      </c>
      <c r="E56" s="1" t="s">
        <v>186</v>
      </c>
      <c r="F56" s="1">
        <v>7</v>
      </c>
      <c r="G56" s="1" t="s">
        <v>14</v>
      </c>
      <c r="H56" s="1" t="s">
        <v>188</v>
      </c>
      <c r="I56" s="1"/>
      <c r="J56" s="1">
        <v>49553</v>
      </c>
      <c r="K56" s="1" t="str">
        <f t="shared" si="0"/>
        <v>1:1:49553:2</v>
      </c>
      <c r="L56" s="1">
        <v>49557</v>
      </c>
      <c r="M56" s="3" t="str">
        <f t="shared" si="1"/>
        <v>1:1:49557:8</v>
      </c>
      <c r="N56" s="1">
        <v>0</v>
      </c>
      <c r="O56" s="1" t="s">
        <v>2249</v>
      </c>
      <c r="P56" s="3" t="str" cm="1">
        <f t="array" ref="P56">IFERROR(mindat_longid(O56),"")</f>
        <v/>
      </c>
      <c r="Q56" s="1" t="str">
        <f>IFERROR(VLOOKUP(O56, [1]meteoriteQuery!$D$2:$E$540,2,FALSE),"")</f>
        <v/>
      </c>
      <c r="R56" s="1" t="s">
        <v>189</v>
      </c>
      <c r="S56" s="1">
        <f>IFERROR(VLOOKUP(C56,[1]meteoriteQuery!$D$2:$F$517,1,FALSE),"")</f>
        <v>49554</v>
      </c>
    </row>
    <row r="57" spans="1:19" x14ac:dyDescent="0.25">
      <c r="A57" s="1">
        <v>36</v>
      </c>
      <c r="B57" s="1" t="s">
        <v>192</v>
      </c>
      <c r="C57" s="1">
        <v>49556</v>
      </c>
      <c r="D57" s="1" t="s">
        <v>190</v>
      </c>
      <c r="E57" s="1" t="s">
        <v>191</v>
      </c>
      <c r="F57" s="1">
        <v>7</v>
      </c>
      <c r="G57" s="1" t="s">
        <v>14</v>
      </c>
      <c r="H57" s="1" t="s">
        <v>193</v>
      </c>
      <c r="I57" s="1"/>
      <c r="J57" s="1">
        <v>49552</v>
      </c>
      <c r="K57" s="1" t="str">
        <f t="shared" si="0"/>
        <v>1:1:49552:3</v>
      </c>
      <c r="L57" s="1">
        <v>0</v>
      </c>
      <c r="M57" s="3" t="str">
        <f t="shared" si="1"/>
        <v/>
      </c>
      <c r="N57" s="1">
        <v>0</v>
      </c>
      <c r="O57" s="1">
        <v>52377</v>
      </c>
      <c r="P57" s="3" t="str" cm="1">
        <f t="array" ref="P57">IFERROR(mindat_longid(O57),"")</f>
        <v>1:1:52377:4</v>
      </c>
      <c r="Q57" s="1" t="str">
        <f>IFERROR(VLOOKUP(O57, [1]meteoriteQuery!$D$2:$E$540,2,FALSE),"")</f>
        <v>CM-an chondrite meteorite</v>
      </c>
      <c r="R57" s="1" t="s">
        <v>194</v>
      </c>
      <c r="S57" s="1">
        <f>IFERROR(VLOOKUP(C57,[1]meteoriteQuery!$D$2:$F$517,1,FALSE),"")</f>
        <v>49556</v>
      </c>
    </row>
    <row r="58" spans="1:19" x14ac:dyDescent="0.25">
      <c r="A58" s="1">
        <v>37</v>
      </c>
      <c r="B58" s="1" t="s">
        <v>197</v>
      </c>
      <c r="C58" s="1">
        <v>49557</v>
      </c>
      <c r="D58" s="1" t="s">
        <v>195</v>
      </c>
      <c r="E58" s="1" t="s">
        <v>196</v>
      </c>
      <c r="F58" s="1">
        <v>7</v>
      </c>
      <c r="G58" s="1" t="s">
        <v>14</v>
      </c>
      <c r="H58" s="1" t="s">
        <v>198</v>
      </c>
      <c r="I58" s="1"/>
      <c r="J58" s="1">
        <v>49552</v>
      </c>
      <c r="K58" s="1" t="str">
        <f t="shared" si="0"/>
        <v>1:1:49552:3</v>
      </c>
      <c r="L58" s="1">
        <v>49841</v>
      </c>
      <c r="M58" s="3" t="str">
        <f t="shared" si="1"/>
        <v>1:1:49841:4</v>
      </c>
      <c r="N58" s="1">
        <v>1</v>
      </c>
      <c r="O58" s="1" t="s">
        <v>2249</v>
      </c>
      <c r="P58" s="3" t="str" cm="1">
        <f t="array" ref="P58">IFERROR(mindat_longid(O58),"")</f>
        <v/>
      </c>
      <c r="Q58" s="1" t="str">
        <f>IFERROR(VLOOKUP(O58, [1]meteoriteQuery!$D$2:$E$540,2,FALSE),"")</f>
        <v/>
      </c>
      <c r="R58" s="1" t="s">
        <v>199</v>
      </c>
      <c r="S58" s="1">
        <f>IFERROR(VLOOKUP(C58,[1]meteoriteQuery!$D$2:$F$517,1,FALSE),"")</f>
        <v>49557</v>
      </c>
    </row>
    <row r="59" spans="1:19" x14ac:dyDescent="0.25">
      <c r="A59" s="1">
        <v>38</v>
      </c>
      <c r="B59" s="1" t="s">
        <v>202</v>
      </c>
      <c r="C59" s="1">
        <v>49558</v>
      </c>
      <c r="D59" s="1" t="s">
        <v>200</v>
      </c>
      <c r="E59" s="1" t="s">
        <v>201</v>
      </c>
      <c r="F59" s="1">
        <v>7</v>
      </c>
      <c r="G59" s="1" t="s">
        <v>14</v>
      </c>
      <c r="H59" s="1" t="s">
        <v>203</v>
      </c>
      <c r="I59" s="1"/>
      <c r="J59" s="1">
        <v>49557</v>
      </c>
      <c r="K59" s="1" t="str">
        <f t="shared" si="0"/>
        <v>1:1:49557:8</v>
      </c>
      <c r="L59" s="1">
        <v>49557</v>
      </c>
      <c r="M59" s="3" t="str">
        <f t="shared" si="1"/>
        <v>1:1:49557:8</v>
      </c>
      <c r="N59" s="1">
        <v>0</v>
      </c>
      <c r="O59" s="1">
        <v>52388</v>
      </c>
      <c r="P59" s="3" t="str" cm="1">
        <f t="array" ref="P59">IFERROR(mindat_longid(O59),"")</f>
        <v>1:1:52388:0</v>
      </c>
      <c r="Q59" s="1" t="str">
        <f>IFERROR(VLOOKUP(O59, [1]meteoriteQuery!$D$2:$E$540,2,FALSE),"")</f>
        <v>CM2-an chondrite meteorite</v>
      </c>
      <c r="R59" s="1" t="s">
        <v>204</v>
      </c>
      <c r="S59" s="1">
        <f>IFERROR(VLOOKUP(C59,[1]meteoriteQuery!$D$2:$F$517,1,FALSE),"")</f>
        <v>49558</v>
      </c>
    </row>
    <row r="60" spans="1:19" x14ac:dyDescent="0.25">
      <c r="A60" s="1">
        <v>39</v>
      </c>
      <c r="B60" s="1" t="s">
        <v>207</v>
      </c>
      <c r="C60" s="1">
        <v>49559</v>
      </c>
      <c r="D60" s="1" t="s">
        <v>205</v>
      </c>
      <c r="E60" s="1" t="s">
        <v>206</v>
      </c>
      <c r="F60" s="1">
        <v>7</v>
      </c>
      <c r="G60" s="1" t="s">
        <v>14</v>
      </c>
      <c r="H60" s="1" t="s">
        <v>208</v>
      </c>
      <c r="I60" s="1"/>
      <c r="J60" s="1">
        <v>49519</v>
      </c>
      <c r="K60" s="1" t="str">
        <f t="shared" si="0"/>
        <v>1:1:49519:8</v>
      </c>
      <c r="L60" s="1">
        <v>0</v>
      </c>
      <c r="M60" s="3" t="str">
        <f t="shared" si="1"/>
        <v/>
      </c>
      <c r="N60" s="1">
        <v>1</v>
      </c>
      <c r="O60" s="1" t="s">
        <v>2249</v>
      </c>
      <c r="P60" s="3" t="str" cm="1">
        <f t="array" ref="P60">IFERROR(mindat_longid(O60),"")</f>
        <v/>
      </c>
      <c r="Q60" s="1" t="str">
        <f>IFERROR(VLOOKUP(O60, [1]meteoriteQuery!$D$2:$E$540,2,FALSE),"")</f>
        <v/>
      </c>
      <c r="R60" s="1" t="s">
        <v>209</v>
      </c>
      <c r="S60" s="1">
        <f>IFERROR(VLOOKUP(C60,[1]meteoriteQuery!$D$2:$F$517,1,FALSE),"")</f>
        <v>49559</v>
      </c>
    </row>
    <row r="61" spans="1:19" x14ac:dyDescent="0.25">
      <c r="A61" s="1">
        <v>40</v>
      </c>
      <c r="B61" s="1" t="s">
        <v>212</v>
      </c>
      <c r="C61" s="1">
        <v>49560</v>
      </c>
      <c r="D61" s="1" t="s">
        <v>210</v>
      </c>
      <c r="E61" s="1" t="s">
        <v>211</v>
      </c>
      <c r="F61" s="1">
        <v>7</v>
      </c>
      <c r="G61" s="1" t="s">
        <v>14</v>
      </c>
      <c r="H61" s="1" t="s">
        <v>213</v>
      </c>
      <c r="I61" s="1"/>
      <c r="J61" s="1">
        <v>49559</v>
      </c>
      <c r="K61" s="1" t="str">
        <f t="shared" si="0"/>
        <v>1:1:49559:6</v>
      </c>
      <c r="L61" s="1">
        <v>49842</v>
      </c>
      <c r="M61" s="3" t="str">
        <f t="shared" si="1"/>
        <v>1:1:49842:3</v>
      </c>
      <c r="N61" s="1">
        <v>1</v>
      </c>
      <c r="O61" s="1" t="s">
        <v>2249</v>
      </c>
      <c r="P61" s="3" t="str" cm="1">
        <f t="array" ref="P61">IFERROR(mindat_longid(O61),"")</f>
        <v/>
      </c>
      <c r="Q61" s="1" t="str">
        <f>IFERROR(VLOOKUP(O61, [1]meteoriteQuery!$D$2:$E$540,2,FALSE),"")</f>
        <v/>
      </c>
      <c r="R61" s="1" t="s">
        <v>214</v>
      </c>
      <c r="S61" s="1">
        <f>IFERROR(VLOOKUP(C61,[1]meteoriteQuery!$D$2:$F$517,1,FALSE),"")</f>
        <v>49560</v>
      </c>
    </row>
    <row r="62" spans="1:19" x14ac:dyDescent="0.25">
      <c r="A62" s="1">
        <v>41</v>
      </c>
      <c r="B62" s="1" t="s">
        <v>217</v>
      </c>
      <c r="C62" s="1">
        <v>49561</v>
      </c>
      <c r="D62" s="1" t="s">
        <v>215</v>
      </c>
      <c r="E62" s="1" t="s">
        <v>216</v>
      </c>
      <c r="F62" s="1">
        <v>7</v>
      </c>
      <c r="G62" s="1" t="s">
        <v>14</v>
      </c>
      <c r="H62" s="1" t="s">
        <v>218</v>
      </c>
      <c r="I62" s="1"/>
      <c r="J62" s="1">
        <v>49560</v>
      </c>
      <c r="K62" s="1" t="str">
        <f t="shared" si="0"/>
        <v>1:1:49560:2</v>
      </c>
      <c r="L62" s="1">
        <v>0</v>
      </c>
      <c r="M62" s="3" t="str">
        <f t="shared" si="1"/>
        <v/>
      </c>
      <c r="N62" s="1">
        <v>0</v>
      </c>
      <c r="O62" s="1" t="s">
        <v>2249</v>
      </c>
      <c r="P62" s="3" t="str" cm="1">
        <f t="array" ref="P62">IFERROR(mindat_longid(O62),"")</f>
        <v/>
      </c>
      <c r="Q62" s="1" t="str">
        <f>IFERROR(VLOOKUP(O62, [1]meteoriteQuery!$D$2:$E$540,2,FALSE),"")</f>
        <v/>
      </c>
      <c r="R62" s="1" t="s">
        <v>219</v>
      </c>
      <c r="S62" s="1">
        <f>IFERROR(VLOOKUP(C62,[1]meteoriteQuery!$D$2:$F$517,1,FALSE),"")</f>
        <v>49561</v>
      </c>
    </row>
    <row r="63" spans="1:19" x14ac:dyDescent="0.25">
      <c r="A63" s="1">
        <v>42</v>
      </c>
      <c r="B63" s="1" t="s">
        <v>222</v>
      </c>
      <c r="C63" s="1">
        <v>49562</v>
      </c>
      <c r="D63" s="1" t="s">
        <v>220</v>
      </c>
      <c r="E63" s="1" t="s">
        <v>221</v>
      </c>
      <c r="F63" s="1">
        <v>7</v>
      </c>
      <c r="G63" s="1" t="s">
        <v>14</v>
      </c>
      <c r="H63" s="1" t="s">
        <v>223</v>
      </c>
      <c r="I63" s="1"/>
      <c r="J63" s="1">
        <v>49560</v>
      </c>
      <c r="K63" s="1" t="str">
        <f t="shared" si="0"/>
        <v>1:1:49560:2</v>
      </c>
      <c r="L63" s="1">
        <v>0</v>
      </c>
      <c r="M63" s="3" t="str">
        <f t="shared" si="1"/>
        <v/>
      </c>
      <c r="N63" s="1">
        <v>0</v>
      </c>
      <c r="O63" s="1" t="s">
        <v>2249</v>
      </c>
      <c r="P63" s="3" t="str" cm="1">
        <f t="array" ref="P63">IFERROR(mindat_longid(O63),"")</f>
        <v/>
      </c>
      <c r="Q63" s="1" t="str">
        <f>IFERROR(VLOOKUP(O63, [1]meteoriteQuery!$D$2:$E$540,2,FALSE),"")</f>
        <v/>
      </c>
      <c r="R63" s="1" t="s">
        <v>224</v>
      </c>
      <c r="S63" s="1">
        <f>IFERROR(VLOOKUP(C63,[1]meteoriteQuery!$D$2:$F$517,1,FALSE),"")</f>
        <v>49562</v>
      </c>
    </row>
    <row r="64" spans="1:19" x14ac:dyDescent="0.25">
      <c r="A64" s="1">
        <v>43</v>
      </c>
      <c r="B64" s="1" t="s">
        <v>227</v>
      </c>
      <c r="C64" s="1">
        <v>49563</v>
      </c>
      <c r="D64" s="1" t="s">
        <v>225</v>
      </c>
      <c r="E64" s="1" t="s">
        <v>226</v>
      </c>
      <c r="F64" s="1">
        <v>7</v>
      </c>
      <c r="G64" s="1" t="s">
        <v>14</v>
      </c>
      <c r="H64" s="1" t="s">
        <v>228</v>
      </c>
      <c r="I64" s="1"/>
      <c r="J64" s="1">
        <v>49560</v>
      </c>
      <c r="K64" s="1" t="str">
        <f t="shared" si="0"/>
        <v>1:1:49560:2</v>
      </c>
      <c r="L64" s="1">
        <v>0</v>
      </c>
      <c r="M64" s="3" t="str">
        <f t="shared" si="1"/>
        <v/>
      </c>
      <c r="N64" s="1">
        <v>0</v>
      </c>
      <c r="O64" s="1" t="s">
        <v>2249</v>
      </c>
      <c r="P64" s="3" t="str" cm="1">
        <f t="array" ref="P64">IFERROR(mindat_longid(O64),"")</f>
        <v/>
      </c>
      <c r="Q64" s="1" t="str">
        <f>IFERROR(VLOOKUP(O64, [1]meteoriteQuery!$D$2:$E$540,2,FALSE),"")</f>
        <v/>
      </c>
      <c r="R64" s="1" t="s">
        <v>229</v>
      </c>
      <c r="S64" s="1">
        <f>IFERROR(VLOOKUP(C64,[1]meteoriteQuery!$D$2:$F$517,1,FALSE),"")</f>
        <v>49563</v>
      </c>
    </row>
    <row r="65" spans="1:19" x14ac:dyDescent="0.25">
      <c r="A65" s="1">
        <v>44</v>
      </c>
      <c r="B65" s="1" t="s">
        <v>232</v>
      </c>
      <c r="C65" s="1">
        <v>49564</v>
      </c>
      <c r="D65" s="1" t="s">
        <v>230</v>
      </c>
      <c r="E65" s="1" t="s">
        <v>231</v>
      </c>
      <c r="F65" s="1">
        <v>7</v>
      </c>
      <c r="G65" s="1" t="s">
        <v>14</v>
      </c>
      <c r="H65" s="1" t="s">
        <v>233</v>
      </c>
      <c r="I65" s="1"/>
      <c r="J65" s="1">
        <v>49560</v>
      </c>
      <c r="K65" s="1" t="str">
        <f t="shared" si="0"/>
        <v>1:1:49560:2</v>
      </c>
      <c r="L65" s="1">
        <v>0</v>
      </c>
      <c r="M65" s="3" t="str">
        <f t="shared" si="1"/>
        <v/>
      </c>
      <c r="N65" s="1">
        <v>0</v>
      </c>
      <c r="O65" s="1" t="s">
        <v>2249</v>
      </c>
      <c r="P65" s="3" t="str" cm="1">
        <f t="array" ref="P65">IFERROR(mindat_longid(O65),"")</f>
        <v/>
      </c>
      <c r="Q65" s="1" t="str">
        <f>IFERROR(VLOOKUP(O65, [1]meteoriteQuery!$D$2:$E$540,2,FALSE),"")</f>
        <v/>
      </c>
      <c r="R65" s="1" t="s">
        <v>234</v>
      </c>
      <c r="S65" s="1">
        <f>IFERROR(VLOOKUP(C65,[1]meteoriteQuery!$D$2:$F$517,1,FALSE),"")</f>
        <v>49564</v>
      </c>
    </row>
    <row r="66" spans="1:19" x14ac:dyDescent="0.25">
      <c r="A66" s="1">
        <v>45</v>
      </c>
      <c r="B66" s="1" t="s">
        <v>237</v>
      </c>
      <c r="C66" s="1">
        <v>49565</v>
      </c>
      <c r="D66" s="1" t="s">
        <v>235</v>
      </c>
      <c r="E66" s="1" t="s">
        <v>236</v>
      </c>
      <c r="F66" s="1">
        <v>7</v>
      </c>
      <c r="G66" s="1" t="s">
        <v>14</v>
      </c>
      <c r="H66" s="1" t="s">
        <v>238</v>
      </c>
      <c r="I66" s="1"/>
      <c r="J66" s="1">
        <v>49560</v>
      </c>
      <c r="K66" s="1" t="str">
        <f t="shared" si="0"/>
        <v>1:1:49560:2</v>
      </c>
      <c r="L66" s="1">
        <v>0</v>
      </c>
      <c r="M66" s="3" t="str">
        <f t="shared" si="1"/>
        <v/>
      </c>
      <c r="N66" s="1">
        <v>0</v>
      </c>
      <c r="O66" s="1" t="s">
        <v>2249</v>
      </c>
      <c r="P66" s="3" t="str" cm="1">
        <f t="array" ref="P66">IFERROR(mindat_longid(O66),"")</f>
        <v/>
      </c>
      <c r="Q66" s="1" t="str">
        <f>IFERROR(VLOOKUP(O66, [1]meteoriteQuery!$D$2:$E$540,2,FALSE),"")</f>
        <v/>
      </c>
      <c r="R66" s="1" t="s">
        <v>239</v>
      </c>
      <c r="S66" s="1">
        <f>IFERROR(VLOOKUP(C66,[1]meteoriteQuery!$D$2:$F$517,1,FALSE),"")</f>
        <v>49565</v>
      </c>
    </row>
    <row r="67" spans="1:19" x14ac:dyDescent="0.25">
      <c r="A67" s="1">
        <v>46</v>
      </c>
      <c r="B67" s="1" t="s">
        <v>242</v>
      </c>
      <c r="C67" s="1">
        <v>49566</v>
      </c>
      <c r="D67" s="1" t="s">
        <v>240</v>
      </c>
      <c r="E67" s="1" t="s">
        <v>241</v>
      </c>
      <c r="F67" s="1">
        <v>7</v>
      </c>
      <c r="G67" s="1" t="s">
        <v>14</v>
      </c>
      <c r="H67" s="1" t="s">
        <v>243</v>
      </c>
      <c r="I67" s="1"/>
      <c r="J67" s="1">
        <v>49560</v>
      </c>
      <c r="K67" s="1" t="str">
        <f t="shared" si="0"/>
        <v>1:1:49560:2</v>
      </c>
      <c r="L67" s="1">
        <v>0</v>
      </c>
      <c r="M67" s="3" t="str">
        <f t="shared" si="1"/>
        <v/>
      </c>
      <c r="N67" s="1">
        <v>0</v>
      </c>
      <c r="O67" s="1" t="s">
        <v>2249</v>
      </c>
      <c r="P67" s="3" t="str" cm="1">
        <f t="array" ref="P67">IFERROR(mindat_longid(O67),"")</f>
        <v/>
      </c>
      <c r="Q67" s="1" t="str">
        <f>IFERROR(VLOOKUP(O67, [1]meteoriteQuery!$D$2:$E$540,2,FALSE),"")</f>
        <v/>
      </c>
      <c r="R67" s="1" t="s">
        <v>244</v>
      </c>
      <c r="S67" s="1">
        <f>IFERROR(VLOOKUP(C67,[1]meteoriteQuery!$D$2:$F$517,1,FALSE),"")</f>
        <v>49566</v>
      </c>
    </row>
    <row r="68" spans="1:19" x14ac:dyDescent="0.25">
      <c r="A68" s="1">
        <v>47</v>
      </c>
      <c r="B68" s="1" t="s">
        <v>247</v>
      </c>
      <c r="C68" s="1">
        <v>49567</v>
      </c>
      <c r="D68" s="1" t="s">
        <v>245</v>
      </c>
      <c r="E68" s="2" t="s">
        <v>246</v>
      </c>
      <c r="F68" s="1">
        <v>7</v>
      </c>
      <c r="G68" s="1" t="s">
        <v>14</v>
      </c>
      <c r="H68" s="1" t="s">
        <v>248</v>
      </c>
      <c r="I68" s="1"/>
      <c r="J68" s="1">
        <v>49560</v>
      </c>
      <c r="K68" s="1" t="str">
        <f t="shared" ref="K68:K131" si="2">IFERROR(VLOOKUP(J68,$C$2:$D$502,2,FALSE),"")</f>
        <v>1:1:49560:2</v>
      </c>
      <c r="L68" s="1">
        <v>0</v>
      </c>
      <c r="M68" s="3" t="str">
        <f t="shared" ref="M68:M131" si="3">IFERROR(VLOOKUP(L68,$C$2:$D$502,2,FALSE),"")</f>
        <v/>
      </c>
      <c r="N68" s="1">
        <v>0</v>
      </c>
      <c r="O68" s="1" t="s">
        <v>2249</v>
      </c>
      <c r="P68" s="3" t="str" cm="1">
        <f t="array" ref="P68">IFERROR(mindat_longid(O68),"")</f>
        <v/>
      </c>
      <c r="Q68" s="1" t="str">
        <f>IFERROR(VLOOKUP(O68, [1]meteoriteQuery!$D$2:$E$540,2,FALSE),"")</f>
        <v/>
      </c>
      <c r="R68" s="1" t="s">
        <v>249</v>
      </c>
      <c r="S68" s="1">
        <f>IFERROR(VLOOKUP(C68,[1]meteoriteQuery!$D$2:$F$517,1,FALSE),"")</f>
        <v>49567</v>
      </c>
    </row>
    <row r="69" spans="1:19" x14ac:dyDescent="0.25">
      <c r="A69" s="1">
        <v>48</v>
      </c>
      <c r="B69" s="1" t="s">
        <v>252</v>
      </c>
      <c r="C69" s="1">
        <v>49568</v>
      </c>
      <c r="D69" s="1" t="s">
        <v>250</v>
      </c>
      <c r="E69" s="1" t="s">
        <v>251</v>
      </c>
      <c r="F69" s="1">
        <v>7</v>
      </c>
      <c r="G69" s="1" t="s">
        <v>14</v>
      </c>
      <c r="H69" s="1" t="s">
        <v>253</v>
      </c>
      <c r="I69" s="1"/>
      <c r="J69" s="1">
        <v>49560</v>
      </c>
      <c r="K69" s="1" t="str">
        <f t="shared" si="2"/>
        <v>1:1:49560:2</v>
      </c>
      <c r="L69" s="1">
        <v>0</v>
      </c>
      <c r="M69" s="3" t="str">
        <f t="shared" si="3"/>
        <v/>
      </c>
      <c r="N69" s="1">
        <v>0</v>
      </c>
      <c r="O69" s="1" t="s">
        <v>2249</v>
      </c>
      <c r="P69" s="3" t="str" cm="1">
        <f t="array" ref="P69">IFERROR(mindat_longid(O69),"")</f>
        <v/>
      </c>
      <c r="Q69" s="1" t="str">
        <f>IFERROR(VLOOKUP(O69, [1]meteoriteQuery!$D$2:$E$540,2,FALSE),"")</f>
        <v/>
      </c>
      <c r="R69" s="1" t="s">
        <v>254</v>
      </c>
      <c r="S69" s="1">
        <f>IFERROR(VLOOKUP(C69,[1]meteoriteQuery!$D$2:$F$517,1,FALSE),"")</f>
        <v>49568</v>
      </c>
    </row>
    <row r="70" spans="1:19" x14ac:dyDescent="0.25">
      <c r="A70" s="1">
        <v>49</v>
      </c>
      <c r="B70" s="1" t="s">
        <v>257</v>
      </c>
      <c r="C70" s="1">
        <v>49569</v>
      </c>
      <c r="D70" s="1" t="s">
        <v>255</v>
      </c>
      <c r="E70" s="1" t="s">
        <v>256</v>
      </c>
      <c r="F70" s="1">
        <v>7</v>
      </c>
      <c r="G70" s="1" t="s">
        <v>14</v>
      </c>
      <c r="H70" s="1" t="s">
        <v>258</v>
      </c>
      <c r="I70" s="1"/>
      <c r="J70" s="1">
        <v>49560</v>
      </c>
      <c r="K70" s="1" t="str">
        <f t="shared" si="2"/>
        <v>1:1:49560:2</v>
      </c>
      <c r="L70" s="1">
        <v>0</v>
      </c>
      <c r="M70" s="3" t="str">
        <f t="shared" si="3"/>
        <v/>
      </c>
      <c r="N70" s="1">
        <v>0</v>
      </c>
      <c r="O70" s="1" t="s">
        <v>2249</v>
      </c>
      <c r="P70" s="3" t="str" cm="1">
        <f t="array" ref="P70">IFERROR(mindat_longid(O70),"")</f>
        <v/>
      </c>
      <c r="Q70" s="1" t="str">
        <f>IFERROR(VLOOKUP(O70, [1]meteoriteQuery!$D$2:$E$540,2,FALSE),"")</f>
        <v/>
      </c>
      <c r="R70" s="1" t="s">
        <v>259</v>
      </c>
      <c r="S70" s="1">
        <f>IFERROR(VLOOKUP(C70,[1]meteoriteQuery!$D$2:$F$517,1,FALSE),"")</f>
        <v>49569</v>
      </c>
    </row>
    <row r="71" spans="1:19" ht="15.75" x14ac:dyDescent="0.3">
      <c r="A71">
        <v>113</v>
      </c>
      <c r="B71" t="s">
        <v>2437</v>
      </c>
      <c r="C71">
        <v>49570</v>
      </c>
      <c r="D71" t="s">
        <v>2442</v>
      </c>
      <c r="E71" s="5" t="s">
        <v>2461</v>
      </c>
      <c r="H71" s="6" t="s">
        <v>2460</v>
      </c>
      <c r="I71" s="6"/>
      <c r="J71">
        <v>49560</v>
      </c>
      <c r="K71" s="5" t="s">
        <v>210</v>
      </c>
      <c r="M71" s="3" t="str">
        <f t="shared" si="3"/>
        <v/>
      </c>
      <c r="P71" s="3" t="str" cm="1">
        <f t="array" ref="P71">IFERROR(mindat_longid(O71),"")</f>
        <v/>
      </c>
      <c r="Q71" s="1" t="str">
        <f>IFERROR(VLOOKUP(O71, [1]meteoriteQuery!$D$2:$E$540,2,FALSE),"")</f>
        <v/>
      </c>
    </row>
    <row r="72" spans="1:19" x14ac:dyDescent="0.25">
      <c r="A72" s="1">
        <v>50</v>
      </c>
      <c r="B72" s="1" t="s">
        <v>262</v>
      </c>
      <c r="C72" s="1">
        <v>49571</v>
      </c>
      <c r="D72" s="1" t="s">
        <v>260</v>
      </c>
      <c r="E72" s="1" t="s">
        <v>261</v>
      </c>
      <c r="F72" s="1">
        <v>7</v>
      </c>
      <c r="G72" s="1" t="s">
        <v>14</v>
      </c>
      <c r="H72" s="1" t="s">
        <v>263</v>
      </c>
      <c r="I72" s="1"/>
      <c r="J72" s="1">
        <v>49519</v>
      </c>
      <c r="K72" s="1" t="str">
        <f t="shared" si="2"/>
        <v>1:1:49519:8</v>
      </c>
      <c r="L72" s="1">
        <v>0</v>
      </c>
      <c r="M72" s="3" t="str">
        <f t="shared" si="3"/>
        <v/>
      </c>
      <c r="N72" s="1">
        <v>1</v>
      </c>
      <c r="O72" s="1" t="s">
        <v>2249</v>
      </c>
      <c r="P72" s="3" t="str" cm="1">
        <f t="array" ref="P72">IFERROR(mindat_longid(O72),"")</f>
        <v/>
      </c>
      <c r="Q72" s="1" t="str">
        <f>IFERROR(VLOOKUP(O72, [1]meteoriteQuery!$D$2:$E$540,2,FALSE),"")</f>
        <v/>
      </c>
      <c r="R72" s="1" t="s">
        <v>264</v>
      </c>
      <c r="S72" s="1">
        <f>IFERROR(VLOOKUP(C72,[1]meteoriteQuery!$D$2:$F$517,1,FALSE),"")</f>
        <v>49571</v>
      </c>
    </row>
    <row r="73" spans="1:19" x14ac:dyDescent="0.25">
      <c r="A73" s="1">
        <v>51</v>
      </c>
      <c r="B73" s="1" t="s">
        <v>267</v>
      </c>
      <c r="C73" s="1">
        <v>49572</v>
      </c>
      <c r="D73" s="1" t="s">
        <v>265</v>
      </c>
      <c r="E73" s="1" t="s">
        <v>266</v>
      </c>
      <c r="F73" s="1">
        <v>7</v>
      </c>
      <c r="G73" s="1" t="s">
        <v>14</v>
      </c>
      <c r="H73" s="1" t="s">
        <v>268</v>
      </c>
      <c r="I73" s="1"/>
      <c r="J73" s="1">
        <v>49571</v>
      </c>
      <c r="K73" s="1" t="str">
        <f t="shared" si="2"/>
        <v>1:1:49571:8</v>
      </c>
      <c r="L73" s="1">
        <v>49840</v>
      </c>
      <c r="M73" s="3" t="str">
        <f t="shared" si="3"/>
        <v>1:1:49840:5</v>
      </c>
      <c r="N73" s="1">
        <v>1</v>
      </c>
      <c r="O73" s="1" t="s">
        <v>2249</v>
      </c>
      <c r="P73" s="3" t="str" cm="1">
        <f t="array" ref="P73">IFERROR(mindat_longid(O73),"")</f>
        <v/>
      </c>
      <c r="Q73" s="1" t="str">
        <f>IFERROR(VLOOKUP(O73, [1]meteoriteQuery!$D$2:$E$540,2,FALSE),"")</f>
        <v/>
      </c>
      <c r="R73" s="1" t="s">
        <v>269</v>
      </c>
      <c r="S73" s="1">
        <f>IFERROR(VLOOKUP(C73,[1]meteoriteQuery!$D$2:$F$517,1,FALSE),"")</f>
        <v>49572</v>
      </c>
    </row>
    <row r="74" spans="1:19" x14ac:dyDescent="0.25">
      <c r="A74" s="1">
        <v>52</v>
      </c>
      <c r="B74" s="1" t="s">
        <v>272</v>
      </c>
      <c r="C74" s="1">
        <v>49573</v>
      </c>
      <c r="D74" s="1" t="s">
        <v>270</v>
      </c>
      <c r="E74" s="1" t="s">
        <v>271</v>
      </c>
      <c r="F74" s="1">
        <v>7</v>
      </c>
      <c r="G74" s="1" t="s">
        <v>14</v>
      </c>
      <c r="H74" s="1" t="s">
        <v>273</v>
      </c>
      <c r="I74" s="1"/>
      <c r="J74" s="1">
        <v>49571</v>
      </c>
      <c r="K74" s="1" t="str">
        <f t="shared" si="2"/>
        <v>1:1:49571:8</v>
      </c>
      <c r="L74" s="1">
        <v>49841</v>
      </c>
      <c r="M74" s="3" t="str">
        <f t="shared" si="3"/>
        <v>1:1:49841:4</v>
      </c>
      <c r="N74" s="1">
        <v>1</v>
      </c>
      <c r="O74" s="1" t="s">
        <v>2249</v>
      </c>
      <c r="P74" s="3" t="str" cm="1">
        <f t="array" ref="P74">IFERROR(mindat_longid(O74),"")</f>
        <v/>
      </c>
      <c r="Q74" s="1" t="str">
        <f>IFERROR(VLOOKUP(O74, [1]meteoriteQuery!$D$2:$E$540,2,FALSE),"")</f>
        <v/>
      </c>
      <c r="R74" s="1" t="s">
        <v>274</v>
      </c>
      <c r="S74" s="1">
        <f>IFERROR(VLOOKUP(C74,[1]meteoriteQuery!$D$2:$F$517,1,FALSE),"")</f>
        <v>49573</v>
      </c>
    </row>
    <row r="75" spans="1:19" x14ac:dyDescent="0.25">
      <c r="A75" s="1">
        <v>53</v>
      </c>
      <c r="B75" s="1" t="s">
        <v>277</v>
      </c>
      <c r="C75" s="1">
        <v>49574</v>
      </c>
      <c r="D75" s="1" t="s">
        <v>275</v>
      </c>
      <c r="E75" s="1" t="s">
        <v>276</v>
      </c>
      <c r="F75" s="1">
        <v>7</v>
      </c>
      <c r="G75" s="1" t="s">
        <v>14</v>
      </c>
      <c r="H75" s="1" t="s">
        <v>278</v>
      </c>
      <c r="I75" s="1"/>
      <c r="J75" s="1">
        <v>49573</v>
      </c>
      <c r="K75" s="1" t="str">
        <f t="shared" si="2"/>
        <v>1:1:49573:6</v>
      </c>
      <c r="L75" s="1">
        <v>0</v>
      </c>
      <c r="M75" s="3" t="str">
        <f t="shared" si="3"/>
        <v/>
      </c>
      <c r="N75" s="1">
        <v>0</v>
      </c>
      <c r="O75" s="1">
        <v>52389</v>
      </c>
      <c r="P75" s="3" t="str" cm="1">
        <f t="array" ref="P75">IFERROR(mindat_longid(O75),"")</f>
        <v>1:1:52389:9</v>
      </c>
      <c r="Q75" s="1" t="str">
        <f>IFERROR(VLOOKUP(O75, [1]meteoriteQuery!$D$2:$E$540,2,FALSE),"")</f>
        <v>CR2-an chondrite meteorite</v>
      </c>
      <c r="R75" s="1" t="s">
        <v>279</v>
      </c>
      <c r="S75" s="1">
        <f>IFERROR(VLOOKUP(C75,[1]meteoriteQuery!$D$2:$F$517,1,FALSE),"")</f>
        <v>49574</v>
      </c>
    </row>
    <row r="76" spans="1:19" x14ac:dyDescent="0.25">
      <c r="A76" s="1">
        <v>54</v>
      </c>
      <c r="B76" s="1" t="s">
        <v>282</v>
      </c>
      <c r="C76" s="1">
        <v>49575</v>
      </c>
      <c r="D76" s="1" t="s">
        <v>280</v>
      </c>
      <c r="E76" s="1" t="s">
        <v>281</v>
      </c>
      <c r="F76" s="1">
        <v>7</v>
      </c>
      <c r="G76" s="1" t="s">
        <v>14</v>
      </c>
      <c r="H76" s="1" t="s">
        <v>283</v>
      </c>
      <c r="I76" s="1"/>
      <c r="J76" s="1">
        <v>49571</v>
      </c>
      <c r="K76" s="1" t="str">
        <f t="shared" si="2"/>
        <v>1:1:49571:8</v>
      </c>
      <c r="L76" s="1">
        <v>49845</v>
      </c>
      <c r="M76" s="3" t="str">
        <f t="shared" si="3"/>
        <v>1:1:49845:0</v>
      </c>
      <c r="N76" s="1">
        <v>1</v>
      </c>
      <c r="O76" s="1" t="s">
        <v>2249</v>
      </c>
      <c r="P76" s="3" t="str" cm="1">
        <f t="array" ref="P76">IFERROR(mindat_longid(O76),"")</f>
        <v/>
      </c>
      <c r="Q76" s="1" t="str">
        <f>IFERROR(VLOOKUP(O76, [1]meteoriteQuery!$D$2:$E$540,2,FALSE),"")</f>
        <v/>
      </c>
      <c r="R76" s="1" t="s">
        <v>284</v>
      </c>
      <c r="S76" s="1">
        <f>IFERROR(VLOOKUP(C76,[1]meteoriteQuery!$D$2:$F$517,1,FALSE),"")</f>
        <v>49575</v>
      </c>
    </row>
    <row r="77" spans="1:19" x14ac:dyDescent="0.25">
      <c r="A77" s="1">
        <v>55</v>
      </c>
      <c r="B77" s="1" t="s">
        <v>287</v>
      </c>
      <c r="C77" s="1">
        <v>49576</v>
      </c>
      <c r="D77" s="1" t="s">
        <v>285</v>
      </c>
      <c r="E77" s="1" t="s">
        <v>286</v>
      </c>
      <c r="F77" s="1">
        <v>7</v>
      </c>
      <c r="G77" s="1" t="s">
        <v>14</v>
      </c>
      <c r="H77" s="1" t="s">
        <v>288</v>
      </c>
      <c r="I77" s="1"/>
      <c r="J77" s="1">
        <v>49571</v>
      </c>
      <c r="K77" s="1" t="str">
        <f t="shared" si="2"/>
        <v>1:1:49571:8</v>
      </c>
      <c r="L77" s="1">
        <v>49846</v>
      </c>
      <c r="M77" s="3" t="str">
        <f t="shared" si="3"/>
        <v>1:1:49846:9</v>
      </c>
      <c r="N77" s="1">
        <v>0</v>
      </c>
      <c r="O77" s="1" t="s">
        <v>2249</v>
      </c>
      <c r="P77" s="3" t="str" cm="1">
        <f t="array" ref="P77">IFERROR(mindat_longid(O77),"")</f>
        <v/>
      </c>
      <c r="Q77" s="1" t="str">
        <f>IFERROR(VLOOKUP(O77, [1]meteoriteQuery!$D$2:$E$540,2,FALSE),"")</f>
        <v/>
      </c>
      <c r="R77" s="1" t="s">
        <v>289</v>
      </c>
      <c r="S77" s="1">
        <f>IFERROR(VLOOKUP(C77,[1]meteoriteQuery!$D$2:$F$517,1,FALSE),"")</f>
        <v>49576</v>
      </c>
    </row>
    <row r="78" spans="1:19" x14ac:dyDescent="0.25">
      <c r="A78" s="1">
        <v>170</v>
      </c>
      <c r="B78" s="1" t="s">
        <v>2295</v>
      </c>
      <c r="C78" s="3">
        <v>49577</v>
      </c>
      <c r="D78" s="1" t="s">
        <v>2296</v>
      </c>
      <c r="E78" s="1" t="s">
        <v>2297</v>
      </c>
      <c r="F78" s="1">
        <v>7</v>
      </c>
      <c r="G78" s="1" t="s">
        <v>14</v>
      </c>
      <c r="H78" s="1" t="s">
        <v>2298</v>
      </c>
      <c r="I78" s="1"/>
      <c r="J78" s="3">
        <v>49519</v>
      </c>
      <c r="K78" s="1" t="str">
        <f t="shared" si="2"/>
        <v>1:1:49519:8</v>
      </c>
      <c r="L78" s="1">
        <v>0</v>
      </c>
      <c r="M78" s="3" t="str">
        <f t="shared" si="3"/>
        <v/>
      </c>
      <c r="N78" s="1">
        <v>1</v>
      </c>
      <c r="O78" s="1"/>
      <c r="P78" s="3" t="str" cm="1">
        <f t="array" ref="P78">IFERROR(mindat_longid(O78),"")</f>
        <v/>
      </c>
      <c r="Q78" s="1" t="str">
        <f>IFERROR(VLOOKUP(O78, [1]meteoriteQuery!$D$2:$E$540,2,FALSE),"")</f>
        <v/>
      </c>
      <c r="R78" s="1"/>
    </row>
    <row r="79" spans="1:19" x14ac:dyDescent="0.25">
      <c r="A79" s="1">
        <v>56</v>
      </c>
      <c r="B79" s="1" t="s">
        <v>292</v>
      </c>
      <c r="C79" s="1">
        <v>49578</v>
      </c>
      <c r="D79" s="1" t="s">
        <v>290</v>
      </c>
      <c r="E79" s="1" t="s">
        <v>291</v>
      </c>
      <c r="F79" s="1">
        <v>7</v>
      </c>
      <c r="G79" s="1" t="s">
        <v>14</v>
      </c>
      <c r="H79" s="1" t="s">
        <v>293</v>
      </c>
      <c r="I79" s="1"/>
      <c r="J79" s="1">
        <v>49577</v>
      </c>
      <c r="K79" s="1" t="str">
        <f t="shared" si="2"/>
        <v>1:1:49577:2</v>
      </c>
      <c r="L79" s="1">
        <v>49841</v>
      </c>
      <c r="M79" s="3" t="str">
        <f t="shared" si="3"/>
        <v>1:1:49841:4</v>
      </c>
      <c r="N79" s="1">
        <v>1</v>
      </c>
      <c r="O79" s="1" t="s">
        <v>2249</v>
      </c>
      <c r="P79" s="3" t="str" cm="1">
        <f t="array" ref="P79">IFERROR(mindat_longid(O79),"")</f>
        <v/>
      </c>
      <c r="Q79" s="1" t="str">
        <f>IFERROR(VLOOKUP(O79, [1]meteoriteQuery!$D$2:$E$540,2,FALSE),"")</f>
        <v/>
      </c>
      <c r="R79" s="1" t="s">
        <v>294</v>
      </c>
      <c r="S79" s="1">
        <f>IFERROR(VLOOKUP(C79,[1]meteoriteQuery!$D$2:$F$517,1,FALSE),"")</f>
        <v>49578</v>
      </c>
    </row>
    <row r="80" spans="1:19" x14ac:dyDescent="0.25">
      <c r="A80" s="1">
        <v>57</v>
      </c>
      <c r="B80" s="1" t="s">
        <v>297</v>
      </c>
      <c r="C80" s="1">
        <v>49579</v>
      </c>
      <c r="D80" s="1" t="s">
        <v>295</v>
      </c>
      <c r="E80" s="1" t="s">
        <v>296</v>
      </c>
      <c r="F80" s="1">
        <v>7</v>
      </c>
      <c r="G80" s="1" t="s">
        <v>14</v>
      </c>
      <c r="H80" s="1" t="s">
        <v>298</v>
      </c>
      <c r="I80" s="1"/>
      <c r="J80" s="1">
        <v>49577</v>
      </c>
      <c r="K80" s="1" t="str">
        <f t="shared" si="2"/>
        <v>1:1:49577:2</v>
      </c>
      <c r="L80" s="1">
        <v>49842</v>
      </c>
      <c r="M80" s="3" t="str">
        <f t="shared" si="3"/>
        <v>1:1:49842:3</v>
      </c>
      <c r="N80" s="1">
        <v>1</v>
      </c>
      <c r="O80" s="1">
        <v>51872</v>
      </c>
      <c r="P80" s="3" t="str" cm="1">
        <f t="array" ref="P80">IFERROR(mindat_longid(O80),"")</f>
        <v>1:1:51872:7</v>
      </c>
      <c r="Q80" s="1" t="str">
        <f>IFERROR(VLOOKUP(O80, [1]meteoriteQuery!$D$2:$E$540,2,FALSE),"")</f>
        <v>CV3 carbonaceous chondrite meteorite</v>
      </c>
      <c r="R80" s="1" t="s">
        <v>299</v>
      </c>
      <c r="S80" s="1">
        <f>IFERROR(VLOOKUP(C80,[1]meteoriteQuery!$D$2:$F$517,1,FALSE),"")</f>
        <v>49579</v>
      </c>
    </row>
    <row r="81" spans="1:19" x14ac:dyDescent="0.25">
      <c r="A81" s="1">
        <v>58</v>
      </c>
      <c r="B81" s="1" t="s">
        <v>302</v>
      </c>
      <c r="C81" s="1">
        <v>49580</v>
      </c>
      <c r="D81" s="1" t="s">
        <v>300</v>
      </c>
      <c r="E81" s="1" t="s">
        <v>301</v>
      </c>
      <c r="F81" s="1">
        <v>7</v>
      </c>
      <c r="G81" s="1" t="s">
        <v>14</v>
      </c>
      <c r="H81" s="1" t="s">
        <v>303</v>
      </c>
      <c r="I81" s="1"/>
      <c r="J81" s="1">
        <v>49579</v>
      </c>
      <c r="K81" s="1" t="str">
        <f t="shared" si="2"/>
        <v>1:1:49579:0</v>
      </c>
      <c r="L81" s="1">
        <v>0</v>
      </c>
      <c r="M81" s="3" t="str">
        <f t="shared" si="3"/>
        <v/>
      </c>
      <c r="N81" s="1">
        <v>0</v>
      </c>
      <c r="O81" s="1" t="s">
        <v>2249</v>
      </c>
      <c r="P81" s="3" t="str" cm="1">
        <f t="array" ref="P81">IFERROR(mindat_longid(O81),"")</f>
        <v/>
      </c>
      <c r="Q81" s="1" t="str">
        <f>IFERROR(VLOOKUP(O81, [1]meteoriteQuery!$D$2:$E$540,2,FALSE),"")</f>
        <v/>
      </c>
      <c r="R81" s="1" t="s">
        <v>304</v>
      </c>
      <c r="S81" s="1">
        <f>IFERROR(VLOOKUP(C81,[1]meteoriteQuery!$D$2:$F$517,1,FALSE),"")</f>
        <v>49580</v>
      </c>
    </row>
    <row r="82" spans="1:19" x14ac:dyDescent="0.25">
      <c r="A82" s="1">
        <v>59</v>
      </c>
      <c r="B82" s="1" t="s">
        <v>307</v>
      </c>
      <c r="C82" s="1">
        <v>49581</v>
      </c>
      <c r="D82" s="1" t="s">
        <v>305</v>
      </c>
      <c r="E82" s="1" t="s">
        <v>306</v>
      </c>
      <c r="F82" s="1">
        <v>7</v>
      </c>
      <c r="G82" s="1" t="s">
        <v>14</v>
      </c>
      <c r="H82" s="1" t="s">
        <v>308</v>
      </c>
      <c r="I82" s="1"/>
      <c r="J82" s="1">
        <v>49515</v>
      </c>
      <c r="K82" s="1" t="str">
        <f t="shared" si="2"/>
        <v>1:1:49515:2</v>
      </c>
      <c r="L82" s="1">
        <v>0</v>
      </c>
      <c r="M82" s="3" t="str">
        <f t="shared" si="3"/>
        <v/>
      </c>
      <c r="N82" s="1">
        <v>1</v>
      </c>
      <c r="O82" s="1" t="s">
        <v>2250</v>
      </c>
      <c r="P82" s="3" t="str" cm="1">
        <f t="array" ref="P82">IFERROR(mindat_longid(O82),"")</f>
        <v>-9999</v>
      </c>
      <c r="Q82" s="1" t="s">
        <v>2458</v>
      </c>
      <c r="R82" s="1" t="s">
        <v>309</v>
      </c>
      <c r="S82" s="1">
        <f>IFERROR(VLOOKUP(C82,[1]meteoriteQuery!$D$2:$F$517,1,FALSE),"")</f>
        <v>49581</v>
      </c>
    </row>
    <row r="83" spans="1:19" x14ac:dyDescent="0.25">
      <c r="A83" s="1">
        <v>60</v>
      </c>
      <c r="B83" s="1" t="s">
        <v>312</v>
      </c>
      <c r="C83" s="1">
        <v>49584</v>
      </c>
      <c r="D83" s="1" t="s">
        <v>310</v>
      </c>
      <c r="E83" s="1" t="s">
        <v>311</v>
      </c>
      <c r="F83" s="1">
        <v>7</v>
      </c>
      <c r="G83" s="1" t="s">
        <v>14</v>
      </c>
      <c r="H83" s="1" t="s">
        <v>313</v>
      </c>
      <c r="I83" s="1"/>
      <c r="J83" s="1">
        <v>49581</v>
      </c>
      <c r="K83" s="1" t="str">
        <f t="shared" si="2"/>
        <v>1:1:49581:5</v>
      </c>
      <c r="L83" s="1">
        <v>0</v>
      </c>
      <c r="M83" s="3" t="str">
        <f t="shared" si="3"/>
        <v/>
      </c>
      <c r="N83" s="1">
        <v>1</v>
      </c>
      <c r="O83" s="1" t="s">
        <v>2249</v>
      </c>
      <c r="P83" s="3" t="str" cm="1">
        <f t="array" ref="P83">IFERROR(mindat_longid(O83),"")</f>
        <v/>
      </c>
      <c r="Q83" s="1" t="str">
        <f>IFERROR(VLOOKUP(O83, [1]meteoriteQuery!$D$2:$E$540,2,FALSE),"")</f>
        <v/>
      </c>
      <c r="R83" s="1" t="s">
        <v>314</v>
      </c>
      <c r="S83" s="1">
        <f>IFERROR(VLOOKUP(C83,[1]meteoriteQuery!$D$2:$F$517,1,FALSE),"")</f>
        <v>49584</v>
      </c>
    </row>
    <row r="84" spans="1:19" x14ac:dyDescent="0.25">
      <c r="A84" s="1">
        <v>61</v>
      </c>
      <c r="B84" s="1" t="s">
        <v>317</v>
      </c>
      <c r="C84" s="1">
        <v>49585</v>
      </c>
      <c r="D84" s="1" t="s">
        <v>315</v>
      </c>
      <c r="E84" s="1" t="s">
        <v>316</v>
      </c>
      <c r="F84" s="1">
        <v>7</v>
      </c>
      <c r="G84" s="1" t="s">
        <v>14</v>
      </c>
      <c r="H84" s="1" t="s">
        <v>318</v>
      </c>
      <c r="I84" s="1"/>
      <c r="J84" s="1">
        <v>49584</v>
      </c>
      <c r="K84" s="1" t="str">
        <f t="shared" si="2"/>
        <v>1:1:49584:2</v>
      </c>
      <c r="L84" s="1">
        <v>49842</v>
      </c>
      <c r="M84" s="3" t="str">
        <f t="shared" si="3"/>
        <v>1:1:49842:3</v>
      </c>
      <c r="N84" s="1">
        <v>1</v>
      </c>
      <c r="O84" s="1" t="s">
        <v>2249</v>
      </c>
      <c r="P84" s="3" t="str" cm="1">
        <f t="array" ref="P84">IFERROR(mindat_longid(O84),"")</f>
        <v/>
      </c>
      <c r="Q84" s="1" t="str">
        <f>IFERROR(VLOOKUP(O84, [1]meteoriteQuery!$D$2:$E$540,2,FALSE),"")</f>
        <v/>
      </c>
      <c r="R84" s="1" t="s">
        <v>319</v>
      </c>
      <c r="S84" s="1">
        <f>IFERROR(VLOOKUP(C84,[1]meteoriteQuery!$D$2:$F$517,1,FALSE),"")</f>
        <v>49585</v>
      </c>
    </row>
    <row r="85" spans="1:19" x14ac:dyDescent="0.25">
      <c r="A85" s="1">
        <v>62</v>
      </c>
      <c r="B85" s="1" t="s">
        <v>322</v>
      </c>
      <c r="C85" s="1">
        <v>49586</v>
      </c>
      <c r="D85" s="1" t="s">
        <v>320</v>
      </c>
      <c r="E85" s="1" t="s">
        <v>321</v>
      </c>
      <c r="F85" s="1">
        <v>7</v>
      </c>
      <c r="G85" s="1" t="s">
        <v>14</v>
      </c>
      <c r="H85" s="1" t="s">
        <v>323</v>
      </c>
      <c r="I85" s="1"/>
      <c r="J85" s="1">
        <v>49585</v>
      </c>
      <c r="K85" s="1" t="str">
        <f t="shared" si="2"/>
        <v>1:1:49585:1</v>
      </c>
      <c r="L85" s="1">
        <v>49649</v>
      </c>
      <c r="M85" s="3" t="str">
        <f t="shared" si="3"/>
        <v>1:1:49649:8</v>
      </c>
      <c r="N85" s="1">
        <v>0</v>
      </c>
      <c r="O85" s="1" t="s">
        <v>2249</v>
      </c>
      <c r="P85" s="3" t="str" cm="1">
        <f t="array" ref="P85">IFERROR(mindat_longid(O85),"")</f>
        <v/>
      </c>
      <c r="Q85" s="1" t="str">
        <f>IFERROR(VLOOKUP(O85, [1]meteoriteQuery!$D$2:$E$540,2,FALSE),"")</f>
        <v/>
      </c>
      <c r="R85" s="1" t="s">
        <v>324</v>
      </c>
      <c r="S85" s="1">
        <f>IFERROR(VLOOKUP(C85,[1]meteoriteQuery!$D$2:$F$517,1,FALSE),"")</f>
        <v>49586</v>
      </c>
    </row>
    <row r="86" spans="1:19" x14ac:dyDescent="0.25">
      <c r="A86" s="1">
        <v>63</v>
      </c>
      <c r="B86" s="1" t="s">
        <v>327</v>
      </c>
      <c r="C86" s="1">
        <v>49587</v>
      </c>
      <c r="D86" s="1" t="s">
        <v>325</v>
      </c>
      <c r="E86" s="1" t="s">
        <v>326</v>
      </c>
      <c r="F86" s="1">
        <v>7</v>
      </c>
      <c r="G86" s="1" t="s">
        <v>14</v>
      </c>
      <c r="H86" s="1" t="s">
        <v>328</v>
      </c>
      <c r="I86" s="1"/>
      <c r="J86" s="1">
        <v>50445</v>
      </c>
      <c r="K86" s="1" t="str">
        <f t="shared" si="2"/>
        <v>1:1:50445:0</v>
      </c>
      <c r="L86" s="1">
        <v>0</v>
      </c>
      <c r="M86" s="3" t="str">
        <f t="shared" si="3"/>
        <v/>
      </c>
      <c r="N86" s="1">
        <v>0</v>
      </c>
      <c r="O86" s="1" t="s">
        <v>2249</v>
      </c>
      <c r="P86" s="3" t="str" cm="1">
        <f t="array" ref="P86">IFERROR(mindat_longid(O86),"")</f>
        <v/>
      </c>
      <c r="Q86" s="1" t="str">
        <f>IFERROR(VLOOKUP(O86, [1]meteoriteQuery!$D$2:$E$540,2,FALSE),"")</f>
        <v/>
      </c>
      <c r="R86" s="1" t="s">
        <v>329</v>
      </c>
      <c r="S86" s="1">
        <f>IFERROR(VLOOKUP(C86,[1]meteoriteQuery!$D$2:$F$517,1,FALSE),"")</f>
        <v>49587</v>
      </c>
    </row>
    <row r="87" spans="1:19" x14ac:dyDescent="0.25">
      <c r="A87" s="1">
        <v>64</v>
      </c>
      <c r="B87" s="1" t="s">
        <v>332</v>
      </c>
      <c r="C87" s="1">
        <v>49588</v>
      </c>
      <c r="D87" s="1" t="s">
        <v>330</v>
      </c>
      <c r="E87" s="1" t="s">
        <v>331</v>
      </c>
      <c r="F87" s="1">
        <v>7</v>
      </c>
      <c r="G87" s="1" t="s">
        <v>14</v>
      </c>
      <c r="H87" s="1" t="s">
        <v>333</v>
      </c>
      <c r="I87" s="1"/>
      <c r="J87" s="1">
        <v>50445</v>
      </c>
      <c r="K87" s="1" t="str">
        <f t="shared" si="2"/>
        <v>1:1:50445:0</v>
      </c>
      <c r="L87" s="1">
        <v>0</v>
      </c>
      <c r="M87" s="3" t="str">
        <f t="shared" si="3"/>
        <v/>
      </c>
      <c r="N87" s="1">
        <v>0</v>
      </c>
      <c r="O87" s="1" t="s">
        <v>2249</v>
      </c>
      <c r="P87" s="3" t="str" cm="1">
        <f t="array" ref="P87">IFERROR(mindat_longid(O87),"")</f>
        <v/>
      </c>
      <c r="Q87" s="1" t="str">
        <f>IFERROR(VLOOKUP(O87, [1]meteoriteQuery!$D$2:$E$540,2,FALSE),"")</f>
        <v/>
      </c>
      <c r="R87" s="1" t="s">
        <v>334</v>
      </c>
      <c r="S87" s="1">
        <f>IFERROR(VLOOKUP(C87,[1]meteoriteQuery!$D$2:$F$517,1,FALSE),"")</f>
        <v>49588</v>
      </c>
    </row>
    <row r="88" spans="1:19" x14ac:dyDescent="0.25">
      <c r="A88" s="1">
        <v>65</v>
      </c>
      <c r="B88" s="1" t="s">
        <v>337</v>
      </c>
      <c r="C88" s="1">
        <v>49589</v>
      </c>
      <c r="D88" s="1" t="s">
        <v>335</v>
      </c>
      <c r="E88" s="1" t="s">
        <v>336</v>
      </c>
      <c r="F88" s="1">
        <v>7</v>
      </c>
      <c r="G88" s="1" t="s">
        <v>14</v>
      </c>
      <c r="H88" s="1" t="s">
        <v>338</v>
      </c>
      <c r="I88" s="1"/>
      <c r="J88" s="1">
        <v>50445</v>
      </c>
      <c r="K88" s="1" t="str">
        <f t="shared" si="2"/>
        <v>1:1:50445:0</v>
      </c>
      <c r="L88" s="1">
        <v>0</v>
      </c>
      <c r="M88" s="3" t="str">
        <f t="shared" si="3"/>
        <v/>
      </c>
      <c r="N88" s="1">
        <v>0</v>
      </c>
      <c r="O88" s="1" t="s">
        <v>2249</v>
      </c>
      <c r="P88" s="3" t="str" cm="1">
        <f t="array" ref="P88">IFERROR(mindat_longid(O88),"")</f>
        <v/>
      </c>
      <c r="Q88" s="1" t="str">
        <f>IFERROR(VLOOKUP(O88, [1]meteoriteQuery!$D$2:$E$540,2,FALSE),"")</f>
        <v/>
      </c>
      <c r="R88" s="1" t="s">
        <v>339</v>
      </c>
      <c r="S88" s="1">
        <f>IFERROR(VLOOKUP(C88,[1]meteoriteQuery!$D$2:$F$517,1,FALSE),"")</f>
        <v>49589</v>
      </c>
    </row>
    <row r="89" spans="1:19" x14ac:dyDescent="0.25">
      <c r="A89" s="1">
        <v>66</v>
      </c>
      <c r="B89" s="1" t="s">
        <v>342</v>
      </c>
      <c r="C89" s="1">
        <v>49590</v>
      </c>
      <c r="D89" s="1" t="s">
        <v>340</v>
      </c>
      <c r="E89" s="1" t="s">
        <v>341</v>
      </c>
      <c r="F89" s="1">
        <v>7</v>
      </c>
      <c r="G89" s="1" t="s">
        <v>14</v>
      </c>
      <c r="H89" s="1" t="s">
        <v>343</v>
      </c>
      <c r="I89" s="1"/>
      <c r="J89" s="1">
        <v>50445</v>
      </c>
      <c r="K89" s="1" t="str">
        <f t="shared" si="2"/>
        <v>1:1:50445:0</v>
      </c>
      <c r="L89" s="1">
        <v>0</v>
      </c>
      <c r="M89" s="3" t="str">
        <f t="shared" si="3"/>
        <v/>
      </c>
      <c r="N89" s="1">
        <v>0</v>
      </c>
      <c r="O89" s="1" t="s">
        <v>2249</v>
      </c>
      <c r="P89" s="3" t="str" cm="1">
        <f t="array" ref="P89">IFERROR(mindat_longid(O89),"")</f>
        <v/>
      </c>
      <c r="Q89" s="1" t="str">
        <f>IFERROR(VLOOKUP(O89, [1]meteoriteQuery!$D$2:$E$540,2,FALSE),"")</f>
        <v/>
      </c>
      <c r="R89" s="1" t="s">
        <v>344</v>
      </c>
      <c r="S89" s="1">
        <f>IFERROR(VLOOKUP(C89,[1]meteoriteQuery!$D$2:$F$517,1,FALSE),"")</f>
        <v>49590</v>
      </c>
    </row>
    <row r="90" spans="1:19" x14ac:dyDescent="0.25">
      <c r="A90" s="1">
        <v>67</v>
      </c>
      <c r="B90" s="1" t="s">
        <v>347</v>
      </c>
      <c r="C90" s="1">
        <v>49591</v>
      </c>
      <c r="D90" s="1" t="s">
        <v>345</v>
      </c>
      <c r="E90" s="1" t="s">
        <v>346</v>
      </c>
      <c r="F90" s="1">
        <v>7</v>
      </c>
      <c r="G90" s="1" t="s">
        <v>14</v>
      </c>
      <c r="H90" s="1" t="s">
        <v>348</v>
      </c>
      <c r="I90" s="1"/>
      <c r="J90" s="1">
        <v>50445</v>
      </c>
      <c r="K90" s="1" t="str">
        <f t="shared" si="2"/>
        <v>1:1:50445:0</v>
      </c>
      <c r="L90" s="1">
        <v>49609</v>
      </c>
      <c r="M90" s="3" t="str">
        <f t="shared" si="3"/>
        <v>1:1:49609:0</v>
      </c>
      <c r="N90" s="1">
        <v>0</v>
      </c>
      <c r="O90" s="1" t="s">
        <v>2249</v>
      </c>
      <c r="P90" s="3" t="str" cm="1">
        <f t="array" ref="P90">IFERROR(mindat_longid(O90),"")</f>
        <v/>
      </c>
      <c r="Q90" s="1" t="str">
        <f>IFERROR(VLOOKUP(O90, [1]meteoriteQuery!$D$2:$E$540,2,FALSE),"")</f>
        <v/>
      </c>
      <c r="R90" s="1" t="s">
        <v>349</v>
      </c>
      <c r="S90" s="1">
        <f>IFERROR(VLOOKUP(C90,[1]meteoriteQuery!$D$2:$F$517,1,FALSE),"")</f>
        <v>49591</v>
      </c>
    </row>
    <row r="91" spans="1:19" x14ac:dyDescent="0.25">
      <c r="A91" s="1">
        <v>68</v>
      </c>
      <c r="B91" s="1" t="s">
        <v>352</v>
      </c>
      <c r="C91" s="1">
        <v>49592</v>
      </c>
      <c r="D91" s="1" t="s">
        <v>350</v>
      </c>
      <c r="E91" s="1" t="s">
        <v>351</v>
      </c>
      <c r="F91" s="1">
        <v>7</v>
      </c>
      <c r="G91" s="1" t="s">
        <v>14</v>
      </c>
      <c r="H91" s="1" t="s">
        <v>353</v>
      </c>
      <c r="I91" s="1"/>
      <c r="J91" s="1">
        <v>49585</v>
      </c>
      <c r="K91" s="1" t="str">
        <f t="shared" si="2"/>
        <v>1:1:49585:1</v>
      </c>
      <c r="L91" s="1">
        <v>49606</v>
      </c>
      <c r="M91" s="3" t="str">
        <f t="shared" si="3"/>
        <v>1:1:49606:3</v>
      </c>
      <c r="N91" s="1">
        <v>0</v>
      </c>
      <c r="O91" s="1" t="s">
        <v>2249</v>
      </c>
      <c r="P91" s="3" t="str" cm="1">
        <f t="array" ref="P91">IFERROR(mindat_longid(O91),"")</f>
        <v/>
      </c>
      <c r="Q91" s="1" t="str">
        <f>IFERROR(VLOOKUP(O91, [1]meteoriteQuery!$D$2:$E$540,2,FALSE),"")</f>
        <v/>
      </c>
      <c r="R91" s="1" t="s">
        <v>354</v>
      </c>
      <c r="S91" s="1">
        <f>IFERROR(VLOOKUP(C91,[1]meteoriteQuery!$D$2:$F$517,1,FALSE),"")</f>
        <v>49592</v>
      </c>
    </row>
    <row r="92" spans="1:19" x14ac:dyDescent="0.25">
      <c r="A92" s="1">
        <v>69</v>
      </c>
      <c r="B92" s="1" t="s">
        <v>357</v>
      </c>
      <c r="C92" s="1">
        <v>49593</v>
      </c>
      <c r="D92" s="1" t="s">
        <v>355</v>
      </c>
      <c r="E92" s="1" t="s">
        <v>356</v>
      </c>
      <c r="F92" s="1">
        <v>7</v>
      </c>
      <c r="G92" s="1" t="s">
        <v>14</v>
      </c>
      <c r="H92" s="1" t="s">
        <v>358</v>
      </c>
      <c r="I92" s="1"/>
      <c r="J92" s="1">
        <v>49585</v>
      </c>
      <c r="K92" s="1" t="str">
        <f t="shared" si="2"/>
        <v>1:1:49585:1</v>
      </c>
      <c r="L92" s="1">
        <v>0</v>
      </c>
      <c r="M92" s="3" t="str">
        <f t="shared" si="3"/>
        <v/>
      </c>
      <c r="N92" s="1">
        <v>0</v>
      </c>
      <c r="O92" s="1" t="s">
        <v>2249</v>
      </c>
      <c r="P92" s="3" t="str" cm="1">
        <f t="array" ref="P92">IFERROR(mindat_longid(O92),"")</f>
        <v/>
      </c>
      <c r="Q92" s="1" t="str">
        <f>IFERROR(VLOOKUP(O92, [1]meteoriteQuery!$D$2:$E$540,2,FALSE),"")</f>
        <v/>
      </c>
      <c r="R92" s="1" t="s">
        <v>359</v>
      </c>
      <c r="S92" s="1">
        <f>IFERROR(VLOOKUP(C92,[1]meteoriteQuery!$D$2:$F$517,1,FALSE),"")</f>
        <v>49593</v>
      </c>
    </row>
    <row r="93" spans="1:19" x14ac:dyDescent="0.25">
      <c r="A93" s="1">
        <v>70</v>
      </c>
      <c r="B93" s="1" t="s">
        <v>362</v>
      </c>
      <c r="C93" s="1">
        <v>49595</v>
      </c>
      <c r="D93" s="1" t="s">
        <v>360</v>
      </c>
      <c r="E93" s="1" t="s">
        <v>361</v>
      </c>
      <c r="F93" s="1">
        <v>7</v>
      </c>
      <c r="G93" s="1" t="s">
        <v>14</v>
      </c>
      <c r="H93" s="1" t="s">
        <v>363</v>
      </c>
      <c r="I93" s="1"/>
      <c r="J93" s="1">
        <v>49586</v>
      </c>
      <c r="K93" s="1" t="str">
        <f t="shared" si="2"/>
        <v>1:1:49586:0</v>
      </c>
      <c r="L93" s="1">
        <v>0</v>
      </c>
      <c r="M93" s="3" t="str">
        <f t="shared" si="3"/>
        <v/>
      </c>
      <c r="N93" s="1">
        <v>0</v>
      </c>
      <c r="O93" s="1" t="s">
        <v>2249</v>
      </c>
      <c r="P93" s="3" t="str" cm="1">
        <f t="array" ref="P93">IFERROR(mindat_longid(O93),"")</f>
        <v/>
      </c>
      <c r="Q93" s="1" t="str">
        <f>IFERROR(VLOOKUP(O93, [1]meteoriteQuery!$D$2:$E$540,2,FALSE),"")</f>
        <v/>
      </c>
      <c r="R93" s="1" t="s">
        <v>364</v>
      </c>
      <c r="S93" s="1">
        <f>IFERROR(VLOOKUP(C93,[1]meteoriteQuery!$D$2:$F$517,1,FALSE),"")</f>
        <v>49595</v>
      </c>
    </row>
    <row r="94" spans="1:19" x14ac:dyDescent="0.25">
      <c r="A94" s="1">
        <v>71</v>
      </c>
      <c r="B94" s="1" t="s">
        <v>367</v>
      </c>
      <c r="C94" s="1">
        <v>49596</v>
      </c>
      <c r="D94" s="1" t="s">
        <v>365</v>
      </c>
      <c r="E94" s="1" t="s">
        <v>366</v>
      </c>
      <c r="F94" s="1">
        <v>7</v>
      </c>
      <c r="G94" s="1" t="s">
        <v>14</v>
      </c>
      <c r="H94" s="1" t="s">
        <v>368</v>
      </c>
      <c r="I94" s="1"/>
      <c r="J94" s="1">
        <v>49586</v>
      </c>
      <c r="K94" s="1" t="str">
        <f t="shared" si="2"/>
        <v>1:1:49586:0</v>
      </c>
      <c r="L94" s="1">
        <v>0</v>
      </c>
      <c r="M94" s="3" t="str">
        <f t="shared" si="3"/>
        <v/>
      </c>
      <c r="N94" s="1">
        <v>0</v>
      </c>
      <c r="O94" s="1" t="s">
        <v>2249</v>
      </c>
      <c r="P94" s="3" t="str" cm="1">
        <f t="array" ref="P94">IFERROR(mindat_longid(O94),"")</f>
        <v/>
      </c>
      <c r="Q94" s="1" t="str">
        <f>IFERROR(VLOOKUP(O94, [1]meteoriteQuery!$D$2:$E$540,2,FALSE),"")</f>
        <v/>
      </c>
      <c r="R94" s="1" t="s">
        <v>369</v>
      </c>
      <c r="S94" s="1">
        <f>IFERROR(VLOOKUP(C94,[1]meteoriteQuery!$D$2:$F$517,1,FALSE),"")</f>
        <v>49596</v>
      </c>
    </row>
    <row r="95" spans="1:19" x14ac:dyDescent="0.25">
      <c r="A95" s="1">
        <v>72</v>
      </c>
      <c r="B95" s="1" t="s">
        <v>372</v>
      </c>
      <c r="C95" s="1">
        <v>49597</v>
      </c>
      <c r="D95" s="1" t="s">
        <v>370</v>
      </c>
      <c r="E95" s="1" t="s">
        <v>371</v>
      </c>
      <c r="F95" s="1">
        <v>7</v>
      </c>
      <c r="G95" s="1" t="s">
        <v>14</v>
      </c>
      <c r="H95" s="1" t="s">
        <v>373</v>
      </c>
      <c r="I95" s="1"/>
      <c r="J95" s="1">
        <v>49585</v>
      </c>
      <c r="K95" s="1" t="str">
        <f t="shared" si="2"/>
        <v>1:1:49585:1</v>
      </c>
      <c r="L95" s="1">
        <v>0</v>
      </c>
      <c r="M95" s="3" t="str">
        <f t="shared" si="3"/>
        <v/>
      </c>
      <c r="N95" s="1">
        <v>0</v>
      </c>
      <c r="O95" s="1">
        <v>49598</v>
      </c>
      <c r="P95" s="3" t="str" cm="1">
        <f t="array" ref="P95">IFERROR(mindat_longid(O95),"")</f>
        <v>1:1:49598:5</v>
      </c>
      <c r="Q95" s="1" t="str">
        <f>IFERROR(VLOOKUP(O95, [1]meteoriteQuery!$D$2:$E$540,2,FALSE),"")</f>
        <v>H.3.05 chondrite meteorite</v>
      </c>
      <c r="R95" s="1" t="s">
        <v>374</v>
      </c>
      <c r="S95" s="1">
        <f>IFERROR(VLOOKUP(C95,[1]meteoriteQuery!$D$2:$F$517,1,FALSE),"")</f>
        <v>49597</v>
      </c>
    </row>
    <row r="96" spans="1:19" x14ac:dyDescent="0.25">
      <c r="A96" s="1">
        <v>73</v>
      </c>
      <c r="B96" s="1" t="s">
        <v>377</v>
      </c>
      <c r="C96" s="1">
        <v>49599</v>
      </c>
      <c r="D96" s="1" t="s">
        <v>375</v>
      </c>
      <c r="E96" s="1" t="s">
        <v>376</v>
      </c>
      <c r="F96" s="1">
        <v>7</v>
      </c>
      <c r="G96" s="1" t="s">
        <v>14</v>
      </c>
      <c r="H96" s="1" t="s">
        <v>378</v>
      </c>
      <c r="I96" s="1"/>
      <c r="J96" s="1">
        <v>49585</v>
      </c>
      <c r="K96" s="1" t="str">
        <f t="shared" si="2"/>
        <v>1:1:49585:1</v>
      </c>
      <c r="L96" s="1">
        <v>0</v>
      </c>
      <c r="M96" s="3" t="str">
        <f t="shared" si="3"/>
        <v/>
      </c>
      <c r="N96" s="1">
        <v>0</v>
      </c>
      <c r="O96" s="1" t="s">
        <v>2249</v>
      </c>
      <c r="P96" s="3" t="str" cm="1">
        <f t="array" ref="P96">IFERROR(mindat_longid(O96),"")</f>
        <v/>
      </c>
      <c r="Q96" s="1" t="str">
        <f>IFERROR(VLOOKUP(O96, [1]meteoriteQuery!$D$2:$E$540,2,FALSE),"")</f>
        <v/>
      </c>
      <c r="R96" s="1" t="s">
        <v>379</v>
      </c>
      <c r="S96" s="1">
        <f>IFERROR(VLOOKUP(C96,[1]meteoriteQuery!$D$2:$F$517,1,FALSE),"")</f>
        <v>49599</v>
      </c>
    </row>
    <row r="97" spans="1:19" x14ac:dyDescent="0.25">
      <c r="A97" s="1">
        <v>74</v>
      </c>
      <c r="B97" s="1" t="s">
        <v>382</v>
      </c>
      <c r="C97" s="1">
        <v>49600</v>
      </c>
      <c r="D97" s="1" t="s">
        <v>380</v>
      </c>
      <c r="E97" s="1" t="s">
        <v>381</v>
      </c>
      <c r="F97" s="1">
        <v>7</v>
      </c>
      <c r="G97" s="1" t="s">
        <v>14</v>
      </c>
      <c r="H97" s="1" t="s">
        <v>383</v>
      </c>
      <c r="I97" s="1"/>
      <c r="J97" s="1">
        <v>49585</v>
      </c>
      <c r="K97" s="1" t="str">
        <f t="shared" si="2"/>
        <v>1:1:49585:1</v>
      </c>
      <c r="L97" s="1">
        <v>0</v>
      </c>
      <c r="M97" s="3" t="str">
        <f t="shared" si="3"/>
        <v/>
      </c>
      <c r="N97" s="1">
        <v>0</v>
      </c>
      <c r="O97" s="1" t="s">
        <v>2251</v>
      </c>
      <c r="P97" s="3" t="str" cm="1">
        <f t="array" ref="P97">IFERROR(mindat_longid(O97),"")</f>
        <v>-9999</v>
      </c>
      <c r="Q97" s="1" t="s">
        <v>2459</v>
      </c>
      <c r="R97" s="1" t="s">
        <v>384</v>
      </c>
      <c r="S97" s="1">
        <f>IFERROR(VLOOKUP(C97,[1]meteoriteQuery!$D$2:$F$517,1,FALSE),"")</f>
        <v>49600</v>
      </c>
    </row>
    <row r="98" spans="1:19" x14ac:dyDescent="0.25">
      <c r="A98" s="1">
        <v>75</v>
      </c>
      <c r="B98" s="1" t="s">
        <v>387</v>
      </c>
      <c r="C98" s="1">
        <v>49603</v>
      </c>
      <c r="D98" s="1" t="s">
        <v>385</v>
      </c>
      <c r="E98" s="1" t="s">
        <v>386</v>
      </c>
      <c r="F98" s="1">
        <v>7</v>
      </c>
      <c r="G98" s="1" t="s">
        <v>14</v>
      </c>
      <c r="H98" s="1" t="s">
        <v>388</v>
      </c>
      <c r="I98" s="1"/>
      <c r="J98" s="1">
        <v>49585</v>
      </c>
      <c r="K98" s="1" t="str">
        <f t="shared" si="2"/>
        <v>1:1:49585:1</v>
      </c>
      <c r="L98" s="1">
        <v>0</v>
      </c>
      <c r="M98" s="3" t="str">
        <f t="shared" si="3"/>
        <v/>
      </c>
      <c r="N98" s="1">
        <v>0</v>
      </c>
      <c r="O98" s="1" t="s">
        <v>2249</v>
      </c>
      <c r="P98" s="3" t="str" cm="1">
        <f t="array" ref="P98">IFERROR(mindat_longid(O98),"")</f>
        <v/>
      </c>
      <c r="Q98" s="1" t="str">
        <f>IFERROR(VLOOKUP(O98, [1]meteoriteQuery!$D$2:$E$540,2,FALSE),"")</f>
        <v/>
      </c>
      <c r="R98" s="1" t="s">
        <v>389</v>
      </c>
      <c r="S98" s="1">
        <f>IFERROR(VLOOKUP(C98,[1]meteoriteQuery!$D$2:$F$517,1,FALSE),"")</f>
        <v>49603</v>
      </c>
    </row>
    <row r="99" spans="1:19" x14ac:dyDescent="0.25">
      <c r="A99" s="1">
        <v>76</v>
      </c>
      <c r="B99" s="1" t="s">
        <v>392</v>
      </c>
      <c r="C99" s="1">
        <v>49604</v>
      </c>
      <c r="D99" s="1" t="s">
        <v>390</v>
      </c>
      <c r="E99" s="1" t="s">
        <v>391</v>
      </c>
      <c r="F99" s="1">
        <v>7</v>
      </c>
      <c r="G99" s="1" t="s">
        <v>14</v>
      </c>
      <c r="H99" s="1" t="s">
        <v>393</v>
      </c>
      <c r="I99" s="1"/>
      <c r="J99" s="1">
        <v>49585</v>
      </c>
      <c r="K99" s="1" t="str">
        <f t="shared" si="2"/>
        <v>1:1:49585:1</v>
      </c>
      <c r="L99" s="1">
        <v>0</v>
      </c>
      <c r="M99" s="3" t="str">
        <f t="shared" si="3"/>
        <v/>
      </c>
      <c r="N99" s="1">
        <v>0</v>
      </c>
      <c r="O99" s="1" t="s">
        <v>2249</v>
      </c>
      <c r="P99" s="3" t="str" cm="1">
        <f t="array" ref="P99">IFERROR(mindat_longid(O99),"")</f>
        <v/>
      </c>
      <c r="Q99" s="1" t="str">
        <f>IFERROR(VLOOKUP(O99, [1]meteoriteQuery!$D$2:$E$540,2,FALSE),"")</f>
        <v/>
      </c>
      <c r="R99" s="1" t="s">
        <v>394</v>
      </c>
      <c r="S99" s="1">
        <f>IFERROR(VLOOKUP(C99,[1]meteoriteQuery!$D$2:$F$517,1,FALSE),"")</f>
        <v>49604</v>
      </c>
    </row>
    <row r="100" spans="1:19" x14ac:dyDescent="0.25">
      <c r="A100" s="1">
        <v>77</v>
      </c>
      <c r="B100" s="1" t="s">
        <v>397</v>
      </c>
      <c r="C100" s="1">
        <v>49606</v>
      </c>
      <c r="D100" s="1" t="s">
        <v>395</v>
      </c>
      <c r="E100" s="1" t="s">
        <v>396</v>
      </c>
      <c r="F100" s="1">
        <v>7</v>
      </c>
      <c r="G100" s="1" t="s">
        <v>14</v>
      </c>
      <c r="H100" s="1" t="s">
        <v>398</v>
      </c>
      <c r="I100" s="1"/>
      <c r="J100" s="1">
        <v>49584</v>
      </c>
      <c r="K100" s="1" t="str">
        <f t="shared" si="2"/>
        <v>1:1:49584:2</v>
      </c>
      <c r="L100" s="1">
        <v>49843</v>
      </c>
      <c r="M100" s="3" t="str">
        <f t="shared" si="3"/>
        <v>1:1:49843:2</v>
      </c>
      <c r="N100" s="1">
        <v>1</v>
      </c>
      <c r="O100" s="1" t="s">
        <v>2249</v>
      </c>
      <c r="P100" s="3" t="str" cm="1">
        <f t="array" ref="P100">IFERROR(mindat_longid(O100),"")</f>
        <v/>
      </c>
      <c r="Q100" s="1" t="str">
        <f>IFERROR(VLOOKUP(O100, [1]meteoriteQuery!$D$2:$E$540,2,FALSE),"")</f>
        <v/>
      </c>
      <c r="R100" s="1" t="s">
        <v>399</v>
      </c>
      <c r="S100" s="1">
        <f>IFERROR(VLOOKUP(C100,[1]meteoriteQuery!$D$2:$F$517,1,FALSE),"")</f>
        <v>49606</v>
      </c>
    </row>
    <row r="101" spans="1:19" x14ac:dyDescent="0.25">
      <c r="A101" s="1">
        <v>78</v>
      </c>
      <c r="B101" s="1" t="s">
        <v>402</v>
      </c>
      <c r="C101" s="1">
        <v>49607</v>
      </c>
      <c r="D101" s="1" t="s">
        <v>400</v>
      </c>
      <c r="E101" s="1" t="s">
        <v>401</v>
      </c>
      <c r="F101" s="1">
        <v>7</v>
      </c>
      <c r="G101" s="1" t="s">
        <v>14</v>
      </c>
      <c r="H101" s="1" t="s">
        <v>403</v>
      </c>
      <c r="I101" s="1"/>
      <c r="J101" s="1">
        <v>49606</v>
      </c>
      <c r="K101" s="1" t="str">
        <f t="shared" si="2"/>
        <v>1:1:49606:3</v>
      </c>
      <c r="L101" s="1">
        <v>0</v>
      </c>
      <c r="M101" s="3" t="str">
        <f t="shared" si="3"/>
        <v/>
      </c>
      <c r="N101" s="1">
        <v>0</v>
      </c>
      <c r="O101" s="1" t="s">
        <v>2249</v>
      </c>
      <c r="P101" s="3" t="str" cm="1">
        <f t="array" ref="P101">IFERROR(mindat_longid(O101),"")</f>
        <v/>
      </c>
      <c r="Q101" s="1" t="str">
        <f>IFERROR(VLOOKUP(O101, [1]meteoriteQuery!$D$2:$E$540,2,FALSE),"")</f>
        <v/>
      </c>
      <c r="R101" s="1" t="s">
        <v>404</v>
      </c>
      <c r="S101" s="1">
        <f>IFERROR(VLOOKUP(C101,[1]meteoriteQuery!$D$2:$F$517,1,FALSE),"")</f>
        <v>49607</v>
      </c>
    </row>
    <row r="102" spans="1:19" x14ac:dyDescent="0.25">
      <c r="A102" s="1">
        <v>79</v>
      </c>
      <c r="B102" s="1" t="s">
        <v>407</v>
      </c>
      <c r="C102" s="1">
        <v>49608</v>
      </c>
      <c r="D102" s="1" t="s">
        <v>405</v>
      </c>
      <c r="E102" s="1" t="s">
        <v>406</v>
      </c>
      <c r="F102" s="1">
        <v>7</v>
      </c>
      <c r="G102" s="1" t="s">
        <v>14</v>
      </c>
      <c r="H102" s="1" t="s">
        <v>408</v>
      </c>
      <c r="I102" s="1"/>
      <c r="J102" s="1">
        <v>49606</v>
      </c>
      <c r="K102" s="1" t="str">
        <f t="shared" si="2"/>
        <v>1:1:49606:3</v>
      </c>
      <c r="L102" s="1">
        <v>0</v>
      </c>
      <c r="M102" s="3" t="str">
        <f t="shared" si="3"/>
        <v/>
      </c>
      <c r="N102" s="1">
        <v>0</v>
      </c>
      <c r="O102" s="1" t="s">
        <v>2249</v>
      </c>
      <c r="P102" s="3" t="str" cm="1">
        <f t="array" ref="P102">IFERROR(mindat_longid(O102),"")</f>
        <v/>
      </c>
      <c r="Q102" s="1" t="str">
        <f>IFERROR(VLOOKUP(O102, [1]meteoriteQuery!$D$2:$E$540,2,FALSE),"")</f>
        <v/>
      </c>
      <c r="R102" s="1" t="s">
        <v>409</v>
      </c>
      <c r="S102" s="1">
        <f>IFERROR(VLOOKUP(C102,[1]meteoriteQuery!$D$2:$F$517,1,FALSE),"")</f>
        <v>49608</v>
      </c>
    </row>
    <row r="103" spans="1:19" x14ac:dyDescent="0.25">
      <c r="A103" s="1">
        <v>80</v>
      </c>
      <c r="B103" s="1" t="s">
        <v>412</v>
      </c>
      <c r="C103" s="1">
        <v>49609</v>
      </c>
      <c r="D103" s="1" t="s">
        <v>410</v>
      </c>
      <c r="E103" s="1" t="s">
        <v>411</v>
      </c>
      <c r="F103" s="1">
        <v>7</v>
      </c>
      <c r="G103" s="1" t="s">
        <v>14</v>
      </c>
      <c r="H103" s="1" t="s">
        <v>413</v>
      </c>
      <c r="I103" s="1"/>
      <c r="J103" s="1">
        <v>49606</v>
      </c>
      <c r="K103" s="1" t="str">
        <f t="shared" si="2"/>
        <v>1:1:49606:3</v>
      </c>
      <c r="L103" s="1">
        <v>49695</v>
      </c>
      <c r="M103" s="3" t="str">
        <f t="shared" si="3"/>
        <v>1:1:49695:7</v>
      </c>
      <c r="N103" s="1">
        <v>0</v>
      </c>
      <c r="O103" s="1" t="s">
        <v>2249</v>
      </c>
      <c r="P103" s="3" t="str" cm="1">
        <f t="array" ref="P103">IFERROR(mindat_longid(O103),"")</f>
        <v/>
      </c>
      <c r="Q103" s="1" t="str">
        <f>IFERROR(VLOOKUP(O103, [1]meteoriteQuery!$D$2:$E$540,2,FALSE),"")</f>
        <v/>
      </c>
      <c r="R103" s="1" t="s">
        <v>414</v>
      </c>
      <c r="S103" s="1">
        <f>IFERROR(VLOOKUP(C103,[1]meteoriteQuery!$D$2:$F$517,1,FALSE),"")</f>
        <v>49609</v>
      </c>
    </row>
    <row r="104" spans="1:19" x14ac:dyDescent="0.25">
      <c r="A104" s="1">
        <v>81</v>
      </c>
      <c r="B104" s="1" t="s">
        <v>417</v>
      </c>
      <c r="C104" s="1">
        <v>49610</v>
      </c>
      <c r="D104" s="1" t="s">
        <v>415</v>
      </c>
      <c r="E104" s="1" t="s">
        <v>416</v>
      </c>
      <c r="F104" s="1">
        <v>7</v>
      </c>
      <c r="G104" s="1" t="s">
        <v>14</v>
      </c>
      <c r="H104" s="1" t="s">
        <v>418</v>
      </c>
      <c r="I104" s="1"/>
      <c r="J104" s="1">
        <v>49609</v>
      </c>
      <c r="K104" s="1" t="str">
        <f t="shared" si="2"/>
        <v>1:1:49609:0</v>
      </c>
      <c r="L104" s="1">
        <v>49617</v>
      </c>
      <c r="M104" s="3" t="str">
        <f t="shared" si="3"/>
        <v>1:1:49617:9</v>
      </c>
      <c r="N104" s="1">
        <v>0</v>
      </c>
      <c r="O104" s="1" t="s">
        <v>2249</v>
      </c>
      <c r="P104" s="3" t="str" cm="1">
        <f t="array" ref="P104">IFERROR(mindat_longid(O104),"")</f>
        <v/>
      </c>
      <c r="Q104" s="1" t="str">
        <f>IFERROR(VLOOKUP(O104, [1]meteoriteQuery!$D$2:$E$540,2,FALSE),"")</f>
        <v/>
      </c>
      <c r="R104" s="1" t="s">
        <v>419</v>
      </c>
      <c r="S104" s="1">
        <f>IFERROR(VLOOKUP(C104,[1]meteoriteQuery!$D$2:$F$517,1,FALSE),"")</f>
        <v>49610</v>
      </c>
    </row>
    <row r="105" spans="1:19" x14ac:dyDescent="0.25">
      <c r="A105" s="1">
        <v>82</v>
      </c>
      <c r="B105" s="1" t="s">
        <v>422</v>
      </c>
      <c r="C105" s="1">
        <v>49612</v>
      </c>
      <c r="D105" s="1" t="s">
        <v>420</v>
      </c>
      <c r="E105" s="1" t="s">
        <v>421</v>
      </c>
      <c r="F105" s="1">
        <v>7</v>
      </c>
      <c r="G105" s="1" t="s">
        <v>14</v>
      </c>
      <c r="H105" s="1" t="s">
        <v>423</v>
      </c>
      <c r="I105" s="1"/>
      <c r="J105" s="1">
        <v>49606</v>
      </c>
      <c r="K105" s="1" t="str">
        <f t="shared" si="2"/>
        <v>1:1:49606:3</v>
      </c>
      <c r="L105" s="1">
        <v>0</v>
      </c>
      <c r="M105" s="3" t="str">
        <f t="shared" si="3"/>
        <v/>
      </c>
      <c r="N105" s="1">
        <v>0</v>
      </c>
      <c r="O105" s="1" t="s">
        <v>2249</v>
      </c>
      <c r="P105" s="3" t="str" cm="1">
        <f t="array" ref="P105">IFERROR(mindat_longid(O105),"")</f>
        <v/>
      </c>
      <c r="Q105" s="1" t="str">
        <f>IFERROR(VLOOKUP(O105, [1]meteoriteQuery!$D$2:$E$540,2,FALSE),"")</f>
        <v/>
      </c>
      <c r="R105" s="1" t="s">
        <v>424</v>
      </c>
      <c r="S105" s="1">
        <f>IFERROR(VLOOKUP(C105,[1]meteoriteQuery!$D$2:$F$517,1,FALSE),"")</f>
        <v>49612</v>
      </c>
    </row>
    <row r="106" spans="1:19" x14ac:dyDescent="0.25">
      <c r="A106" s="1">
        <v>83</v>
      </c>
      <c r="B106" s="1" t="s">
        <v>427</v>
      </c>
      <c r="C106" s="1">
        <v>49614</v>
      </c>
      <c r="D106" s="1" t="s">
        <v>425</v>
      </c>
      <c r="E106" s="1" t="s">
        <v>426</v>
      </c>
      <c r="F106" s="1">
        <v>7</v>
      </c>
      <c r="G106" s="1" t="s">
        <v>14</v>
      </c>
      <c r="H106" s="1" t="s">
        <v>428</v>
      </c>
      <c r="I106" s="1"/>
      <c r="J106" s="1">
        <v>49584</v>
      </c>
      <c r="K106" s="1" t="str">
        <f t="shared" si="2"/>
        <v>1:1:49584:2</v>
      </c>
      <c r="L106" s="1">
        <v>49844</v>
      </c>
      <c r="M106" s="3" t="str">
        <f t="shared" si="3"/>
        <v>1:1:49844:1</v>
      </c>
      <c r="N106" s="1">
        <v>1</v>
      </c>
      <c r="O106" s="1" t="s">
        <v>2249</v>
      </c>
      <c r="P106" s="3" t="str" cm="1">
        <f t="array" ref="P106">IFERROR(mindat_longid(O106),"")</f>
        <v/>
      </c>
      <c r="Q106" s="1" t="str">
        <f>IFERROR(VLOOKUP(O106, [1]meteoriteQuery!$D$2:$E$540,2,FALSE),"")</f>
        <v/>
      </c>
      <c r="R106" s="1" t="s">
        <v>429</v>
      </c>
      <c r="S106" s="1">
        <f>IFERROR(VLOOKUP(C106,[1]meteoriteQuery!$D$2:$F$517,1,FALSE),"")</f>
        <v>49614</v>
      </c>
    </row>
    <row r="107" spans="1:19" x14ac:dyDescent="0.25">
      <c r="A107" s="1">
        <v>84</v>
      </c>
      <c r="B107" s="1" t="s">
        <v>432</v>
      </c>
      <c r="C107" s="1">
        <v>49615</v>
      </c>
      <c r="D107" s="1" t="s">
        <v>430</v>
      </c>
      <c r="E107" s="1" t="s">
        <v>431</v>
      </c>
      <c r="F107" s="1">
        <v>7</v>
      </c>
      <c r="G107" s="1" t="s">
        <v>14</v>
      </c>
      <c r="H107" s="1" t="s">
        <v>433</v>
      </c>
      <c r="I107" s="1"/>
      <c r="J107" s="1">
        <v>49614</v>
      </c>
      <c r="K107" s="1" t="str">
        <f t="shared" si="2"/>
        <v>1:1:49614:2</v>
      </c>
      <c r="L107" s="1">
        <v>0</v>
      </c>
      <c r="M107" s="3" t="str">
        <f t="shared" si="3"/>
        <v/>
      </c>
      <c r="N107" s="1">
        <v>0</v>
      </c>
      <c r="O107" s="1" t="s">
        <v>2249</v>
      </c>
      <c r="P107" s="3" t="str" cm="1">
        <f t="array" ref="P107">IFERROR(mindat_longid(O107),"")</f>
        <v/>
      </c>
      <c r="Q107" s="1" t="str">
        <f>IFERROR(VLOOKUP(O107, [1]meteoriteQuery!$D$2:$E$540,2,FALSE),"")</f>
        <v/>
      </c>
      <c r="R107" s="1" t="s">
        <v>434</v>
      </c>
      <c r="S107" s="1">
        <f>IFERROR(VLOOKUP(C107,[1]meteoriteQuery!$D$2:$F$517,1,FALSE),"")</f>
        <v>49615</v>
      </c>
    </row>
    <row r="108" spans="1:19" x14ac:dyDescent="0.25">
      <c r="A108" s="1">
        <v>85</v>
      </c>
      <c r="B108" s="1" t="s">
        <v>437</v>
      </c>
      <c r="C108" s="1">
        <v>49616</v>
      </c>
      <c r="D108" s="1" t="s">
        <v>435</v>
      </c>
      <c r="E108" s="1" t="s">
        <v>436</v>
      </c>
      <c r="F108" s="1">
        <v>7</v>
      </c>
      <c r="G108" s="1" t="s">
        <v>14</v>
      </c>
      <c r="H108" s="1" t="s">
        <v>438</v>
      </c>
      <c r="I108" s="1"/>
      <c r="J108" s="1">
        <v>49614</v>
      </c>
      <c r="K108" s="1" t="str">
        <f t="shared" si="2"/>
        <v>1:1:49614:2</v>
      </c>
      <c r="L108" s="1">
        <v>0</v>
      </c>
      <c r="M108" s="3" t="str">
        <f t="shared" si="3"/>
        <v/>
      </c>
      <c r="N108" s="1">
        <v>0</v>
      </c>
      <c r="O108" s="1" t="s">
        <v>2249</v>
      </c>
      <c r="P108" s="3" t="str" cm="1">
        <f t="array" ref="P108">IFERROR(mindat_longid(O108),"")</f>
        <v/>
      </c>
      <c r="Q108" s="1" t="str">
        <f>IFERROR(VLOOKUP(O108, [1]meteoriteQuery!$D$2:$E$540,2,FALSE),"")</f>
        <v/>
      </c>
      <c r="R108" s="1" t="s">
        <v>439</v>
      </c>
      <c r="S108" s="1">
        <f>IFERROR(VLOOKUP(C108,[1]meteoriteQuery!$D$2:$F$517,1,FALSE),"")</f>
        <v>49616</v>
      </c>
    </row>
    <row r="109" spans="1:19" x14ac:dyDescent="0.25">
      <c r="A109" s="1">
        <v>86</v>
      </c>
      <c r="B109" s="1" t="s">
        <v>442</v>
      </c>
      <c r="C109" s="1">
        <v>49617</v>
      </c>
      <c r="D109" s="1" t="s">
        <v>440</v>
      </c>
      <c r="E109" s="1" t="s">
        <v>441</v>
      </c>
      <c r="F109" s="1">
        <v>7</v>
      </c>
      <c r="G109" s="1" t="s">
        <v>14</v>
      </c>
      <c r="H109" s="1" t="s">
        <v>443</v>
      </c>
      <c r="I109" s="1"/>
      <c r="J109" s="1">
        <v>49614</v>
      </c>
      <c r="K109" s="1" t="str">
        <f t="shared" si="2"/>
        <v>1:1:49614:2</v>
      </c>
      <c r="L109" s="1">
        <v>0</v>
      </c>
      <c r="M109" s="3" t="str">
        <f t="shared" si="3"/>
        <v/>
      </c>
      <c r="N109" s="1">
        <v>0</v>
      </c>
      <c r="O109" s="1" t="s">
        <v>2249</v>
      </c>
      <c r="P109" s="3" t="str" cm="1">
        <f t="array" ref="P109">IFERROR(mindat_longid(O109),"")</f>
        <v/>
      </c>
      <c r="Q109" s="1" t="str">
        <f>IFERROR(VLOOKUP(O109, [1]meteoriteQuery!$D$2:$E$540,2,FALSE),"")</f>
        <v/>
      </c>
      <c r="R109" s="1" t="s">
        <v>444</v>
      </c>
      <c r="S109" s="1">
        <f>IFERROR(VLOOKUP(C109,[1]meteoriteQuery!$D$2:$F$517,1,FALSE),"")</f>
        <v>49617</v>
      </c>
    </row>
    <row r="110" spans="1:19" x14ac:dyDescent="0.25">
      <c r="A110" s="1">
        <v>87</v>
      </c>
      <c r="B110" s="1" t="s">
        <v>447</v>
      </c>
      <c r="C110" s="1">
        <v>49618</v>
      </c>
      <c r="D110" s="1" t="s">
        <v>445</v>
      </c>
      <c r="E110" s="1" t="s">
        <v>446</v>
      </c>
      <c r="F110" s="1">
        <v>7</v>
      </c>
      <c r="G110" s="1" t="s">
        <v>14</v>
      </c>
      <c r="H110" s="1" t="s">
        <v>448</v>
      </c>
      <c r="I110" s="1"/>
      <c r="J110" s="1">
        <v>49614</v>
      </c>
      <c r="K110" s="1" t="str">
        <f t="shared" si="2"/>
        <v>1:1:49614:2</v>
      </c>
      <c r="L110" s="1">
        <v>0</v>
      </c>
      <c r="M110" s="3" t="str">
        <f t="shared" si="3"/>
        <v/>
      </c>
      <c r="N110" s="1">
        <v>0</v>
      </c>
      <c r="O110" s="1" t="s">
        <v>2249</v>
      </c>
      <c r="P110" s="3" t="str" cm="1">
        <f t="array" ref="P110">IFERROR(mindat_longid(O110),"")</f>
        <v/>
      </c>
      <c r="Q110" s="1" t="str">
        <f>IFERROR(VLOOKUP(O110, [1]meteoriteQuery!$D$2:$E$540,2,FALSE),"")</f>
        <v/>
      </c>
      <c r="R110" s="1" t="s">
        <v>449</v>
      </c>
      <c r="S110" s="1">
        <f>IFERROR(VLOOKUP(C110,[1]meteoriteQuery!$D$2:$F$517,1,FALSE),"")</f>
        <v>49618</v>
      </c>
    </row>
    <row r="111" spans="1:19" x14ac:dyDescent="0.25">
      <c r="A111" s="1">
        <v>88</v>
      </c>
      <c r="B111" s="1" t="s">
        <v>452</v>
      </c>
      <c r="C111" s="1">
        <v>49619</v>
      </c>
      <c r="D111" s="1" t="s">
        <v>450</v>
      </c>
      <c r="E111" s="1" t="s">
        <v>451</v>
      </c>
      <c r="F111" s="1">
        <v>7</v>
      </c>
      <c r="G111" s="1" t="s">
        <v>14</v>
      </c>
      <c r="H111" s="1" t="s">
        <v>453</v>
      </c>
      <c r="I111" s="1"/>
      <c r="J111" s="1">
        <v>49584</v>
      </c>
      <c r="K111" s="1" t="str">
        <f t="shared" si="2"/>
        <v>1:1:49584:2</v>
      </c>
      <c r="L111" s="1">
        <v>49845</v>
      </c>
      <c r="M111" s="3" t="str">
        <f t="shared" si="3"/>
        <v>1:1:49845:0</v>
      </c>
      <c r="N111" s="1">
        <v>1</v>
      </c>
      <c r="O111" s="1" t="s">
        <v>2249</v>
      </c>
      <c r="P111" s="3" t="str" cm="1">
        <f t="array" ref="P111">IFERROR(mindat_longid(O111),"")</f>
        <v/>
      </c>
      <c r="Q111" s="1" t="str">
        <f>IFERROR(VLOOKUP(O111, [1]meteoriteQuery!$D$2:$E$540,2,FALSE),"")</f>
        <v/>
      </c>
      <c r="R111" s="1" t="s">
        <v>454</v>
      </c>
      <c r="S111" s="1">
        <f>IFERROR(VLOOKUP(C111,[1]meteoriteQuery!$D$2:$F$517,1,FALSE),"")</f>
        <v>49619</v>
      </c>
    </row>
    <row r="112" spans="1:19" x14ac:dyDescent="0.25">
      <c r="A112" s="1">
        <v>89</v>
      </c>
      <c r="B112" s="1" t="s">
        <v>457</v>
      </c>
      <c r="C112" s="1">
        <v>49620</v>
      </c>
      <c r="D112" s="1" t="s">
        <v>455</v>
      </c>
      <c r="E112" s="1" t="s">
        <v>456</v>
      </c>
      <c r="F112" s="1">
        <v>7</v>
      </c>
      <c r="G112" s="1" t="s">
        <v>14</v>
      </c>
      <c r="H112" s="1" t="s">
        <v>458</v>
      </c>
      <c r="I112" s="1"/>
      <c r="J112" s="1">
        <v>49619</v>
      </c>
      <c r="K112" s="1" t="str">
        <f t="shared" si="2"/>
        <v>1:1:49619:7</v>
      </c>
      <c r="L112" s="1">
        <v>0</v>
      </c>
      <c r="M112" s="3" t="str">
        <f t="shared" si="3"/>
        <v/>
      </c>
      <c r="N112" s="1">
        <v>0</v>
      </c>
      <c r="O112" s="1" t="s">
        <v>2249</v>
      </c>
      <c r="P112" s="3" t="str" cm="1">
        <f t="array" ref="P112">IFERROR(mindat_longid(O112),"")</f>
        <v/>
      </c>
      <c r="Q112" s="1" t="str">
        <f>IFERROR(VLOOKUP(O112, [1]meteoriteQuery!$D$2:$E$540,2,FALSE),"")</f>
        <v/>
      </c>
      <c r="R112" s="1" t="s">
        <v>459</v>
      </c>
      <c r="S112" s="1">
        <f>IFERROR(VLOOKUP(C112,[1]meteoriteQuery!$D$2:$F$517,1,FALSE),"")</f>
        <v>49620</v>
      </c>
    </row>
    <row r="113" spans="1:19" x14ac:dyDescent="0.25">
      <c r="A113" s="1">
        <v>90</v>
      </c>
      <c r="B113" s="1" t="s">
        <v>462</v>
      </c>
      <c r="C113" s="1">
        <v>49621</v>
      </c>
      <c r="D113" s="1" t="s">
        <v>460</v>
      </c>
      <c r="E113" s="1" t="s">
        <v>461</v>
      </c>
      <c r="F113" s="1">
        <v>7</v>
      </c>
      <c r="G113" s="1" t="s">
        <v>14</v>
      </c>
      <c r="H113" s="1" t="s">
        <v>463</v>
      </c>
      <c r="I113" s="1"/>
      <c r="J113" s="1">
        <v>49619</v>
      </c>
      <c r="K113" s="1" t="str">
        <f t="shared" si="2"/>
        <v>1:1:49619:7</v>
      </c>
      <c r="L113" s="1">
        <v>0</v>
      </c>
      <c r="M113" s="3" t="str">
        <f t="shared" si="3"/>
        <v/>
      </c>
      <c r="N113" s="1">
        <v>0</v>
      </c>
      <c r="O113" s="1" t="s">
        <v>2249</v>
      </c>
      <c r="P113" s="3" t="str" cm="1">
        <f t="array" ref="P113">IFERROR(mindat_longid(O113),"")</f>
        <v/>
      </c>
      <c r="Q113" s="1" t="str">
        <f>IFERROR(VLOOKUP(O113, [1]meteoriteQuery!$D$2:$E$540,2,FALSE),"")</f>
        <v/>
      </c>
      <c r="R113" s="1" t="s">
        <v>464</v>
      </c>
      <c r="S113" s="1">
        <f>IFERROR(VLOOKUP(C113,[1]meteoriteQuery!$D$2:$F$517,1,FALSE),"")</f>
        <v>49621</v>
      </c>
    </row>
    <row r="114" spans="1:19" x14ac:dyDescent="0.25">
      <c r="A114" s="1">
        <v>91</v>
      </c>
      <c r="B114" s="1" t="s">
        <v>467</v>
      </c>
      <c r="C114" s="1">
        <v>49622</v>
      </c>
      <c r="D114" s="1" t="s">
        <v>465</v>
      </c>
      <c r="E114" s="1" t="s">
        <v>466</v>
      </c>
      <c r="F114" s="1">
        <v>7</v>
      </c>
      <c r="G114" s="1" t="s">
        <v>14</v>
      </c>
      <c r="H114" s="1" t="s">
        <v>468</v>
      </c>
      <c r="I114" s="1"/>
      <c r="J114" s="1">
        <v>49585</v>
      </c>
      <c r="K114" s="1" t="str">
        <f t="shared" si="2"/>
        <v>1:1:49585:1</v>
      </c>
      <c r="L114" s="1">
        <v>49710</v>
      </c>
      <c r="M114" s="3" t="str">
        <f t="shared" si="3"/>
        <v>1:1:49710:5</v>
      </c>
      <c r="N114" s="1">
        <v>0</v>
      </c>
      <c r="O114" s="1" t="s">
        <v>2249</v>
      </c>
      <c r="P114" s="3" t="str" cm="1">
        <f t="array" ref="P114">IFERROR(mindat_longid(O114),"")</f>
        <v/>
      </c>
      <c r="Q114" s="1" t="str">
        <f>IFERROR(VLOOKUP(O114, [1]meteoriteQuery!$D$2:$E$540,2,FALSE),"")</f>
        <v/>
      </c>
      <c r="R114" s="1" t="s">
        <v>469</v>
      </c>
      <c r="S114" s="1">
        <f>IFERROR(VLOOKUP(C114,[1]meteoriteQuery!$D$2:$F$517,1,FALSE),"")</f>
        <v>49622</v>
      </c>
    </row>
    <row r="115" spans="1:19" x14ac:dyDescent="0.25">
      <c r="A115" s="1">
        <v>92</v>
      </c>
      <c r="B115" s="1" t="s">
        <v>472</v>
      </c>
      <c r="C115" s="1">
        <v>49623</v>
      </c>
      <c r="D115" s="1" t="s">
        <v>470</v>
      </c>
      <c r="E115" s="1" t="s">
        <v>471</v>
      </c>
      <c r="F115" s="1">
        <v>7</v>
      </c>
      <c r="G115" s="1" t="s">
        <v>14</v>
      </c>
      <c r="H115" s="1" t="s">
        <v>473</v>
      </c>
      <c r="I115" s="1"/>
      <c r="J115" s="1">
        <v>50449</v>
      </c>
      <c r="K115" s="1" t="str">
        <f t="shared" si="2"/>
        <v>1:1:50449:6</v>
      </c>
      <c r="L115" s="1">
        <v>0</v>
      </c>
      <c r="M115" s="3" t="str">
        <f t="shared" si="3"/>
        <v/>
      </c>
      <c r="N115" s="1">
        <v>0</v>
      </c>
      <c r="O115" s="1" t="s">
        <v>2249</v>
      </c>
      <c r="P115" s="3" t="str" cm="1">
        <f t="array" ref="P115">IFERROR(mindat_longid(O115),"")</f>
        <v/>
      </c>
      <c r="Q115" s="1" t="str">
        <f>IFERROR(VLOOKUP(O115, [1]meteoriteQuery!$D$2:$E$540,2,FALSE),"")</f>
        <v/>
      </c>
      <c r="R115" s="1" t="s">
        <v>474</v>
      </c>
      <c r="S115" s="1">
        <f>IFERROR(VLOOKUP(C115,[1]meteoriteQuery!$D$2:$F$517,1,FALSE),"")</f>
        <v>49623</v>
      </c>
    </row>
    <row r="116" spans="1:19" x14ac:dyDescent="0.25">
      <c r="A116" s="1">
        <v>93</v>
      </c>
      <c r="B116" s="1" t="s">
        <v>477</v>
      </c>
      <c r="C116" s="1">
        <v>49625</v>
      </c>
      <c r="D116" s="1" t="s">
        <v>475</v>
      </c>
      <c r="E116" s="1" t="s">
        <v>476</v>
      </c>
      <c r="F116" s="1">
        <v>7</v>
      </c>
      <c r="G116" s="1" t="s">
        <v>14</v>
      </c>
      <c r="H116" s="1" t="s">
        <v>478</v>
      </c>
      <c r="I116" s="1"/>
      <c r="J116" s="1">
        <v>49584</v>
      </c>
      <c r="K116" s="1" t="str">
        <f t="shared" si="2"/>
        <v>1:1:49584:2</v>
      </c>
      <c r="L116" s="1">
        <v>49846</v>
      </c>
      <c r="M116" s="3" t="str">
        <f t="shared" si="3"/>
        <v>1:1:49846:9</v>
      </c>
      <c r="N116" s="1">
        <v>0</v>
      </c>
      <c r="O116" s="1" t="s">
        <v>2249</v>
      </c>
      <c r="P116" s="3" t="str" cm="1">
        <f t="array" ref="P116">IFERROR(mindat_longid(O116),"")</f>
        <v/>
      </c>
      <c r="Q116" s="1" t="str">
        <f>IFERROR(VLOOKUP(O116, [1]meteoriteQuery!$D$2:$E$540,2,FALSE),"")</f>
        <v/>
      </c>
      <c r="R116" s="1" t="s">
        <v>479</v>
      </c>
      <c r="S116" s="1">
        <f>IFERROR(VLOOKUP(C116,[1]meteoriteQuery!$D$2:$F$517,1,FALSE),"")</f>
        <v>49625</v>
      </c>
    </row>
    <row r="117" spans="1:19" x14ac:dyDescent="0.25">
      <c r="A117" s="1">
        <v>94</v>
      </c>
      <c r="B117" s="1" t="s">
        <v>482</v>
      </c>
      <c r="C117" s="1">
        <v>49626</v>
      </c>
      <c r="D117" s="1" t="s">
        <v>480</v>
      </c>
      <c r="E117" s="1" t="s">
        <v>481</v>
      </c>
      <c r="F117" s="1">
        <v>7</v>
      </c>
      <c r="G117" s="1" t="s">
        <v>14</v>
      </c>
      <c r="H117" s="1" t="s">
        <v>483</v>
      </c>
      <c r="I117" s="1"/>
      <c r="J117" s="1">
        <v>49584</v>
      </c>
      <c r="K117" s="1" t="str">
        <f t="shared" si="2"/>
        <v>1:1:49584:2</v>
      </c>
      <c r="L117" s="1">
        <v>0</v>
      </c>
      <c r="M117" s="3" t="str">
        <f t="shared" si="3"/>
        <v/>
      </c>
      <c r="N117" s="1">
        <v>0</v>
      </c>
      <c r="O117" s="1" t="s">
        <v>2249</v>
      </c>
      <c r="P117" s="3" t="str" cm="1">
        <f t="array" ref="P117">IFERROR(mindat_longid(O117),"")</f>
        <v/>
      </c>
      <c r="Q117" s="1" t="str">
        <f>IFERROR(VLOOKUP(O117, [1]meteoriteQuery!$D$2:$E$540,2,FALSE),"")</f>
        <v/>
      </c>
      <c r="R117" s="1" t="s">
        <v>484</v>
      </c>
      <c r="S117" s="1">
        <f>IFERROR(VLOOKUP(C117,[1]meteoriteQuery!$D$2:$F$517,1,FALSE),"")</f>
        <v>49626</v>
      </c>
    </row>
    <row r="118" spans="1:19" x14ac:dyDescent="0.25">
      <c r="A118" s="1">
        <v>95</v>
      </c>
      <c r="B118" s="1" t="s">
        <v>487</v>
      </c>
      <c r="C118" s="1">
        <v>49627</v>
      </c>
      <c r="D118" s="1" t="s">
        <v>485</v>
      </c>
      <c r="E118" s="1" t="s">
        <v>486</v>
      </c>
      <c r="F118" s="1">
        <v>7</v>
      </c>
      <c r="G118" s="1" t="s">
        <v>14</v>
      </c>
      <c r="H118" s="1" t="s">
        <v>488</v>
      </c>
      <c r="I118" s="1"/>
      <c r="J118" s="1">
        <v>49584</v>
      </c>
      <c r="K118" s="1" t="str">
        <f t="shared" si="2"/>
        <v>1:1:49584:2</v>
      </c>
      <c r="L118" s="1">
        <v>0</v>
      </c>
      <c r="M118" s="3" t="str">
        <f t="shared" si="3"/>
        <v/>
      </c>
      <c r="N118" s="1">
        <v>0</v>
      </c>
      <c r="O118" s="1" t="s">
        <v>2249</v>
      </c>
      <c r="P118" s="3" t="str" cm="1">
        <f t="array" ref="P118">IFERROR(mindat_longid(O118),"")</f>
        <v/>
      </c>
      <c r="Q118" s="1" t="str">
        <f>IFERROR(VLOOKUP(O118, [1]meteoriteQuery!$D$2:$E$540,2,FALSE),"")</f>
        <v/>
      </c>
      <c r="R118" s="1" t="s">
        <v>489</v>
      </c>
      <c r="S118" s="1">
        <f>IFERROR(VLOOKUP(C118,[1]meteoriteQuery!$D$2:$F$517,1,FALSE),"")</f>
        <v>49627</v>
      </c>
    </row>
    <row r="119" spans="1:19" x14ac:dyDescent="0.25">
      <c r="A119" s="1">
        <v>96</v>
      </c>
      <c r="B119" s="1" t="s">
        <v>492</v>
      </c>
      <c r="C119" s="1">
        <v>49628</v>
      </c>
      <c r="D119" s="1" t="s">
        <v>490</v>
      </c>
      <c r="E119" s="1" t="s">
        <v>491</v>
      </c>
      <c r="F119" s="1">
        <v>7</v>
      </c>
      <c r="G119" s="1" t="s">
        <v>14</v>
      </c>
      <c r="H119" s="1" t="s">
        <v>493</v>
      </c>
      <c r="I119" s="1"/>
      <c r="J119" s="1">
        <v>49584</v>
      </c>
      <c r="K119" s="1" t="str">
        <f t="shared" si="2"/>
        <v>1:1:49584:2</v>
      </c>
      <c r="L119" s="1">
        <v>0</v>
      </c>
      <c r="M119" s="3" t="str">
        <f t="shared" si="3"/>
        <v/>
      </c>
      <c r="N119" s="1">
        <v>0</v>
      </c>
      <c r="O119" s="1" t="s">
        <v>2249</v>
      </c>
      <c r="P119" s="3" t="str" cm="1">
        <f t="array" ref="P119">IFERROR(mindat_longid(O119),"")</f>
        <v/>
      </c>
      <c r="Q119" s="1" t="str">
        <f>IFERROR(VLOOKUP(O119, [1]meteoriteQuery!$D$2:$E$540,2,FALSE),"")</f>
        <v/>
      </c>
      <c r="R119" s="1" t="s">
        <v>494</v>
      </c>
      <c r="S119" s="1">
        <f>IFERROR(VLOOKUP(C119,[1]meteoriteQuery!$D$2:$F$517,1,FALSE),"")</f>
        <v>49628</v>
      </c>
    </row>
    <row r="120" spans="1:19" x14ac:dyDescent="0.25">
      <c r="A120" s="1">
        <v>97</v>
      </c>
      <c r="B120" s="1" t="s">
        <v>497</v>
      </c>
      <c r="C120" s="1">
        <v>49629</v>
      </c>
      <c r="D120" s="1" t="s">
        <v>495</v>
      </c>
      <c r="E120" s="1" t="s">
        <v>496</v>
      </c>
      <c r="F120" s="1">
        <v>7</v>
      </c>
      <c r="G120" s="1" t="s">
        <v>14</v>
      </c>
      <c r="H120" s="1" t="s">
        <v>498</v>
      </c>
      <c r="I120" s="1"/>
      <c r="J120" s="1">
        <v>49584</v>
      </c>
      <c r="K120" s="1" t="str">
        <f t="shared" si="2"/>
        <v>1:1:49584:2</v>
      </c>
      <c r="L120" s="1">
        <v>0</v>
      </c>
      <c r="M120" s="3" t="str">
        <f t="shared" si="3"/>
        <v/>
      </c>
      <c r="N120" s="1">
        <v>0</v>
      </c>
      <c r="O120" s="1" t="s">
        <v>2249</v>
      </c>
      <c r="P120" s="3" t="str" cm="1">
        <f t="array" ref="P120">IFERROR(mindat_longid(O120),"")</f>
        <v/>
      </c>
      <c r="Q120" s="1" t="str">
        <f>IFERROR(VLOOKUP(O120, [1]meteoriteQuery!$D$2:$E$540,2,FALSE),"")</f>
        <v/>
      </c>
      <c r="R120" s="1" t="s">
        <v>499</v>
      </c>
      <c r="S120" s="1">
        <f>IFERROR(VLOOKUP(C120,[1]meteoriteQuery!$D$2:$F$517,1,FALSE),"")</f>
        <v>49629</v>
      </c>
    </row>
    <row r="121" spans="1:19" x14ac:dyDescent="0.25">
      <c r="A121" s="1">
        <v>98</v>
      </c>
      <c r="B121" s="1" t="s">
        <v>502</v>
      </c>
      <c r="C121" s="1">
        <v>49630</v>
      </c>
      <c r="D121" s="1" t="s">
        <v>500</v>
      </c>
      <c r="E121" s="1" t="s">
        <v>501</v>
      </c>
      <c r="F121" s="1">
        <v>7</v>
      </c>
      <c r="G121" s="1" t="s">
        <v>14</v>
      </c>
      <c r="H121" s="1" t="s">
        <v>503</v>
      </c>
      <c r="I121" s="1"/>
      <c r="J121" s="1">
        <v>49584</v>
      </c>
      <c r="K121" s="1" t="str">
        <f t="shared" si="2"/>
        <v>1:1:49584:2</v>
      </c>
      <c r="L121" s="1">
        <v>0</v>
      </c>
      <c r="M121" s="3" t="str">
        <f t="shared" si="3"/>
        <v/>
      </c>
      <c r="N121" s="1">
        <v>0</v>
      </c>
      <c r="O121" s="1" t="s">
        <v>2249</v>
      </c>
      <c r="P121" s="3" t="str" cm="1">
        <f t="array" ref="P121">IFERROR(mindat_longid(O121),"")</f>
        <v/>
      </c>
      <c r="Q121" s="1" t="str">
        <f>IFERROR(VLOOKUP(O121, [1]meteoriteQuery!$D$2:$E$540,2,FALSE),"")</f>
        <v/>
      </c>
      <c r="R121" s="1" t="s">
        <v>504</v>
      </c>
      <c r="S121" s="1">
        <f>IFERROR(VLOOKUP(C121,[1]meteoriteQuery!$D$2:$F$517,1,FALSE),"")</f>
        <v>49630</v>
      </c>
    </row>
    <row r="122" spans="1:19" x14ac:dyDescent="0.25">
      <c r="A122" s="1">
        <v>99</v>
      </c>
      <c r="B122" s="1" t="s">
        <v>507</v>
      </c>
      <c r="C122" s="1">
        <v>49631</v>
      </c>
      <c r="D122" s="1" t="s">
        <v>505</v>
      </c>
      <c r="E122" s="1" t="s">
        <v>506</v>
      </c>
      <c r="F122" s="1">
        <v>2</v>
      </c>
      <c r="G122" s="1" t="s">
        <v>508</v>
      </c>
      <c r="H122" s="1" t="s">
        <v>509</v>
      </c>
      <c r="I122" s="1"/>
      <c r="J122" s="1">
        <v>49584</v>
      </c>
      <c r="K122" s="1" t="str">
        <f t="shared" si="2"/>
        <v>1:1:49584:2</v>
      </c>
      <c r="L122" s="1">
        <v>0</v>
      </c>
      <c r="M122" s="3" t="str">
        <f t="shared" si="3"/>
        <v/>
      </c>
      <c r="N122" s="1">
        <v>0</v>
      </c>
      <c r="O122" s="1" t="s">
        <v>2249</v>
      </c>
      <c r="P122" s="3" t="str" cm="1">
        <f t="array" ref="P122">IFERROR(mindat_longid(O122),"")</f>
        <v/>
      </c>
      <c r="Q122" s="1" t="str">
        <f>IFERROR(VLOOKUP(O122, [1]meteoriteQuery!$D$2:$E$540,2,FALSE),"")</f>
        <v/>
      </c>
      <c r="R122" s="1" t="s">
        <v>510</v>
      </c>
      <c r="S122" s="1">
        <f>IFERROR(VLOOKUP(C122,[1]meteoriteQuery!$D$2:$F$517,1,FALSE),"")</f>
        <v>49631</v>
      </c>
    </row>
    <row r="123" spans="1:19" x14ac:dyDescent="0.25">
      <c r="A123" s="1">
        <v>100</v>
      </c>
      <c r="B123" s="1" t="s">
        <v>513</v>
      </c>
      <c r="C123" s="1">
        <v>49632</v>
      </c>
      <c r="D123" s="1" t="s">
        <v>511</v>
      </c>
      <c r="E123" s="1" t="s">
        <v>512</v>
      </c>
      <c r="F123" s="1">
        <v>2</v>
      </c>
      <c r="G123" s="1" t="s">
        <v>508</v>
      </c>
      <c r="H123" s="1" t="s">
        <v>514</v>
      </c>
      <c r="I123" s="1"/>
      <c r="J123" s="1">
        <v>49584</v>
      </c>
      <c r="K123" s="1" t="str">
        <f t="shared" si="2"/>
        <v>1:1:49584:2</v>
      </c>
      <c r="L123" s="1">
        <v>0</v>
      </c>
      <c r="M123" s="3" t="str">
        <f t="shared" si="3"/>
        <v/>
      </c>
      <c r="N123" s="1">
        <v>0</v>
      </c>
      <c r="O123" s="1" t="s">
        <v>2249</v>
      </c>
      <c r="P123" s="3" t="str" cm="1">
        <f t="array" ref="P123">IFERROR(mindat_longid(O123),"")</f>
        <v/>
      </c>
      <c r="Q123" s="1" t="str">
        <f>IFERROR(VLOOKUP(O123, [1]meteoriteQuery!$D$2:$E$540,2,FALSE),"")</f>
        <v/>
      </c>
      <c r="R123" s="1" t="s">
        <v>515</v>
      </c>
      <c r="S123" s="1">
        <f>IFERROR(VLOOKUP(C123,[1]meteoriteQuery!$D$2:$F$517,1,FALSE),"")</f>
        <v>49632</v>
      </c>
    </row>
    <row r="124" spans="1:19" x14ac:dyDescent="0.25">
      <c r="A124" s="1">
        <v>101</v>
      </c>
      <c r="B124" s="1" t="s">
        <v>518</v>
      </c>
      <c r="C124" s="1">
        <v>49633</v>
      </c>
      <c r="D124" s="1" t="s">
        <v>516</v>
      </c>
      <c r="E124" s="1" t="s">
        <v>517</v>
      </c>
      <c r="F124" s="1">
        <v>2</v>
      </c>
      <c r="G124" s="1" t="s">
        <v>508</v>
      </c>
      <c r="H124" s="1" t="s">
        <v>519</v>
      </c>
      <c r="I124" s="1"/>
      <c r="J124" s="1">
        <v>49584</v>
      </c>
      <c r="K124" s="1" t="str">
        <f t="shared" si="2"/>
        <v>1:1:49584:2</v>
      </c>
      <c r="L124" s="1">
        <v>0</v>
      </c>
      <c r="M124" s="3" t="str">
        <f t="shared" si="3"/>
        <v/>
      </c>
      <c r="N124" s="1">
        <v>0</v>
      </c>
      <c r="O124" s="1" t="s">
        <v>2249</v>
      </c>
      <c r="P124" s="3" t="str" cm="1">
        <f t="array" ref="P124">IFERROR(mindat_longid(O124),"")</f>
        <v/>
      </c>
      <c r="Q124" s="1" t="str">
        <f>IFERROR(VLOOKUP(O124, [1]meteoriteQuery!$D$2:$E$540,2,FALSE),"")</f>
        <v/>
      </c>
      <c r="R124" s="1" t="s">
        <v>520</v>
      </c>
      <c r="S124" s="1">
        <f>IFERROR(VLOOKUP(C124,[1]meteoriteQuery!$D$2:$F$517,1,FALSE),"")</f>
        <v>49633</v>
      </c>
    </row>
    <row r="125" spans="1:19" x14ac:dyDescent="0.25">
      <c r="A125" s="1">
        <v>102</v>
      </c>
      <c r="B125" s="1" t="s">
        <v>523</v>
      </c>
      <c r="C125" s="1">
        <v>49634</v>
      </c>
      <c r="D125" s="1" t="s">
        <v>521</v>
      </c>
      <c r="E125" s="1" t="s">
        <v>522</v>
      </c>
      <c r="F125" s="1">
        <v>2</v>
      </c>
      <c r="G125" s="1" t="s">
        <v>508</v>
      </c>
      <c r="H125" s="1" t="s">
        <v>524</v>
      </c>
      <c r="I125" s="1"/>
      <c r="J125" s="1">
        <v>49584</v>
      </c>
      <c r="K125" s="1" t="str">
        <f t="shared" si="2"/>
        <v>1:1:49584:2</v>
      </c>
      <c r="L125" s="1">
        <v>0</v>
      </c>
      <c r="M125" s="3" t="str">
        <f t="shared" si="3"/>
        <v/>
      </c>
      <c r="N125" s="1">
        <v>0</v>
      </c>
      <c r="O125" s="1" t="s">
        <v>2249</v>
      </c>
      <c r="P125" s="3" t="str" cm="1">
        <f t="array" ref="P125">IFERROR(mindat_longid(O125),"")</f>
        <v/>
      </c>
      <c r="Q125" s="1" t="str">
        <f>IFERROR(VLOOKUP(O125, [1]meteoriteQuery!$D$2:$E$540,2,FALSE),"")</f>
        <v/>
      </c>
      <c r="R125" s="1" t="s">
        <v>525</v>
      </c>
      <c r="S125" s="1">
        <f>IFERROR(VLOOKUP(C125,[1]meteoriteQuery!$D$2:$F$517,1,FALSE),"")</f>
        <v>49634</v>
      </c>
    </row>
    <row r="126" spans="1:19" x14ac:dyDescent="0.25">
      <c r="A126" s="1">
        <v>103</v>
      </c>
      <c r="B126" s="1" t="s">
        <v>528</v>
      </c>
      <c r="C126" s="1">
        <v>49635</v>
      </c>
      <c r="D126" s="1" t="s">
        <v>526</v>
      </c>
      <c r="E126" s="1" t="s">
        <v>527</v>
      </c>
      <c r="F126" s="1">
        <v>2</v>
      </c>
      <c r="G126" s="1" t="s">
        <v>508</v>
      </c>
      <c r="H126" s="1" t="s">
        <v>529</v>
      </c>
      <c r="I126" s="1"/>
      <c r="J126" s="1">
        <v>49584</v>
      </c>
      <c r="K126" s="1" t="str">
        <f t="shared" si="2"/>
        <v>1:1:49584:2</v>
      </c>
      <c r="L126" s="1">
        <v>0</v>
      </c>
      <c r="M126" s="3" t="str">
        <f t="shared" si="3"/>
        <v/>
      </c>
      <c r="N126" s="1">
        <v>0</v>
      </c>
      <c r="O126" s="1" t="s">
        <v>2249</v>
      </c>
      <c r="P126" s="3" t="str" cm="1">
        <f t="array" ref="P126">IFERROR(mindat_longid(O126),"")</f>
        <v/>
      </c>
      <c r="Q126" s="1" t="str">
        <f>IFERROR(VLOOKUP(O126, [1]meteoriteQuery!$D$2:$E$540,2,FALSE),"")</f>
        <v/>
      </c>
      <c r="R126" s="1" t="s">
        <v>530</v>
      </c>
      <c r="S126" s="1">
        <f>IFERROR(VLOOKUP(C126,[1]meteoriteQuery!$D$2:$F$517,1,FALSE),"")</f>
        <v>49635</v>
      </c>
    </row>
    <row r="127" spans="1:19" x14ac:dyDescent="0.25">
      <c r="A127" s="1">
        <v>104</v>
      </c>
      <c r="B127" s="1" t="s">
        <v>533</v>
      </c>
      <c r="C127" s="1">
        <v>49636</v>
      </c>
      <c r="D127" s="1" t="s">
        <v>531</v>
      </c>
      <c r="E127" s="1" t="s">
        <v>532</v>
      </c>
      <c r="F127" s="1">
        <v>2</v>
      </c>
      <c r="G127" s="1" t="s">
        <v>508</v>
      </c>
      <c r="H127" s="1" t="s">
        <v>534</v>
      </c>
      <c r="I127" s="1"/>
      <c r="J127" s="1">
        <v>49584</v>
      </c>
      <c r="K127" s="1" t="str">
        <f t="shared" si="2"/>
        <v>1:1:49584:2</v>
      </c>
      <c r="L127" s="1">
        <v>0</v>
      </c>
      <c r="M127" s="3" t="str">
        <f t="shared" si="3"/>
        <v/>
      </c>
      <c r="N127" s="1">
        <v>0</v>
      </c>
      <c r="O127" s="1" t="s">
        <v>2249</v>
      </c>
      <c r="P127" s="3" t="str" cm="1">
        <f t="array" ref="P127">IFERROR(mindat_longid(O127),"")</f>
        <v/>
      </c>
      <c r="Q127" s="1" t="str">
        <f>IFERROR(VLOOKUP(O127, [1]meteoriteQuery!$D$2:$E$540,2,FALSE),"")</f>
        <v/>
      </c>
      <c r="R127" s="1" t="s">
        <v>535</v>
      </c>
      <c r="S127" s="1">
        <f>IFERROR(VLOOKUP(C127,[1]meteoriteQuery!$D$2:$F$517,1,FALSE),"")</f>
        <v>49636</v>
      </c>
    </row>
    <row r="128" spans="1:19" x14ac:dyDescent="0.25">
      <c r="A128" s="1">
        <v>105</v>
      </c>
      <c r="B128" s="1" t="s">
        <v>538</v>
      </c>
      <c r="C128" s="1">
        <v>49637</v>
      </c>
      <c r="D128" s="1" t="s">
        <v>536</v>
      </c>
      <c r="E128" s="1" t="s">
        <v>537</v>
      </c>
      <c r="F128" s="1">
        <v>2</v>
      </c>
      <c r="G128" s="1" t="s">
        <v>508</v>
      </c>
      <c r="H128" s="1" t="s">
        <v>539</v>
      </c>
      <c r="I128" s="1"/>
      <c r="J128" s="1">
        <v>49584</v>
      </c>
      <c r="K128" s="1" t="str">
        <f t="shared" si="2"/>
        <v>1:1:49584:2</v>
      </c>
      <c r="L128" s="1">
        <v>0</v>
      </c>
      <c r="M128" s="3" t="str">
        <f t="shared" si="3"/>
        <v/>
      </c>
      <c r="N128" s="1">
        <v>0</v>
      </c>
      <c r="O128" s="1" t="s">
        <v>2249</v>
      </c>
      <c r="P128" s="3" t="str" cm="1">
        <f t="array" ref="P128">IFERROR(mindat_longid(O128),"")</f>
        <v/>
      </c>
      <c r="Q128" s="1" t="str">
        <f>IFERROR(VLOOKUP(O128, [1]meteoriteQuery!$D$2:$E$540,2,FALSE),"")</f>
        <v/>
      </c>
      <c r="R128" s="1" t="s">
        <v>540</v>
      </c>
      <c r="S128" s="1">
        <f>IFERROR(VLOOKUP(C128,[1]meteoriteQuery!$D$2:$F$517,1,FALSE),"")</f>
        <v>49637</v>
      </c>
    </row>
    <row r="129" spans="1:19" x14ac:dyDescent="0.25">
      <c r="A129" s="1">
        <v>106</v>
      </c>
      <c r="B129" s="1" t="s">
        <v>543</v>
      </c>
      <c r="C129" s="1">
        <v>49638</v>
      </c>
      <c r="D129" s="1" t="s">
        <v>541</v>
      </c>
      <c r="E129" s="1" t="s">
        <v>542</v>
      </c>
      <c r="F129" s="1">
        <v>2</v>
      </c>
      <c r="G129" s="1" t="s">
        <v>508</v>
      </c>
      <c r="H129" s="1" t="s">
        <v>544</v>
      </c>
      <c r="I129" s="1"/>
      <c r="J129" s="1">
        <v>49584</v>
      </c>
      <c r="K129" s="1" t="str">
        <f t="shared" si="2"/>
        <v>1:1:49584:2</v>
      </c>
      <c r="L129" s="1">
        <v>0</v>
      </c>
      <c r="M129" s="3" t="str">
        <f t="shared" si="3"/>
        <v/>
      </c>
      <c r="N129" s="1">
        <v>0</v>
      </c>
      <c r="O129" s="1" t="s">
        <v>2249</v>
      </c>
      <c r="P129" s="3" t="str" cm="1">
        <f t="array" ref="P129">IFERROR(mindat_longid(O129),"")</f>
        <v/>
      </c>
      <c r="Q129" s="1" t="str">
        <f>IFERROR(VLOOKUP(O129, [1]meteoriteQuery!$D$2:$E$540,2,FALSE),"")</f>
        <v/>
      </c>
      <c r="R129" s="1" t="s">
        <v>545</v>
      </c>
      <c r="S129" s="1">
        <f>IFERROR(VLOOKUP(C129,[1]meteoriteQuery!$D$2:$F$517,1,FALSE),"")</f>
        <v>49638</v>
      </c>
    </row>
    <row r="130" spans="1:19" x14ac:dyDescent="0.25">
      <c r="A130" s="1">
        <v>107</v>
      </c>
      <c r="B130" s="1" t="s">
        <v>548</v>
      </c>
      <c r="C130" s="1">
        <v>49639</v>
      </c>
      <c r="D130" s="1" t="s">
        <v>546</v>
      </c>
      <c r="E130" s="1" t="s">
        <v>547</v>
      </c>
      <c r="F130" s="1">
        <v>2</v>
      </c>
      <c r="G130" s="1" t="s">
        <v>508</v>
      </c>
      <c r="H130" s="1" t="s">
        <v>549</v>
      </c>
      <c r="I130" s="1"/>
      <c r="J130" s="1">
        <v>49584</v>
      </c>
      <c r="K130" s="1" t="str">
        <f t="shared" si="2"/>
        <v>1:1:49584:2</v>
      </c>
      <c r="L130" s="1">
        <v>0</v>
      </c>
      <c r="M130" s="3" t="str">
        <f t="shared" si="3"/>
        <v/>
      </c>
      <c r="N130" s="1">
        <v>0</v>
      </c>
      <c r="O130" s="1" t="s">
        <v>2249</v>
      </c>
      <c r="P130" s="3" t="str" cm="1">
        <f t="array" ref="P130">IFERROR(mindat_longid(O130),"")</f>
        <v/>
      </c>
      <c r="Q130" s="1" t="str">
        <f>IFERROR(VLOOKUP(O130, [1]meteoriteQuery!$D$2:$E$540,2,FALSE),"")</f>
        <v/>
      </c>
      <c r="R130" s="1" t="s">
        <v>550</v>
      </c>
      <c r="S130" s="1">
        <f>IFERROR(VLOOKUP(C130,[1]meteoriteQuery!$D$2:$F$517,1,FALSE),"")</f>
        <v>49639</v>
      </c>
    </row>
    <row r="131" spans="1:19" x14ac:dyDescent="0.25">
      <c r="A131" s="1">
        <v>108</v>
      </c>
      <c r="B131" s="1" t="s">
        <v>553</v>
      </c>
      <c r="C131" s="1">
        <v>49640</v>
      </c>
      <c r="D131" s="1" t="s">
        <v>551</v>
      </c>
      <c r="E131" s="1" t="s">
        <v>552</v>
      </c>
      <c r="F131" s="1">
        <v>2</v>
      </c>
      <c r="G131" s="1" t="s">
        <v>508</v>
      </c>
      <c r="H131" s="1" t="s">
        <v>554</v>
      </c>
      <c r="I131" s="1"/>
      <c r="J131" s="1">
        <v>49584</v>
      </c>
      <c r="K131" s="1" t="str">
        <f t="shared" si="2"/>
        <v>1:1:49584:2</v>
      </c>
      <c r="L131" s="1">
        <v>0</v>
      </c>
      <c r="M131" s="3" t="str">
        <f t="shared" si="3"/>
        <v/>
      </c>
      <c r="N131" s="1">
        <v>0</v>
      </c>
      <c r="O131" s="1" t="s">
        <v>2249</v>
      </c>
      <c r="P131" s="3" t="str" cm="1">
        <f t="array" ref="P131">IFERROR(mindat_longid(O131),"")</f>
        <v/>
      </c>
      <c r="Q131" s="1" t="str">
        <f>IFERROR(VLOOKUP(O131, [1]meteoriteQuery!$D$2:$E$540,2,FALSE),"")</f>
        <v/>
      </c>
      <c r="R131" s="1" t="s">
        <v>555</v>
      </c>
      <c r="S131" s="1">
        <f>IFERROR(VLOOKUP(C131,[1]meteoriteQuery!$D$2:$F$517,1,FALSE),"")</f>
        <v>49640</v>
      </c>
    </row>
    <row r="132" spans="1:19" x14ac:dyDescent="0.25">
      <c r="A132" s="1">
        <v>109</v>
      </c>
      <c r="B132" s="1" t="s">
        <v>558</v>
      </c>
      <c r="C132" s="1">
        <v>49641</v>
      </c>
      <c r="D132" s="1" t="s">
        <v>556</v>
      </c>
      <c r="E132" s="1" t="s">
        <v>557</v>
      </c>
      <c r="F132" s="1">
        <v>2</v>
      </c>
      <c r="G132" s="1" t="s">
        <v>508</v>
      </c>
      <c r="H132" s="1" t="s">
        <v>559</v>
      </c>
      <c r="I132" s="1"/>
      <c r="J132" s="1">
        <v>49584</v>
      </c>
      <c r="K132" s="1" t="str">
        <f t="shared" ref="K132:K195" si="4">IFERROR(VLOOKUP(J132,$C$2:$D$502,2,FALSE),"")</f>
        <v>1:1:49584:2</v>
      </c>
      <c r="L132" s="1">
        <v>0</v>
      </c>
      <c r="M132" s="3" t="str">
        <f t="shared" ref="M132:M195" si="5">IFERROR(VLOOKUP(L132,$C$2:$D$502,2,FALSE),"")</f>
        <v/>
      </c>
      <c r="N132" s="1">
        <v>0</v>
      </c>
      <c r="O132" s="1" t="s">
        <v>2249</v>
      </c>
      <c r="P132" s="3" t="str" cm="1">
        <f t="array" ref="P132">IFERROR(mindat_longid(O132),"")</f>
        <v/>
      </c>
      <c r="Q132" s="1" t="str">
        <f>IFERROR(VLOOKUP(O132, [1]meteoriteQuery!$D$2:$E$540,2,FALSE),"")</f>
        <v/>
      </c>
      <c r="R132" s="1" t="s">
        <v>560</v>
      </c>
      <c r="S132" s="1">
        <f>IFERROR(VLOOKUP(C132,[1]meteoriteQuery!$D$2:$F$517,1,FALSE),"")</f>
        <v>49641</v>
      </c>
    </row>
    <row r="133" spans="1:19" x14ac:dyDescent="0.25">
      <c r="A133" s="1">
        <v>110</v>
      </c>
      <c r="B133" s="1" t="s">
        <v>563</v>
      </c>
      <c r="C133" s="1">
        <v>49642</v>
      </c>
      <c r="D133" s="1" t="s">
        <v>561</v>
      </c>
      <c r="E133" s="1" t="s">
        <v>562</v>
      </c>
      <c r="F133" s="1">
        <v>2</v>
      </c>
      <c r="G133" s="1" t="s">
        <v>508</v>
      </c>
      <c r="H133" s="1" t="s">
        <v>564</v>
      </c>
      <c r="I133" s="1"/>
      <c r="J133" s="1">
        <v>49584</v>
      </c>
      <c r="K133" s="1" t="str">
        <f t="shared" si="4"/>
        <v>1:1:49584:2</v>
      </c>
      <c r="L133" s="1">
        <v>0</v>
      </c>
      <c r="M133" s="3" t="str">
        <f t="shared" si="5"/>
        <v/>
      </c>
      <c r="N133" s="1">
        <v>0</v>
      </c>
      <c r="O133" s="1" t="s">
        <v>2249</v>
      </c>
      <c r="P133" s="3" t="str" cm="1">
        <f t="array" ref="P133">IFERROR(mindat_longid(O133),"")</f>
        <v/>
      </c>
      <c r="Q133" s="1" t="str">
        <f>IFERROR(VLOOKUP(O133, [1]meteoriteQuery!$D$2:$E$540,2,FALSE),"")</f>
        <v/>
      </c>
      <c r="R133" s="1" t="s">
        <v>565</v>
      </c>
      <c r="S133" s="1">
        <f>IFERROR(VLOOKUP(C133,[1]meteoriteQuery!$D$2:$F$517,1,FALSE),"")</f>
        <v>49642</v>
      </c>
    </row>
    <row r="134" spans="1:19" x14ac:dyDescent="0.25">
      <c r="A134" s="1">
        <v>111</v>
      </c>
      <c r="B134" s="1" t="s">
        <v>568</v>
      </c>
      <c r="C134" s="1">
        <v>49643</v>
      </c>
      <c r="D134" s="1" t="s">
        <v>566</v>
      </c>
      <c r="E134" s="1" t="s">
        <v>567</v>
      </c>
      <c r="F134" s="1">
        <v>2</v>
      </c>
      <c r="G134" s="1" t="s">
        <v>508</v>
      </c>
      <c r="H134" s="1" t="s">
        <v>569</v>
      </c>
      <c r="I134" s="1"/>
      <c r="J134" s="1">
        <v>49584</v>
      </c>
      <c r="K134" s="1" t="str">
        <f t="shared" si="4"/>
        <v>1:1:49584:2</v>
      </c>
      <c r="L134" s="1">
        <v>0</v>
      </c>
      <c r="M134" s="3" t="str">
        <f t="shared" si="5"/>
        <v/>
      </c>
      <c r="N134" s="1">
        <v>0</v>
      </c>
      <c r="O134" s="1" t="s">
        <v>2249</v>
      </c>
      <c r="P134" s="3" t="str" cm="1">
        <f t="array" ref="P134">IFERROR(mindat_longid(O134),"")</f>
        <v/>
      </c>
      <c r="Q134" s="1" t="str">
        <f>IFERROR(VLOOKUP(O134, [1]meteoriteQuery!$D$2:$E$540,2,FALSE),"")</f>
        <v/>
      </c>
      <c r="R134" s="1" t="s">
        <v>570</v>
      </c>
      <c r="S134" s="1">
        <f>IFERROR(VLOOKUP(C134,[1]meteoriteQuery!$D$2:$F$517,1,FALSE),"")</f>
        <v>49643</v>
      </c>
    </row>
    <row r="135" spans="1:19" x14ac:dyDescent="0.25">
      <c r="A135" s="1">
        <v>112</v>
      </c>
      <c r="B135" s="1" t="s">
        <v>573</v>
      </c>
      <c r="C135" s="1">
        <v>49644</v>
      </c>
      <c r="D135" s="1" t="s">
        <v>571</v>
      </c>
      <c r="E135" s="1" t="s">
        <v>572</v>
      </c>
      <c r="F135" s="1">
        <v>2</v>
      </c>
      <c r="G135" s="1" t="s">
        <v>508</v>
      </c>
      <c r="H135" s="1" t="s">
        <v>574</v>
      </c>
      <c r="I135" s="1"/>
      <c r="J135" s="1">
        <v>49584</v>
      </c>
      <c r="K135" s="1" t="str">
        <f t="shared" si="4"/>
        <v>1:1:49584:2</v>
      </c>
      <c r="L135" s="1">
        <v>0</v>
      </c>
      <c r="M135" s="3" t="str">
        <f t="shared" si="5"/>
        <v/>
      </c>
      <c r="N135" s="1">
        <v>0</v>
      </c>
      <c r="O135" s="1" t="s">
        <v>2249</v>
      </c>
      <c r="P135" s="3" t="str" cm="1">
        <f t="array" ref="P135">IFERROR(mindat_longid(O135),"")</f>
        <v/>
      </c>
      <c r="Q135" s="1" t="str">
        <f>IFERROR(VLOOKUP(O135, [1]meteoriteQuery!$D$2:$E$540,2,FALSE),"")</f>
        <v/>
      </c>
      <c r="R135" s="1" t="s">
        <v>575</v>
      </c>
      <c r="S135" s="1">
        <f>IFERROR(VLOOKUP(C135,[1]meteoriteQuery!$D$2:$F$517,1,FALSE),"")</f>
        <v>49644</v>
      </c>
    </row>
    <row r="136" spans="1:19" x14ac:dyDescent="0.25">
      <c r="A136" s="1">
        <v>113</v>
      </c>
      <c r="B136" s="1" t="s">
        <v>578</v>
      </c>
      <c r="C136" s="1">
        <v>49645</v>
      </c>
      <c r="D136" s="1" t="s">
        <v>576</v>
      </c>
      <c r="E136" s="1" t="s">
        <v>577</v>
      </c>
      <c r="F136" s="1">
        <v>2</v>
      </c>
      <c r="G136" s="1" t="s">
        <v>508</v>
      </c>
      <c r="H136" s="1" t="s">
        <v>559</v>
      </c>
      <c r="I136" s="1"/>
      <c r="J136" s="1">
        <v>49584</v>
      </c>
      <c r="K136" s="1" t="str">
        <f t="shared" si="4"/>
        <v>1:1:49584:2</v>
      </c>
      <c r="L136" s="1">
        <v>0</v>
      </c>
      <c r="M136" s="3" t="str">
        <f t="shared" si="5"/>
        <v/>
      </c>
      <c r="N136" s="1">
        <v>0</v>
      </c>
      <c r="O136" s="1" t="s">
        <v>2249</v>
      </c>
      <c r="P136" s="3" t="str" cm="1">
        <f t="array" ref="P136">IFERROR(mindat_longid(O136),"")</f>
        <v/>
      </c>
      <c r="Q136" s="1" t="str">
        <f>IFERROR(VLOOKUP(O136, [1]meteoriteQuery!$D$2:$E$540,2,FALSE),"")</f>
        <v/>
      </c>
      <c r="R136" s="1" t="s">
        <v>579</v>
      </c>
      <c r="S136" s="1">
        <f>IFERROR(VLOOKUP(C136,[1]meteoriteQuery!$D$2:$F$517,1,FALSE),"")</f>
        <v>49645</v>
      </c>
    </row>
    <row r="137" spans="1:19" x14ac:dyDescent="0.25">
      <c r="A137" s="1">
        <v>114</v>
      </c>
      <c r="B137" s="1" t="s">
        <v>582</v>
      </c>
      <c r="C137" s="1">
        <v>49646</v>
      </c>
      <c r="D137" s="1" t="s">
        <v>580</v>
      </c>
      <c r="E137" s="1" t="s">
        <v>581</v>
      </c>
      <c r="F137" s="1">
        <v>2</v>
      </c>
      <c r="G137" s="1" t="s">
        <v>508</v>
      </c>
      <c r="H137" s="1" t="s">
        <v>583</v>
      </c>
      <c r="I137" s="1"/>
      <c r="J137" s="1">
        <v>49584</v>
      </c>
      <c r="K137" s="1" t="str">
        <f t="shared" si="4"/>
        <v>1:1:49584:2</v>
      </c>
      <c r="L137" s="1">
        <v>0</v>
      </c>
      <c r="M137" s="3" t="str">
        <f t="shared" si="5"/>
        <v/>
      </c>
      <c r="N137" s="1">
        <v>0</v>
      </c>
      <c r="O137" s="1" t="s">
        <v>2249</v>
      </c>
      <c r="P137" s="3" t="str" cm="1">
        <f t="array" ref="P137">IFERROR(mindat_longid(O137),"")</f>
        <v/>
      </c>
      <c r="Q137" s="1" t="str">
        <f>IFERROR(VLOOKUP(O137, [1]meteoriteQuery!$D$2:$E$540,2,FALSE),"")</f>
        <v/>
      </c>
      <c r="R137" s="1" t="s">
        <v>584</v>
      </c>
      <c r="S137" s="1">
        <f>IFERROR(VLOOKUP(C137,[1]meteoriteQuery!$D$2:$F$517,1,FALSE),"")</f>
        <v>49646</v>
      </c>
    </row>
    <row r="138" spans="1:19" x14ac:dyDescent="0.25">
      <c r="A138" s="1">
        <v>115</v>
      </c>
      <c r="B138" s="1" t="s">
        <v>587</v>
      </c>
      <c r="C138" s="1">
        <v>49647</v>
      </c>
      <c r="D138" s="1" t="s">
        <v>585</v>
      </c>
      <c r="E138" s="1" t="s">
        <v>586</v>
      </c>
      <c r="F138" s="1">
        <v>2</v>
      </c>
      <c r="G138" s="1" t="s">
        <v>508</v>
      </c>
      <c r="H138" s="1" t="s">
        <v>588</v>
      </c>
      <c r="I138" s="1"/>
      <c r="J138" s="1">
        <v>49584</v>
      </c>
      <c r="K138" s="1" t="str">
        <f t="shared" si="4"/>
        <v>1:1:49584:2</v>
      </c>
      <c r="L138" s="1">
        <v>0</v>
      </c>
      <c r="M138" s="3" t="str">
        <f t="shared" si="5"/>
        <v/>
      </c>
      <c r="N138" s="1">
        <v>0</v>
      </c>
      <c r="O138" s="1" t="s">
        <v>2249</v>
      </c>
      <c r="P138" s="3" t="str" cm="1">
        <f t="array" ref="P138">IFERROR(mindat_longid(O138),"")</f>
        <v/>
      </c>
      <c r="Q138" s="1" t="str">
        <f>IFERROR(VLOOKUP(O138, [1]meteoriteQuery!$D$2:$E$540,2,FALSE),"")</f>
        <v/>
      </c>
      <c r="R138" s="1" t="s">
        <v>589</v>
      </c>
      <c r="S138" s="1">
        <f>IFERROR(VLOOKUP(C138,[1]meteoriteQuery!$D$2:$F$517,1,FALSE),"")</f>
        <v>49647</v>
      </c>
    </row>
    <row r="139" spans="1:19" x14ac:dyDescent="0.25">
      <c r="A139" s="1">
        <v>116</v>
      </c>
      <c r="B139" s="1" t="s">
        <v>592</v>
      </c>
      <c r="C139" s="1">
        <v>49648</v>
      </c>
      <c r="D139" s="1" t="s">
        <v>590</v>
      </c>
      <c r="E139" s="1" t="s">
        <v>591</v>
      </c>
      <c r="F139" s="1">
        <v>7</v>
      </c>
      <c r="G139" s="1" t="s">
        <v>14</v>
      </c>
      <c r="H139" s="1" t="s">
        <v>593</v>
      </c>
      <c r="I139" s="1"/>
      <c r="J139" s="1">
        <v>49581</v>
      </c>
      <c r="K139" s="1" t="str">
        <f t="shared" si="4"/>
        <v>1:1:49581:5</v>
      </c>
      <c r="L139" s="1">
        <v>0</v>
      </c>
      <c r="M139" s="3" t="str">
        <f t="shared" si="5"/>
        <v/>
      </c>
      <c r="N139" s="1">
        <v>1</v>
      </c>
      <c r="O139" s="1" t="s">
        <v>2249</v>
      </c>
      <c r="P139" s="3" t="str" cm="1">
        <f t="array" ref="P139">IFERROR(mindat_longid(O139),"")</f>
        <v/>
      </c>
      <c r="Q139" s="1" t="str">
        <f>IFERROR(VLOOKUP(O139, [1]meteoriteQuery!$D$2:$E$540,2,FALSE),"")</f>
        <v/>
      </c>
      <c r="R139" s="1" t="s">
        <v>594</v>
      </c>
      <c r="S139" s="1">
        <f>IFERROR(VLOOKUP(C139,[1]meteoriteQuery!$D$2:$F$517,1,FALSE),"")</f>
        <v>49648</v>
      </c>
    </row>
    <row r="140" spans="1:19" x14ac:dyDescent="0.25">
      <c r="A140" s="1">
        <v>117</v>
      </c>
      <c r="B140" s="1" t="s">
        <v>597</v>
      </c>
      <c r="C140" s="1">
        <v>49649</v>
      </c>
      <c r="D140" s="1" t="s">
        <v>595</v>
      </c>
      <c r="E140" s="1" t="s">
        <v>596</v>
      </c>
      <c r="F140" s="1">
        <v>7</v>
      </c>
      <c r="G140" s="1" t="s">
        <v>14</v>
      </c>
      <c r="H140" s="1" t="s">
        <v>598</v>
      </c>
      <c r="I140" s="1"/>
      <c r="J140" s="1">
        <v>49648</v>
      </c>
      <c r="K140" s="1" t="str">
        <f t="shared" si="4"/>
        <v>1:1:49648:9</v>
      </c>
      <c r="L140" s="1">
        <v>49842</v>
      </c>
      <c r="M140" s="3" t="str">
        <f t="shared" si="5"/>
        <v>1:1:49842:3</v>
      </c>
      <c r="N140" s="1">
        <v>1</v>
      </c>
      <c r="O140" s="1" t="s">
        <v>2249</v>
      </c>
      <c r="P140" s="3" t="str" cm="1">
        <f t="array" ref="P140">IFERROR(mindat_longid(O140),"")</f>
        <v/>
      </c>
      <c r="Q140" s="1" t="str">
        <f>IFERROR(VLOOKUP(O140, [1]meteoriteQuery!$D$2:$E$540,2,FALSE),"")</f>
        <v/>
      </c>
      <c r="R140" s="1" t="s">
        <v>599</v>
      </c>
      <c r="S140" s="1">
        <f>IFERROR(VLOOKUP(C140,[1]meteoriteQuery!$D$2:$F$517,1,FALSE),"")</f>
        <v>49649</v>
      </c>
    </row>
    <row r="141" spans="1:19" x14ac:dyDescent="0.25">
      <c r="A141" s="1">
        <v>118</v>
      </c>
      <c r="B141" s="1" t="s">
        <v>602</v>
      </c>
      <c r="C141" s="1">
        <v>49650</v>
      </c>
      <c r="D141" s="1" t="s">
        <v>600</v>
      </c>
      <c r="E141" s="1" t="s">
        <v>601</v>
      </c>
      <c r="F141" s="1">
        <v>7</v>
      </c>
      <c r="G141" s="1" t="s">
        <v>14</v>
      </c>
      <c r="H141" s="1" t="s">
        <v>603</v>
      </c>
      <c r="I141" s="1"/>
      <c r="J141" s="1">
        <v>49649</v>
      </c>
      <c r="K141" s="1" t="str">
        <f t="shared" si="4"/>
        <v>1:1:49649:8</v>
      </c>
      <c r="L141" s="1">
        <v>0</v>
      </c>
      <c r="M141" s="3" t="str">
        <f t="shared" si="5"/>
        <v/>
      </c>
      <c r="N141" s="1">
        <v>0</v>
      </c>
      <c r="O141" s="1" t="s">
        <v>2249</v>
      </c>
      <c r="P141" s="3" t="str" cm="1">
        <f t="array" ref="P141">IFERROR(mindat_longid(O141),"")</f>
        <v/>
      </c>
      <c r="Q141" s="1" t="str">
        <f>IFERROR(VLOOKUP(O141, [1]meteoriteQuery!$D$2:$E$540,2,FALSE),"")</f>
        <v/>
      </c>
      <c r="R141" s="1" t="s">
        <v>604</v>
      </c>
      <c r="S141" s="1">
        <f>IFERROR(VLOOKUP(C141,[1]meteoriteQuery!$D$2:$F$517,1,FALSE),"")</f>
        <v>49650</v>
      </c>
    </row>
    <row r="142" spans="1:19" x14ac:dyDescent="0.25">
      <c r="A142" s="1">
        <v>119</v>
      </c>
      <c r="B142" s="1" t="s">
        <v>607</v>
      </c>
      <c r="C142" s="1">
        <v>49651</v>
      </c>
      <c r="D142" s="1" t="s">
        <v>605</v>
      </c>
      <c r="E142" s="1" t="s">
        <v>606</v>
      </c>
      <c r="F142" s="1">
        <v>7</v>
      </c>
      <c r="G142" s="1" t="s">
        <v>14</v>
      </c>
      <c r="H142" s="1" t="s">
        <v>608</v>
      </c>
      <c r="I142" s="1"/>
      <c r="J142" s="1">
        <v>49649</v>
      </c>
      <c r="K142" s="1" t="str">
        <f t="shared" si="4"/>
        <v>1:1:49649:8</v>
      </c>
      <c r="L142" s="1">
        <v>0</v>
      </c>
      <c r="M142" s="3" t="str">
        <f t="shared" si="5"/>
        <v/>
      </c>
      <c r="N142" s="1">
        <v>0</v>
      </c>
      <c r="O142" s="1" t="s">
        <v>2249</v>
      </c>
      <c r="P142" s="3" t="str" cm="1">
        <f t="array" ref="P142">IFERROR(mindat_longid(O142),"")</f>
        <v/>
      </c>
      <c r="Q142" s="1" t="str">
        <f>IFERROR(VLOOKUP(O142, [1]meteoriteQuery!$D$2:$E$540,2,FALSE),"")</f>
        <v/>
      </c>
      <c r="R142" s="1" t="s">
        <v>609</v>
      </c>
      <c r="S142" s="1">
        <f>IFERROR(VLOOKUP(C142,[1]meteoriteQuery!$D$2:$F$517,1,FALSE),"")</f>
        <v>49651</v>
      </c>
    </row>
    <row r="143" spans="1:19" x14ac:dyDescent="0.25">
      <c r="A143" s="1">
        <v>120</v>
      </c>
      <c r="B143" s="1" t="s">
        <v>612</v>
      </c>
      <c r="C143" s="1">
        <v>49652</v>
      </c>
      <c r="D143" s="1" t="s">
        <v>610</v>
      </c>
      <c r="E143" s="1" t="s">
        <v>611</v>
      </c>
      <c r="F143" s="1">
        <v>7</v>
      </c>
      <c r="G143" s="1" t="s">
        <v>14</v>
      </c>
      <c r="H143" s="1" t="s">
        <v>613</v>
      </c>
      <c r="I143" s="1"/>
      <c r="J143" s="1">
        <v>49649</v>
      </c>
      <c r="K143" s="1" t="str">
        <f t="shared" si="4"/>
        <v>1:1:49649:8</v>
      </c>
      <c r="L143" s="1">
        <v>0</v>
      </c>
      <c r="M143" s="3" t="str">
        <f t="shared" si="5"/>
        <v/>
      </c>
      <c r="N143" s="1">
        <v>0</v>
      </c>
      <c r="O143" s="1" t="s">
        <v>2249</v>
      </c>
      <c r="P143" s="3" t="str" cm="1">
        <f t="array" ref="P143">IFERROR(mindat_longid(O143),"")</f>
        <v/>
      </c>
      <c r="Q143" s="1" t="str">
        <f>IFERROR(VLOOKUP(O143, [1]meteoriteQuery!$D$2:$E$540,2,FALSE),"")</f>
        <v/>
      </c>
      <c r="R143" s="1" t="s">
        <v>614</v>
      </c>
      <c r="S143" s="1">
        <f>IFERROR(VLOOKUP(C143,[1]meteoriteQuery!$D$2:$F$517,1,FALSE),"")</f>
        <v>49652</v>
      </c>
    </row>
    <row r="144" spans="1:19" x14ac:dyDescent="0.25">
      <c r="A144" s="1">
        <v>121</v>
      </c>
      <c r="B144" s="1" t="s">
        <v>617</v>
      </c>
      <c r="C144" s="1">
        <v>49653</v>
      </c>
      <c r="D144" s="1" t="s">
        <v>615</v>
      </c>
      <c r="E144" s="1" t="s">
        <v>616</v>
      </c>
      <c r="F144" s="1">
        <v>7</v>
      </c>
      <c r="G144" s="1" t="s">
        <v>14</v>
      </c>
      <c r="H144" s="1" t="s">
        <v>618</v>
      </c>
      <c r="I144" s="1"/>
      <c r="J144" s="1">
        <v>49649</v>
      </c>
      <c r="K144" s="1" t="str">
        <f t="shared" si="4"/>
        <v>1:1:49649:8</v>
      </c>
      <c r="L144" s="1">
        <v>0</v>
      </c>
      <c r="M144" s="3" t="str">
        <f t="shared" si="5"/>
        <v/>
      </c>
      <c r="N144" s="1">
        <v>0</v>
      </c>
      <c r="O144" s="1" t="s">
        <v>2249</v>
      </c>
      <c r="P144" s="3" t="str" cm="1">
        <f t="array" ref="P144">IFERROR(mindat_longid(O144),"")</f>
        <v/>
      </c>
      <c r="Q144" s="1" t="str">
        <f>IFERROR(VLOOKUP(O144, [1]meteoriteQuery!$D$2:$E$540,2,FALSE),"")</f>
        <v/>
      </c>
      <c r="R144" s="1" t="s">
        <v>619</v>
      </c>
      <c r="S144" s="1">
        <f>IFERROR(VLOOKUP(C144,[1]meteoriteQuery!$D$2:$F$517,1,FALSE),"")</f>
        <v>49653</v>
      </c>
    </row>
    <row r="145" spans="1:19" x14ac:dyDescent="0.25">
      <c r="A145" s="1">
        <v>122</v>
      </c>
      <c r="B145" s="1" t="s">
        <v>622</v>
      </c>
      <c r="C145" s="1">
        <v>49654</v>
      </c>
      <c r="D145" s="1" t="s">
        <v>620</v>
      </c>
      <c r="E145" s="1" t="s">
        <v>621</v>
      </c>
      <c r="F145" s="1">
        <v>7</v>
      </c>
      <c r="G145" s="1" t="s">
        <v>14</v>
      </c>
      <c r="H145" s="1" t="s">
        <v>623</v>
      </c>
      <c r="I145" s="1"/>
      <c r="J145" s="1">
        <v>49649</v>
      </c>
      <c r="K145" s="1" t="str">
        <f t="shared" si="4"/>
        <v>1:1:49649:8</v>
      </c>
      <c r="L145" s="1">
        <v>0</v>
      </c>
      <c r="M145" s="3" t="str">
        <f t="shared" si="5"/>
        <v/>
      </c>
      <c r="N145" s="1">
        <v>0</v>
      </c>
      <c r="O145" s="1" t="s">
        <v>2249</v>
      </c>
      <c r="P145" s="3" t="str" cm="1">
        <f t="array" ref="P145">IFERROR(mindat_longid(O145),"")</f>
        <v/>
      </c>
      <c r="Q145" s="1" t="str">
        <f>IFERROR(VLOOKUP(O145, [1]meteoriteQuery!$D$2:$E$540,2,FALSE),"")</f>
        <v/>
      </c>
      <c r="R145" s="1" t="s">
        <v>624</v>
      </c>
      <c r="S145" s="1">
        <f>IFERROR(VLOOKUP(C145,[1]meteoriteQuery!$D$2:$F$517,1,FALSE),"")</f>
        <v>49654</v>
      </c>
    </row>
    <row r="146" spans="1:19" x14ac:dyDescent="0.25">
      <c r="A146" s="1">
        <v>123</v>
      </c>
      <c r="B146" s="1" t="s">
        <v>627</v>
      </c>
      <c r="C146" s="1">
        <v>49655</v>
      </c>
      <c r="D146" s="1" t="s">
        <v>625</v>
      </c>
      <c r="E146" s="1" t="s">
        <v>626</v>
      </c>
      <c r="F146" s="1">
        <v>2</v>
      </c>
      <c r="G146" s="1" t="s">
        <v>508</v>
      </c>
      <c r="H146" s="1" t="s">
        <v>628</v>
      </c>
      <c r="I146" s="1"/>
      <c r="J146" s="1">
        <v>49649</v>
      </c>
      <c r="K146" s="1" t="str">
        <f t="shared" si="4"/>
        <v>1:1:49649:8</v>
      </c>
      <c r="L146" s="1">
        <v>0</v>
      </c>
      <c r="M146" s="3" t="str">
        <f t="shared" si="5"/>
        <v/>
      </c>
      <c r="N146" s="1">
        <v>0</v>
      </c>
      <c r="O146" s="1" t="s">
        <v>2249</v>
      </c>
      <c r="P146" s="3" t="str" cm="1">
        <f t="array" ref="P146">IFERROR(mindat_longid(O146),"")</f>
        <v/>
      </c>
      <c r="Q146" s="1" t="str">
        <f>IFERROR(VLOOKUP(O146, [1]meteoriteQuery!$D$2:$E$540,2,FALSE),"")</f>
        <v/>
      </c>
      <c r="R146" s="1" t="s">
        <v>629</v>
      </c>
      <c r="S146" s="1">
        <f>IFERROR(VLOOKUP(C146,[1]meteoriteQuery!$D$2:$F$517,1,FALSE),"")</f>
        <v>49655</v>
      </c>
    </row>
    <row r="147" spans="1:19" x14ac:dyDescent="0.25">
      <c r="A147" s="1">
        <v>124</v>
      </c>
      <c r="B147" s="1" t="s">
        <v>632</v>
      </c>
      <c r="C147" s="1">
        <v>49656</v>
      </c>
      <c r="D147" s="1" t="s">
        <v>630</v>
      </c>
      <c r="E147" s="1" t="s">
        <v>631</v>
      </c>
      <c r="F147" s="1">
        <v>7</v>
      </c>
      <c r="G147" s="1" t="s">
        <v>14</v>
      </c>
      <c r="H147" s="1" t="s">
        <v>633</v>
      </c>
      <c r="I147" s="1"/>
      <c r="J147" s="1">
        <v>49649</v>
      </c>
      <c r="K147" s="1" t="str">
        <f t="shared" si="4"/>
        <v>1:1:49649:8</v>
      </c>
      <c r="L147" s="1">
        <v>0</v>
      </c>
      <c r="M147" s="3" t="str">
        <f t="shared" si="5"/>
        <v/>
      </c>
      <c r="N147" s="1">
        <v>0</v>
      </c>
      <c r="O147" s="1" t="s">
        <v>2249</v>
      </c>
      <c r="P147" s="3" t="str" cm="1">
        <f t="array" ref="P147">IFERROR(mindat_longid(O147),"")</f>
        <v/>
      </c>
      <c r="Q147" s="1" t="str">
        <f>IFERROR(VLOOKUP(O147, [1]meteoriteQuery!$D$2:$E$540,2,FALSE),"")</f>
        <v/>
      </c>
      <c r="R147" s="1" t="s">
        <v>634</v>
      </c>
      <c r="S147" s="1">
        <f>IFERROR(VLOOKUP(C147,[1]meteoriteQuery!$D$2:$F$517,1,FALSE),"")</f>
        <v>49656</v>
      </c>
    </row>
    <row r="148" spans="1:19" x14ac:dyDescent="0.25">
      <c r="A148" s="1">
        <v>125</v>
      </c>
      <c r="B148" s="1" t="s">
        <v>637</v>
      </c>
      <c r="C148" s="1">
        <v>49657</v>
      </c>
      <c r="D148" s="1" t="s">
        <v>635</v>
      </c>
      <c r="E148" s="1" t="s">
        <v>636</v>
      </c>
      <c r="F148" s="1">
        <v>7</v>
      </c>
      <c r="G148" s="1" t="s">
        <v>14</v>
      </c>
      <c r="H148" s="1" t="s">
        <v>638</v>
      </c>
      <c r="I148" s="1"/>
      <c r="J148" s="1">
        <v>49649</v>
      </c>
      <c r="K148" s="1" t="str">
        <f t="shared" si="4"/>
        <v>1:1:49649:8</v>
      </c>
      <c r="L148" s="1">
        <v>0</v>
      </c>
      <c r="M148" s="3" t="str">
        <f t="shared" si="5"/>
        <v/>
      </c>
      <c r="N148" s="1">
        <v>0</v>
      </c>
      <c r="O148" s="1" t="s">
        <v>2249</v>
      </c>
      <c r="P148" s="3" t="str" cm="1">
        <f t="array" ref="P148">IFERROR(mindat_longid(O148),"")</f>
        <v/>
      </c>
      <c r="Q148" s="1" t="str">
        <f>IFERROR(VLOOKUP(O148, [1]meteoriteQuery!$D$2:$E$540,2,FALSE),"")</f>
        <v/>
      </c>
      <c r="R148" s="1" t="s">
        <v>639</v>
      </c>
      <c r="S148" s="1">
        <f>IFERROR(VLOOKUP(C148,[1]meteoriteQuery!$D$2:$F$517,1,FALSE),"")</f>
        <v>49657</v>
      </c>
    </row>
    <row r="149" spans="1:19" x14ac:dyDescent="0.25">
      <c r="A149" s="1">
        <v>126</v>
      </c>
      <c r="B149" s="1" t="s">
        <v>642</v>
      </c>
      <c r="C149" s="1">
        <v>49658</v>
      </c>
      <c r="D149" s="1" t="s">
        <v>640</v>
      </c>
      <c r="E149" s="1" t="s">
        <v>641</v>
      </c>
      <c r="F149" s="1">
        <v>7</v>
      </c>
      <c r="G149" s="1" t="s">
        <v>14</v>
      </c>
      <c r="H149" s="1" t="s">
        <v>643</v>
      </c>
      <c r="I149" s="1"/>
      <c r="J149" s="1">
        <v>49649</v>
      </c>
      <c r="K149" s="1" t="str">
        <f t="shared" si="4"/>
        <v>1:1:49649:8</v>
      </c>
      <c r="L149" s="1">
        <v>0</v>
      </c>
      <c r="M149" s="3" t="str">
        <f t="shared" si="5"/>
        <v/>
      </c>
      <c r="N149" s="1">
        <v>0</v>
      </c>
      <c r="O149" s="1" t="s">
        <v>2249</v>
      </c>
      <c r="P149" s="3" t="str" cm="1">
        <f t="array" ref="P149">IFERROR(mindat_longid(O149),"")</f>
        <v/>
      </c>
      <c r="Q149" s="1" t="str">
        <f>IFERROR(VLOOKUP(O149, [1]meteoriteQuery!$D$2:$E$540,2,FALSE),"")</f>
        <v/>
      </c>
      <c r="R149" s="1" t="s">
        <v>644</v>
      </c>
      <c r="S149" s="1">
        <f>IFERROR(VLOOKUP(C149,[1]meteoriteQuery!$D$2:$F$517,1,FALSE),"")</f>
        <v>49658</v>
      </c>
    </row>
    <row r="150" spans="1:19" x14ac:dyDescent="0.25">
      <c r="A150" s="1">
        <v>127</v>
      </c>
      <c r="B150" s="1" t="s">
        <v>647</v>
      </c>
      <c r="C150" s="1">
        <v>49659</v>
      </c>
      <c r="D150" s="1" t="s">
        <v>645</v>
      </c>
      <c r="E150" s="1" t="s">
        <v>646</v>
      </c>
      <c r="F150" s="1">
        <v>7</v>
      </c>
      <c r="G150" s="1" t="s">
        <v>14</v>
      </c>
      <c r="H150" s="1" t="s">
        <v>648</v>
      </c>
      <c r="I150" s="1"/>
      <c r="J150" s="1">
        <v>49649</v>
      </c>
      <c r="K150" s="1" t="str">
        <f t="shared" si="4"/>
        <v>1:1:49649:8</v>
      </c>
      <c r="L150" s="1">
        <v>0</v>
      </c>
      <c r="M150" s="3" t="str">
        <f t="shared" si="5"/>
        <v/>
      </c>
      <c r="N150" s="1">
        <v>0</v>
      </c>
      <c r="O150" s="1" t="s">
        <v>2249</v>
      </c>
      <c r="P150" s="3" t="str" cm="1">
        <f t="array" ref="P150">IFERROR(mindat_longid(O150),"")</f>
        <v/>
      </c>
      <c r="Q150" s="1" t="str">
        <f>IFERROR(VLOOKUP(O150, [1]meteoriteQuery!$D$2:$E$540,2,FALSE),"")</f>
        <v/>
      </c>
      <c r="R150" s="1" t="s">
        <v>649</v>
      </c>
      <c r="S150" s="1">
        <f>IFERROR(VLOOKUP(C150,[1]meteoriteQuery!$D$2:$F$517,1,FALSE),"")</f>
        <v>49659</v>
      </c>
    </row>
    <row r="151" spans="1:19" x14ac:dyDescent="0.25">
      <c r="A151" s="1">
        <v>128</v>
      </c>
      <c r="B151" s="1" t="s">
        <v>652</v>
      </c>
      <c r="C151" s="1">
        <v>49660</v>
      </c>
      <c r="D151" s="1" t="s">
        <v>650</v>
      </c>
      <c r="E151" s="1" t="s">
        <v>651</v>
      </c>
      <c r="F151" s="1">
        <v>2</v>
      </c>
      <c r="G151" s="1" t="s">
        <v>508</v>
      </c>
      <c r="H151" s="1" t="s">
        <v>653</v>
      </c>
      <c r="I151" s="1"/>
      <c r="J151" s="1">
        <v>49649</v>
      </c>
      <c r="K151" s="1" t="str">
        <f t="shared" si="4"/>
        <v>1:1:49649:8</v>
      </c>
      <c r="L151" s="1">
        <v>0</v>
      </c>
      <c r="M151" s="3" t="str">
        <f t="shared" si="5"/>
        <v/>
      </c>
      <c r="N151" s="1">
        <v>0</v>
      </c>
      <c r="O151" s="1" t="s">
        <v>2249</v>
      </c>
      <c r="P151" s="3" t="str" cm="1">
        <f t="array" ref="P151">IFERROR(mindat_longid(O151),"")</f>
        <v/>
      </c>
      <c r="Q151" s="1" t="str">
        <f>IFERROR(VLOOKUP(O151, [1]meteoriteQuery!$D$2:$E$540,2,FALSE),"")</f>
        <v/>
      </c>
      <c r="R151" s="1" t="s">
        <v>654</v>
      </c>
      <c r="S151" s="1">
        <f>IFERROR(VLOOKUP(C151,[1]meteoriteQuery!$D$2:$F$517,1,FALSE),"")</f>
        <v>49660</v>
      </c>
    </row>
    <row r="152" spans="1:19" x14ac:dyDescent="0.25">
      <c r="A152" s="1">
        <v>129</v>
      </c>
      <c r="B152" s="1" t="s">
        <v>657</v>
      </c>
      <c r="C152" s="1">
        <v>49661</v>
      </c>
      <c r="D152" s="1" t="s">
        <v>655</v>
      </c>
      <c r="E152" s="1" t="s">
        <v>656</v>
      </c>
      <c r="F152" s="1">
        <v>2</v>
      </c>
      <c r="G152" s="1" t="s">
        <v>508</v>
      </c>
      <c r="H152" s="1" t="s">
        <v>658</v>
      </c>
      <c r="I152" s="1"/>
      <c r="J152" s="1">
        <v>49649</v>
      </c>
      <c r="K152" s="1" t="str">
        <f t="shared" si="4"/>
        <v>1:1:49649:8</v>
      </c>
      <c r="L152" s="1">
        <v>0</v>
      </c>
      <c r="M152" s="3" t="str">
        <f t="shared" si="5"/>
        <v/>
      </c>
      <c r="N152" s="1">
        <v>0</v>
      </c>
      <c r="O152" s="1" t="s">
        <v>2249</v>
      </c>
      <c r="P152" s="3" t="str" cm="1">
        <f t="array" ref="P152">IFERROR(mindat_longid(O152),"")</f>
        <v/>
      </c>
      <c r="Q152" s="1" t="str">
        <f>IFERROR(VLOOKUP(O152, [1]meteoriteQuery!$D$2:$E$540,2,FALSE),"")</f>
        <v/>
      </c>
      <c r="R152" s="1" t="s">
        <v>659</v>
      </c>
      <c r="S152" s="1">
        <f>IFERROR(VLOOKUP(C152,[1]meteoriteQuery!$D$2:$F$517,1,FALSE),"")</f>
        <v>49661</v>
      </c>
    </row>
    <row r="153" spans="1:19" x14ac:dyDescent="0.25">
      <c r="A153" s="1">
        <v>130</v>
      </c>
      <c r="B153" s="1" t="s">
        <v>662</v>
      </c>
      <c r="C153" s="1">
        <v>49662</v>
      </c>
      <c r="D153" s="1" t="s">
        <v>660</v>
      </c>
      <c r="E153" s="1" t="s">
        <v>661</v>
      </c>
      <c r="F153" s="1">
        <v>7</v>
      </c>
      <c r="G153" s="1" t="s">
        <v>14</v>
      </c>
      <c r="H153" s="1" t="s">
        <v>663</v>
      </c>
      <c r="I153" s="1"/>
      <c r="J153" s="1">
        <v>49649</v>
      </c>
      <c r="K153" s="1" t="str">
        <f t="shared" si="4"/>
        <v>1:1:49649:8</v>
      </c>
      <c r="L153" s="1">
        <v>0</v>
      </c>
      <c r="M153" s="3" t="str">
        <f t="shared" si="5"/>
        <v/>
      </c>
      <c r="N153" s="1">
        <v>0</v>
      </c>
      <c r="O153" s="1" t="s">
        <v>2249</v>
      </c>
      <c r="P153" s="3" t="str" cm="1">
        <f t="array" ref="P153">IFERROR(mindat_longid(O153),"")</f>
        <v/>
      </c>
      <c r="Q153" s="1" t="str">
        <f>IFERROR(VLOOKUP(O153, [1]meteoriteQuery!$D$2:$E$540,2,FALSE),"")</f>
        <v/>
      </c>
      <c r="R153" s="1" t="s">
        <v>664</v>
      </c>
      <c r="S153" s="1">
        <f>IFERROR(VLOOKUP(C153,[1]meteoriteQuery!$D$2:$F$517,1,FALSE),"")</f>
        <v>49662</v>
      </c>
    </row>
    <row r="154" spans="1:19" x14ac:dyDescent="0.25">
      <c r="A154" s="1">
        <v>131</v>
      </c>
      <c r="B154" s="1" t="s">
        <v>667</v>
      </c>
      <c r="C154" s="1">
        <v>49663</v>
      </c>
      <c r="D154" s="1" t="s">
        <v>665</v>
      </c>
      <c r="E154" s="1" t="s">
        <v>666</v>
      </c>
      <c r="F154" s="1">
        <v>2</v>
      </c>
      <c r="G154" s="1" t="s">
        <v>508</v>
      </c>
      <c r="H154" s="1" t="s">
        <v>668</v>
      </c>
      <c r="I154" s="1"/>
      <c r="J154" s="1">
        <v>49649</v>
      </c>
      <c r="K154" s="1" t="str">
        <f t="shared" si="4"/>
        <v>1:1:49649:8</v>
      </c>
      <c r="L154" s="1">
        <v>0</v>
      </c>
      <c r="M154" s="3" t="str">
        <f t="shared" si="5"/>
        <v/>
      </c>
      <c r="N154" s="1">
        <v>0</v>
      </c>
      <c r="O154" s="1" t="s">
        <v>2249</v>
      </c>
      <c r="P154" s="3" t="str" cm="1">
        <f t="array" ref="P154">IFERROR(mindat_longid(O154),"")</f>
        <v/>
      </c>
      <c r="Q154" s="1" t="str">
        <f>IFERROR(VLOOKUP(O154, [1]meteoriteQuery!$D$2:$E$540,2,FALSE),"")</f>
        <v/>
      </c>
      <c r="R154" s="1" t="s">
        <v>669</v>
      </c>
      <c r="S154" s="1">
        <f>IFERROR(VLOOKUP(C154,[1]meteoriteQuery!$D$2:$F$517,1,FALSE),"")</f>
        <v>49663</v>
      </c>
    </row>
    <row r="155" spans="1:19" x14ac:dyDescent="0.25">
      <c r="A155" s="1">
        <v>132</v>
      </c>
      <c r="B155" s="1" t="s">
        <v>672</v>
      </c>
      <c r="C155" s="1">
        <v>49664</v>
      </c>
      <c r="D155" s="1" t="s">
        <v>670</v>
      </c>
      <c r="E155" s="1" t="s">
        <v>671</v>
      </c>
      <c r="F155" s="1">
        <v>2</v>
      </c>
      <c r="G155" s="1" t="s">
        <v>508</v>
      </c>
      <c r="H155" s="1" t="s">
        <v>673</v>
      </c>
      <c r="I155" s="1"/>
      <c r="J155" s="1">
        <v>49649</v>
      </c>
      <c r="K155" s="1" t="str">
        <f t="shared" si="4"/>
        <v>1:1:49649:8</v>
      </c>
      <c r="L155" s="1">
        <v>0</v>
      </c>
      <c r="M155" s="3" t="str">
        <f t="shared" si="5"/>
        <v/>
      </c>
      <c r="N155" s="1">
        <v>0</v>
      </c>
      <c r="O155" s="1" t="s">
        <v>2249</v>
      </c>
      <c r="P155" s="3" t="str" cm="1">
        <f t="array" ref="P155">IFERROR(mindat_longid(O155),"")</f>
        <v/>
      </c>
      <c r="Q155" s="1" t="str">
        <f>IFERROR(VLOOKUP(O155, [1]meteoriteQuery!$D$2:$E$540,2,FALSE),"")</f>
        <v/>
      </c>
      <c r="R155" s="1" t="s">
        <v>674</v>
      </c>
      <c r="S155" s="1">
        <f>IFERROR(VLOOKUP(C155,[1]meteoriteQuery!$D$2:$F$517,1,FALSE),"")</f>
        <v>49664</v>
      </c>
    </row>
    <row r="156" spans="1:19" x14ac:dyDescent="0.25">
      <c r="A156" s="1">
        <v>133</v>
      </c>
      <c r="B156" s="1" t="s">
        <v>677</v>
      </c>
      <c r="C156" s="1">
        <v>49665</v>
      </c>
      <c r="D156" s="1" t="s">
        <v>675</v>
      </c>
      <c r="E156" s="1" t="s">
        <v>676</v>
      </c>
      <c r="F156" s="1">
        <v>2</v>
      </c>
      <c r="G156" s="1" t="s">
        <v>508</v>
      </c>
      <c r="H156" s="1" t="s">
        <v>678</v>
      </c>
      <c r="I156" s="1"/>
      <c r="J156" s="1">
        <v>49649</v>
      </c>
      <c r="K156" s="1" t="str">
        <f t="shared" si="4"/>
        <v>1:1:49649:8</v>
      </c>
      <c r="L156" s="1">
        <v>0</v>
      </c>
      <c r="M156" s="3" t="str">
        <f t="shared" si="5"/>
        <v/>
      </c>
      <c r="N156" s="1">
        <v>0</v>
      </c>
      <c r="O156" s="1" t="s">
        <v>2249</v>
      </c>
      <c r="P156" s="3" t="str" cm="1">
        <f t="array" ref="P156">IFERROR(mindat_longid(O156),"")</f>
        <v/>
      </c>
      <c r="Q156" s="1" t="str">
        <f>IFERROR(VLOOKUP(O156, [1]meteoriteQuery!$D$2:$E$540,2,FALSE),"")</f>
        <v/>
      </c>
      <c r="R156" s="1" t="s">
        <v>679</v>
      </c>
      <c r="S156" s="1">
        <f>IFERROR(VLOOKUP(C156,[1]meteoriteQuery!$D$2:$F$517,1,FALSE),"")</f>
        <v>49665</v>
      </c>
    </row>
    <row r="157" spans="1:19" x14ac:dyDescent="0.25">
      <c r="A157" s="1">
        <v>134</v>
      </c>
      <c r="B157" s="1" t="s">
        <v>682</v>
      </c>
      <c r="C157" s="1">
        <v>49666</v>
      </c>
      <c r="D157" s="1" t="s">
        <v>680</v>
      </c>
      <c r="E157" s="1" t="s">
        <v>681</v>
      </c>
      <c r="F157" s="1">
        <v>7</v>
      </c>
      <c r="G157" s="1" t="s">
        <v>14</v>
      </c>
      <c r="H157" s="1" t="s">
        <v>683</v>
      </c>
      <c r="I157" s="1"/>
      <c r="J157" s="1">
        <v>49649</v>
      </c>
      <c r="K157" s="1" t="str">
        <f t="shared" si="4"/>
        <v>1:1:49649:8</v>
      </c>
      <c r="L157" s="1">
        <v>49695</v>
      </c>
      <c r="M157" s="3" t="str">
        <f t="shared" si="5"/>
        <v>1:1:49695:7</v>
      </c>
      <c r="N157" s="1">
        <v>0</v>
      </c>
      <c r="O157" s="1" t="s">
        <v>2249</v>
      </c>
      <c r="P157" s="3" t="str" cm="1">
        <f t="array" ref="P157">IFERROR(mindat_longid(O157),"")</f>
        <v/>
      </c>
      <c r="Q157" s="1" t="str">
        <f>IFERROR(VLOOKUP(O157, [1]meteoriteQuery!$D$2:$E$540,2,FALSE),"")</f>
        <v/>
      </c>
      <c r="R157" s="1" t="s">
        <v>684</v>
      </c>
      <c r="S157" s="1">
        <f>IFERROR(VLOOKUP(C157,[1]meteoriteQuery!$D$2:$F$517,1,FALSE),"")</f>
        <v>49666</v>
      </c>
    </row>
    <row r="158" spans="1:19" x14ac:dyDescent="0.25">
      <c r="A158" s="1">
        <v>135</v>
      </c>
      <c r="B158" s="1" t="s">
        <v>687</v>
      </c>
      <c r="C158" s="1">
        <v>49667</v>
      </c>
      <c r="D158" s="1" t="s">
        <v>685</v>
      </c>
      <c r="E158" s="1" t="s">
        <v>686</v>
      </c>
      <c r="F158" s="1">
        <v>7</v>
      </c>
      <c r="G158" s="1" t="s">
        <v>14</v>
      </c>
      <c r="H158" s="1" t="s">
        <v>688</v>
      </c>
      <c r="I158" s="1"/>
      <c r="J158" s="1">
        <v>49649</v>
      </c>
      <c r="K158" s="1" t="str">
        <f t="shared" si="4"/>
        <v>1:1:49649:8</v>
      </c>
      <c r="L158" s="1">
        <v>0</v>
      </c>
      <c r="M158" s="3" t="str">
        <f t="shared" si="5"/>
        <v/>
      </c>
      <c r="N158" s="1">
        <v>0</v>
      </c>
      <c r="O158" s="1" t="s">
        <v>2249</v>
      </c>
      <c r="P158" s="3" t="str" cm="1">
        <f t="array" ref="P158">IFERROR(mindat_longid(O158),"")</f>
        <v/>
      </c>
      <c r="Q158" s="1" t="str">
        <f>IFERROR(VLOOKUP(O158, [1]meteoriteQuery!$D$2:$E$540,2,FALSE),"")</f>
        <v/>
      </c>
      <c r="R158" s="1" t="s">
        <v>689</v>
      </c>
      <c r="S158" s="1">
        <f>IFERROR(VLOOKUP(C158,[1]meteoriteQuery!$D$2:$F$517,1,FALSE),"")</f>
        <v>49667</v>
      </c>
    </row>
    <row r="159" spans="1:19" x14ac:dyDescent="0.25">
      <c r="A159" s="1">
        <v>136</v>
      </c>
      <c r="B159" s="1" t="s">
        <v>692</v>
      </c>
      <c r="C159" s="1">
        <v>49668</v>
      </c>
      <c r="D159" s="1" t="s">
        <v>690</v>
      </c>
      <c r="E159" s="1" t="s">
        <v>691</v>
      </c>
      <c r="F159" s="1">
        <v>2</v>
      </c>
      <c r="G159" s="1" t="s">
        <v>508</v>
      </c>
      <c r="H159" s="1" t="s">
        <v>693</v>
      </c>
      <c r="I159" s="1"/>
      <c r="J159" s="1">
        <v>49649</v>
      </c>
      <c r="K159" s="1" t="str">
        <f t="shared" si="4"/>
        <v>1:1:49649:8</v>
      </c>
      <c r="L159" s="1">
        <v>0</v>
      </c>
      <c r="M159" s="3" t="str">
        <f t="shared" si="5"/>
        <v/>
      </c>
      <c r="N159" s="1">
        <v>0</v>
      </c>
      <c r="O159" s="1" t="s">
        <v>2249</v>
      </c>
      <c r="P159" s="3" t="str" cm="1">
        <f t="array" ref="P159">IFERROR(mindat_longid(O159),"")</f>
        <v/>
      </c>
      <c r="Q159" s="1" t="str">
        <f>IFERROR(VLOOKUP(O159, [1]meteoriteQuery!$D$2:$E$540,2,FALSE),"")</f>
        <v/>
      </c>
      <c r="R159" s="1" t="s">
        <v>694</v>
      </c>
      <c r="S159" s="1">
        <f>IFERROR(VLOOKUP(C159,[1]meteoriteQuery!$D$2:$F$517,1,FALSE),"")</f>
        <v>49668</v>
      </c>
    </row>
    <row r="160" spans="1:19" x14ac:dyDescent="0.25">
      <c r="A160" s="1">
        <v>137</v>
      </c>
      <c r="B160" s="1" t="s">
        <v>697</v>
      </c>
      <c r="C160" s="1">
        <v>49669</v>
      </c>
      <c r="D160" s="1" t="s">
        <v>695</v>
      </c>
      <c r="E160" s="1" t="s">
        <v>696</v>
      </c>
      <c r="F160" s="1">
        <v>2</v>
      </c>
      <c r="G160" s="1" t="s">
        <v>508</v>
      </c>
      <c r="H160" s="1" t="s">
        <v>698</v>
      </c>
      <c r="I160" s="1"/>
      <c r="J160" s="1">
        <v>49649</v>
      </c>
      <c r="K160" s="1" t="str">
        <f t="shared" si="4"/>
        <v>1:1:49649:8</v>
      </c>
      <c r="L160" s="1">
        <v>0</v>
      </c>
      <c r="M160" s="3" t="str">
        <f t="shared" si="5"/>
        <v/>
      </c>
      <c r="N160" s="1">
        <v>0</v>
      </c>
      <c r="O160" s="1" t="s">
        <v>2249</v>
      </c>
      <c r="P160" s="3" t="str" cm="1">
        <f t="array" ref="P160">IFERROR(mindat_longid(O160),"")</f>
        <v/>
      </c>
      <c r="Q160" s="1" t="str">
        <f>IFERROR(VLOOKUP(O160, [1]meteoriteQuery!$D$2:$E$540,2,FALSE),"")</f>
        <v/>
      </c>
      <c r="R160" s="1" t="s">
        <v>699</v>
      </c>
      <c r="S160" s="1">
        <f>IFERROR(VLOOKUP(C160,[1]meteoriteQuery!$D$2:$F$517,1,FALSE),"")</f>
        <v>49669</v>
      </c>
    </row>
    <row r="161" spans="1:19" x14ac:dyDescent="0.25">
      <c r="A161" s="1">
        <v>138</v>
      </c>
      <c r="B161" s="1" t="s">
        <v>702</v>
      </c>
      <c r="C161" s="1">
        <v>49670</v>
      </c>
      <c r="D161" s="1" t="s">
        <v>700</v>
      </c>
      <c r="E161" s="1" t="s">
        <v>701</v>
      </c>
      <c r="F161" s="1">
        <v>2</v>
      </c>
      <c r="G161" s="1" t="s">
        <v>508</v>
      </c>
      <c r="H161" s="1" t="s">
        <v>703</v>
      </c>
      <c r="I161" s="1"/>
      <c r="J161" s="1">
        <v>49649</v>
      </c>
      <c r="K161" s="1" t="str">
        <f t="shared" si="4"/>
        <v>1:1:49649:8</v>
      </c>
      <c r="L161" s="1">
        <v>0</v>
      </c>
      <c r="M161" s="3" t="str">
        <f t="shared" si="5"/>
        <v/>
      </c>
      <c r="N161" s="1">
        <v>0</v>
      </c>
      <c r="O161" s="1" t="s">
        <v>2249</v>
      </c>
      <c r="P161" s="3" t="str" cm="1">
        <f t="array" ref="P161">IFERROR(mindat_longid(O161),"")</f>
        <v/>
      </c>
      <c r="Q161" s="1" t="str">
        <f>IFERROR(VLOOKUP(O161, [1]meteoriteQuery!$D$2:$E$540,2,FALSE),"")</f>
        <v/>
      </c>
      <c r="R161" s="1" t="s">
        <v>704</v>
      </c>
      <c r="S161" s="1">
        <f>IFERROR(VLOOKUP(C161,[1]meteoriteQuery!$D$2:$F$517,1,FALSE),"")</f>
        <v>49670</v>
      </c>
    </row>
    <row r="162" spans="1:19" x14ac:dyDescent="0.25">
      <c r="A162" s="1">
        <v>139</v>
      </c>
      <c r="B162" s="1" t="s">
        <v>707</v>
      </c>
      <c r="C162" s="1">
        <v>49671</v>
      </c>
      <c r="D162" s="1" t="s">
        <v>705</v>
      </c>
      <c r="E162" s="1" t="s">
        <v>706</v>
      </c>
      <c r="F162" s="1">
        <v>7</v>
      </c>
      <c r="G162" s="1" t="s">
        <v>14</v>
      </c>
      <c r="H162" s="1" t="s">
        <v>708</v>
      </c>
      <c r="I162" s="1"/>
      <c r="J162" s="1">
        <v>49649</v>
      </c>
      <c r="K162" s="1" t="str">
        <f t="shared" si="4"/>
        <v>1:1:49649:8</v>
      </c>
      <c r="L162" s="1">
        <v>0</v>
      </c>
      <c r="M162" s="3" t="str">
        <f t="shared" si="5"/>
        <v/>
      </c>
      <c r="N162" s="1">
        <v>0</v>
      </c>
      <c r="O162" s="1" t="s">
        <v>2249</v>
      </c>
      <c r="P162" s="3" t="str" cm="1">
        <f t="array" ref="P162">IFERROR(mindat_longid(O162),"")</f>
        <v/>
      </c>
      <c r="Q162" s="1" t="str">
        <f>IFERROR(VLOOKUP(O162, [1]meteoriteQuery!$D$2:$E$540,2,FALSE),"")</f>
        <v/>
      </c>
      <c r="R162" s="1" t="s">
        <v>709</v>
      </c>
      <c r="S162" s="1">
        <f>IFERROR(VLOOKUP(C162,[1]meteoriteQuery!$D$2:$F$517,1,FALSE),"")</f>
        <v>49671</v>
      </c>
    </row>
    <row r="163" spans="1:19" x14ac:dyDescent="0.25">
      <c r="A163" s="1">
        <v>140</v>
      </c>
      <c r="B163" s="1" t="s">
        <v>712</v>
      </c>
      <c r="C163" s="1">
        <v>49672</v>
      </c>
      <c r="D163" s="1" t="s">
        <v>710</v>
      </c>
      <c r="E163" s="1" t="s">
        <v>711</v>
      </c>
      <c r="F163" s="1">
        <v>2</v>
      </c>
      <c r="G163" s="1" t="s">
        <v>508</v>
      </c>
      <c r="H163" s="1" t="s">
        <v>713</v>
      </c>
      <c r="I163" s="1"/>
      <c r="J163" s="1">
        <v>49649</v>
      </c>
      <c r="K163" s="1" t="str">
        <f t="shared" si="4"/>
        <v>1:1:49649:8</v>
      </c>
      <c r="L163" s="1">
        <v>0</v>
      </c>
      <c r="M163" s="3" t="str">
        <f t="shared" si="5"/>
        <v/>
      </c>
      <c r="N163" s="1">
        <v>0</v>
      </c>
      <c r="O163" s="1" t="s">
        <v>2249</v>
      </c>
      <c r="P163" s="3" t="str" cm="1">
        <f t="array" ref="P163">IFERROR(mindat_longid(O163),"")</f>
        <v/>
      </c>
      <c r="Q163" s="1" t="str">
        <f>IFERROR(VLOOKUP(O163, [1]meteoriteQuery!$D$2:$E$540,2,FALSE),"")</f>
        <v/>
      </c>
      <c r="R163" s="1" t="s">
        <v>714</v>
      </c>
      <c r="S163" s="1">
        <f>IFERROR(VLOOKUP(C163,[1]meteoriteQuery!$D$2:$F$517,1,FALSE),"")</f>
        <v>49672</v>
      </c>
    </row>
    <row r="164" spans="1:19" x14ac:dyDescent="0.25">
      <c r="A164" s="1">
        <v>141</v>
      </c>
      <c r="B164" s="1" t="s">
        <v>717</v>
      </c>
      <c r="C164" s="1">
        <v>49673</v>
      </c>
      <c r="D164" s="1" t="s">
        <v>715</v>
      </c>
      <c r="E164" s="2" t="s">
        <v>716</v>
      </c>
      <c r="F164" s="1">
        <v>7</v>
      </c>
      <c r="G164" s="1" t="s">
        <v>14</v>
      </c>
      <c r="H164" s="1" t="s">
        <v>718</v>
      </c>
      <c r="I164" s="1"/>
      <c r="J164" s="1">
        <v>49649</v>
      </c>
      <c r="K164" s="1" t="str">
        <f t="shared" si="4"/>
        <v>1:1:49649:8</v>
      </c>
      <c r="L164" s="1">
        <v>0</v>
      </c>
      <c r="M164" s="3" t="str">
        <f t="shared" si="5"/>
        <v/>
      </c>
      <c r="N164" s="1">
        <v>0</v>
      </c>
      <c r="O164" s="1" t="s">
        <v>2249</v>
      </c>
      <c r="P164" s="3" t="str" cm="1">
        <f t="array" ref="P164">IFERROR(mindat_longid(O164),"")</f>
        <v/>
      </c>
      <c r="Q164" s="1" t="str">
        <f>IFERROR(VLOOKUP(O164, [1]meteoriteQuery!$D$2:$E$540,2,FALSE),"")</f>
        <v/>
      </c>
      <c r="R164" s="1" t="s">
        <v>719</v>
      </c>
      <c r="S164" s="1">
        <f>IFERROR(VLOOKUP(C164,[1]meteoriteQuery!$D$2:$F$517,1,FALSE),"")</f>
        <v>49673</v>
      </c>
    </row>
    <row r="165" spans="1:19" x14ac:dyDescent="0.25">
      <c r="A165" s="1">
        <v>142</v>
      </c>
      <c r="B165" s="1" t="s">
        <v>722</v>
      </c>
      <c r="C165" s="1">
        <v>49674</v>
      </c>
      <c r="D165" s="1" t="s">
        <v>720</v>
      </c>
      <c r="E165" s="1" t="s">
        <v>721</v>
      </c>
      <c r="F165" s="1">
        <v>7</v>
      </c>
      <c r="G165" s="1" t="s">
        <v>14</v>
      </c>
      <c r="H165" s="1" t="s">
        <v>723</v>
      </c>
      <c r="I165" s="1"/>
      <c r="J165" s="1">
        <v>49673</v>
      </c>
      <c r="K165" s="1" t="str">
        <f t="shared" si="4"/>
        <v>1:1:49673:5</v>
      </c>
      <c r="L165" s="1">
        <v>49677</v>
      </c>
      <c r="M165" s="3" t="str">
        <f t="shared" si="5"/>
        <v>1:1:49677:1</v>
      </c>
      <c r="N165" s="1">
        <v>0</v>
      </c>
      <c r="O165" s="1" t="s">
        <v>2249</v>
      </c>
      <c r="P165" s="3" t="str" cm="1">
        <f t="array" ref="P165">IFERROR(mindat_longid(O165),"")</f>
        <v/>
      </c>
      <c r="Q165" s="1" t="str">
        <f>IFERROR(VLOOKUP(O165, [1]meteoriteQuery!$D$2:$E$540,2,FALSE),"")</f>
        <v/>
      </c>
      <c r="R165" s="1" t="s">
        <v>724</v>
      </c>
      <c r="S165" s="1">
        <f>IFERROR(VLOOKUP(C165,[1]meteoriteQuery!$D$2:$F$517,1,FALSE),"")</f>
        <v>49674</v>
      </c>
    </row>
    <row r="166" spans="1:19" x14ac:dyDescent="0.25">
      <c r="A166" s="1">
        <v>143</v>
      </c>
      <c r="B166" s="1" t="s">
        <v>727</v>
      </c>
      <c r="C166" s="1">
        <v>49675</v>
      </c>
      <c r="D166" s="1" t="s">
        <v>725</v>
      </c>
      <c r="E166" s="1" t="s">
        <v>726</v>
      </c>
      <c r="F166" s="1">
        <v>2</v>
      </c>
      <c r="G166" s="1" t="s">
        <v>508</v>
      </c>
      <c r="H166" s="1" t="s">
        <v>728</v>
      </c>
      <c r="I166" s="1"/>
      <c r="J166" s="1">
        <v>49649</v>
      </c>
      <c r="K166" s="1" t="str">
        <f t="shared" si="4"/>
        <v>1:1:49649:8</v>
      </c>
      <c r="L166" s="1">
        <v>0</v>
      </c>
      <c r="M166" s="3" t="str">
        <f t="shared" si="5"/>
        <v/>
      </c>
      <c r="N166" s="1">
        <v>0</v>
      </c>
      <c r="O166" s="1" t="s">
        <v>2249</v>
      </c>
      <c r="P166" s="3" t="str" cm="1">
        <f t="array" ref="P166">IFERROR(mindat_longid(O166),"")</f>
        <v/>
      </c>
      <c r="Q166" s="1" t="str">
        <f>IFERROR(VLOOKUP(O166, [1]meteoriteQuery!$D$2:$E$540,2,FALSE),"")</f>
        <v/>
      </c>
      <c r="R166" s="1" t="s">
        <v>729</v>
      </c>
      <c r="S166" s="1">
        <f>IFERROR(VLOOKUP(C166,[1]meteoriteQuery!$D$2:$F$517,1,FALSE),"")</f>
        <v>49675</v>
      </c>
    </row>
    <row r="167" spans="1:19" x14ac:dyDescent="0.25">
      <c r="A167" s="1">
        <v>144</v>
      </c>
      <c r="B167" s="1" t="s">
        <v>732</v>
      </c>
      <c r="C167" s="1">
        <v>49676</v>
      </c>
      <c r="D167" s="1" t="s">
        <v>730</v>
      </c>
      <c r="E167" s="1" t="s">
        <v>731</v>
      </c>
      <c r="F167" s="1">
        <v>2</v>
      </c>
      <c r="G167" s="1" t="s">
        <v>508</v>
      </c>
      <c r="H167" s="1" t="s">
        <v>733</v>
      </c>
      <c r="I167" s="1"/>
      <c r="J167" s="1">
        <v>49649</v>
      </c>
      <c r="K167" s="1" t="str">
        <f t="shared" si="4"/>
        <v>1:1:49649:8</v>
      </c>
      <c r="L167" s="1">
        <v>49695</v>
      </c>
      <c r="M167" s="3" t="str">
        <f t="shared" si="5"/>
        <v>1:1:49695:7</v>
      </c>
      <c r="N167" s="1">
        <v>0</v>
      </c>
      <c r="O167" s="1" t="s">
        <v>2249</v>
      </c>
      <c r="P167" s="3" t="str" cm="1">
        <f t="array" ref="P167">IFERROR(mindat_longid(O167),"")</f>
        <v/>
      </c>
      <c r="Q167" s="1" t="str">
        <f>IFERROR(VLOOKUP(O167, [1]meteoriteQuery!$D$2:$E$540,2,FALSE),"")</f>
        <v/>
      </c>
      <c r="R167" s="1" t="s">
        <v>734</v>
      </c>
      <c r="S167" s="1">
        <f>IFERROR(VLOOKUP(C167,[1]meteoriteQuery!$D$2:$F$517,1,FALSE),"")</f>
        <v>49676</v>
      </c>
    </row>
    <row r="168" spans="1:19" x14ac:dyDescent="0.25">
      <c r="A168" s="1">
        <v>145</v>
      </c>
      <c r="B168" s="1" t="s">
        <v>737</v>
      </c>
      <c r="C168" s="1">
        <v>49677</v>
      </c>
      <c r="D168" s="1" t="s">
        <v>735</v>
      </c>
      <c r="E168" s="1" t="s">
        <v>736</v>
      </c>
      <c r="F168" s="1">
        <v>7</v>
      </c>
      <c r="G168" s="1" t="s">
        <v>14</v>
      </c>
      <c r="H168" s="1" t="s">
        <v>738</v>
      </c>
      <c r="I168" s="1"/>
      <c r="J168" s="1">
        <v>49649</v>
      </c>
      <c r="K168" s="1" t="str">
        <f t="shared" si="4"/>
        <v>1:1:49649:8</v>
      </c>
      <c r="L168" s="1">
        <v>0</v>
      </c>
      <c r="M168" s="3" t="str">
        <f t="shared" si="5"/>
        <v/>
      </c>
      <c r="N168" s="1">
        <v>0</v>
      </c>
      <c r="O168" s="1" t="s">
        <v>2249</v>
      </c>
      <c r="P168" s="3" t="str" cm="1">
        <f t="array" ref="P168">IFERROR(mindat_longid(O168),"")</f>
        <v/>
      </c>
      <c r="Q168" s="1" t="str">
        <f>IFERROR(VLOOKUP(O168, [1]meteoriteQuery!$D$2:$E$540,2,FALSE),"")</f>
        <v/>
      </c>
      <c r="R168" s="1" t="s">
        <v>739</v>
      </c>
      <c r="S168" s="1">
        <f>IFERROR(VLOOKUP(C168,[1]meteoriteQuery!$D$2:$F$517,1,FALSE),"")</f>
        <v>49677</v>
      </c>
    </row>
    <row r="169" spans="1:19" x14ac:dyDescent="0.25">
      <c r="A169" s="1">
        <v>146</v>
      </c>
      <c r="B169" s="1" t="s">
        <v>742</v>
      </c>
      <c r="C169" s="1">
        <v>49678</v>
      </c>
      <c r="D169" s="1" t="s">
        <v>740</v>
      </c>
      <c r="E169" s="1" t="s">
        <v>741</v>
      </c>
      <c r="F169" s="1">
        <v>7</v>
      </c>
      <c r="G169" s="1" t="s">
        <v>14</v>
      </c>
      <c r="H169" s="1" t="s">
        <v>743</v>
      </c>
      <c r="I169" s="1"/>
      <c r="J169" s="1">
        <v>49677</v>
      </c>
      <c r="K169" s="1" t="str">
        <f t="shared" si="4"/>
        <v>1:1:49677:1</v>
      </c>
      <c r="L169" s="1">
        <v>0</v>
      </c>
      <c r="M169" s="3" t="str">
        <f t="shared" si="5"/>
        <v/>
      </c>
      <c r="N169" s="1">
        <v>0</v>
      </c>
      <c r="O169" s="1" t="s">
        <v>2249</v>
      </c>
      <c r="P169" s="3" t="str" cm="1">
        <f t="array" ref="P169">IFERROR(mindat_longid(O169),"")</f>
        <v/>
      </c>
      <c r="Q169" s="1" t="str">
        <f>IFERROR(VLOOKUP(O169, [1]meteoriteQuery!$D$2:$E$540,2,FALSE),"")</f>
        <v/>
      </c>
      <c r="R169" s="1" t="s">
        <v>744</v>
      </c>
      <c r="S169" s="1">
        <f>IFERROR(VLOOKUP(C169,[1]meteoriteQuery!$D$2:$F$517,1,FALSE),"")</f>
        <v>49678</v>
      </c>
    </row>
    <row r="170" spans="1:19" x14ac:dyDescent="0.25">
      <c r="A170" s="1">
        <v>147</v>
      </c>
      <c r="B170" s="1" t="s">
        <v>747</v>
      </c>
      <c r="C170" s="1">
        <v>49679</v>
      </c>
      <c r="D170" s="1" t="s">
        <v>745</v>
      </c>
      <c r="E170" s="1" t="s">
        <v>746</v>
      </c>
      <c r="F170" s="1">
        <v>7</v>
      </c>
      <c r="G170" s="1" t="s">
        <v>14</v>
      </c>
      <c r="H170" s="1" t="s">
        <v>748</v>
      </c>
      <c r="I170" s="1"/>
      <c r="J170" s="1">
        <v>49649</v>
      </c>
      <c r="K170" s="1" t="str">
        <f t="shared" si="4"/>
        <v>1:1:49649:8</v>
      </c>
      <c r="L170" s="1">
        <v>0</v>
      </c>
      <c r="M170" s="3" t="str">
        <f t="shared" si="5"/>
        <v/>
      </c>
      <c r="N170" s="1">
        <v>0</v>
      </c>
      <c r="O170" s="1" t="s">
        <v>2249</v>
      </c>
      <c r="P170" s="3" t="str" cm="1">
        <f t="array" ref="P170">IFERROR(mindat_longid(O170),"")</f>
        <v/>
      </c>
      <c r="Q170" s="1" t="str">
        <f>IFERROR(VLOOKUP(O170, [1]meteoriteQuery!$D$2:$E$540,2,FALSE),"")</f>
        <v/>
      </c>
      <c r="R170" s="1" t="s">
        <v>749</v>
      </c>
      <c r="S170" s="1">
        <f>IFERROR(VLOOKUP(C170,[1]meteoriteQuery!$D$2:$F$517,1,FALSE),"")</f>
        <v>49679</v>
      </c>
    </row>
    <row r="171" spans="1:19" x14ac:dyDescent="0.25">
      <c r="A171" s="1">
        <v>148</v>
      </c>
      <c r="B171" s="1" t="s">
        <v>752</v>
      </c>
      <c r="C171" s="1">
        <v>49680</v>
      </c>
      <c r="D171" s="1" t="s">
        <v>750</v>
      </c>
      <c r="E171" s="1" t="s">
        <v>751</v>
      </c>
      <c r="F171" s="1">
        <v>2</v>
      </c>
      <c r="G171" s="1" t="s">
        <v>508</v>
      </c>
      <c r="H171" s="1" t="s">
        <v>753</v>
      </c>
      <c r="I171" s="1"/>
      <c r="J171" s="1">
        <v>49679</v>
      </c>
      <c r="K171" s="1" t="str">
        <f t="shared" si="4"/>
        <v>1:1:49679:9</v>
      </c>
      <c r="L171" s="1">
        <v>49695</v>
      </c>
      <c r="M171" s="3" t="str">
        <f t="shared" si="5"/>
        <v>1:1:49695:7</v>
      </c>
      <c r="N171" s="1">
        <v>0</v>
      </c>
      <c r="O171" s="1" t="s">
        <v>2249</v>
      </c>
      <c r="P171" s="3" t="str" cm="1">
        <f t="array" ref="P171">IFERROR(mindat_longid(O171),"")</f>
        <v/>
      </c>
      <c r="Q171" s="1" t="str">
        <f>IFERROR(VLOOKUP(O171, [1]meteoriteQuery!$D$2:$E$540,2,FALSE),"")</f>
        <v/>
      </c>
      <c r="R171" s="1" t="s">
        <v>754</v>
      </c>
      <c r="S171" s="1">
        <f>IFERROR(VLOOKUP(C171,[1]meteoriteQuery!$D$2:$F$517,1,FALSE),"")</f>
        <v>49680</v>
      </c>
    </row>
    <row r="172" spans="1:19" x14ac:dyDescent="0.25">
      <c r="A172" s="1">
        <v>149</v>
      </c>
      <c r="B172" s="1" t="s">
        <v>757</v>
      </c>
      <c r="C172" s="1">
        <v>49682</v>
      </c>
      <c r="D172" s="1" t="s">
        <v>755</v>
      </c>
      <c r="E172" s="1" t="s">
        <v>756</v>
      </c>
      <c r="F172" s="1">
        <v>7</v>
      </c>
      <c r="G172" s="1" t="s">
        <v>14</v>
      </c>
      <c r="H172" s="1" t="s">
        <v>758</v>
      </c>
      <c r="I172" s="1"/>
      <c r="J172" s="1">
        <v>49649</v>
      </c>
      <c r="K172" s="1" t="str">
        <f t="shared" si="4"/>
        <v>1:1:49649:8</v>
      </c>
      <c r="L172" s="1">
        <v>49585</v>
      </c>
      <c r="M172" s="3" t="str">
        <f t="shared" si="5"/>
        <v>1:1:49585:1</v>
      </c>
      <c r="N172" s="1">
        <v>0</v>
      </c>
      <c r="O172" s="1" t="s">
        <v>2249</v>
      </c>
      <c r="P172" s="3" t="str" cm="1">
        <f t="array" ref="P172">IFERROR(mindat_longid(O172),"")</f>
        <v/>
      </c>
      <c r="Q172" s="1" t="str">
        <f>IFERROR(VLOOKUP(O172, [1]meteoriteQuery!$D$2:$E$540,2,FALSE),"")</f>
        <v/>
      </c>
      <c r="R172" s="1" t="s">
        <v>759</v>
      </c>
      <c r="S172" s="1">
        <f>IFERROR(VLOOKUP(C172,[1]meteoriteQuery!$D$2:$F$517,1,FALSE),"")</f>
        <v>49682</v>
      </c>
    </row>
    <row r="173" spans="1:19" x14ac:dyDescent="0.25">
      <c r="A173" s="1">
        <v>150</v>
      </c>
      <c r="B173" s="1" t="s">
        <v>762</v>
      </c>
      <c r="C173" s="1">
        <v>49683</v>
      </c>
      <c r="D173" s="1" t="s">
        <v>760</v>
      </c>
      <c r="E173" s="1" t="s">
        <v>761</v>
      </c>
      <c r="F173" s="1">
        <v>7</v>
      </c>
      <c r="G173" s="1" t="s">
        <v>14</v>
      </c>
      <c r="H173" s="1" t="s">
        <v>763</v>
      </c>
      <c r="I173" s="1"/>
      <c r="J173" s="1">
        <v>49746</v>
      </c>
      <c r="K173" s="1" t="str">
        <f t="shared" si="4"/>
        <v>1:1:49746:0</v>
      </c>
      <c r="L173" s="1">
        <v>49648</v>
      </c>
      <c r="M173" s="3" t="str">
        <f t="shared" si="5"/>
        <v>1:1:49648:9</v>
      </c>
      <c r="N173" s="1">
        <v>0</v>
      </c>
      <c r="O173" s="1" t="s">
        <v>2249</v>
      </c>
      <c r="P173" s="3" t="str" cm="1">
        <f t="array" ref="P173">IFERROR(mindat_longid(O173),"")</f>
        <v/>
      </c>
      <c r="Q173" s="1" t="str">
        <f>IFERROR(VLOOKUP(O173, [1]meteoriteQuery!$D$2:$E$540,2,FALSE),"")</f>
        <v/>
      </c>
      <c r="R173" s="1" t="s">
        <v>764</v>
      </c>
      <c r="S173" s="1">
        <f>IFERROR(VLOOKUP(C173,[1]meteoriteQuery!$D$2:$F$517,1,FALSE),"")</f>
        <v>49683</v>
      </c>
    </row>
    <row r="174" spans="1:19" x14ac:dyDescent="0.25">
      <c r="A174" s="1">
        <v>151</v>
      </c>
      <c r="B174" s="1" t="s">
        <v>767</v>
      </c>
      <c r="C174" s="1">
        <v>49684</v>
      </c>
      <c r="D174" s="1" t="s">
        <v>765</v>
      </c>
      <c r="E174" s="1" t="s">
        <v>766</v>
      </c>
      <c r="F174" s="1">
        <v>7</v>
      </c>
      <c r="G174" s="1" t="s">
        <v>14</v>
      </c>
      <c r="H174" s="1" t="s">
        <v>768</v>
      </c>
      <c r="I174" s="1"/>
      <c r="J174" s="1">
        <v>50452</v>
      </c>
      <c r="K174" s="1" t="str">
        <f t="shared" si="4"/>
        <v>1:1:50452:0</v>
      </c>
      <c r="L174" s="1">
        <v>0</v>
      </c>
      <c r="M174" s="3" t="str">
        <f t="shared" si="5"/>
        <v/>
      </c>
      <c r="N174" s="1">
        <v>0</v>
      </c>
      <c r="O174" s="1" t="s">
        <v>2249</v>
      </c>
      <c r="P174" s="3" t="str" cm="1">
        <f t="array" ref="P174">IFERROR(mindat_longid(O174),"")</f>
        <v/>
      </c>
      <c r="Q174" s="1" t="str">
        <f>IFERROR(VLOOKUP(O174, [1]meteoriteQuery!$D$2:$E$540,2,FALSE),"")</f>
        <v/>
      </c>
      <c r="R174" s="1" t="s">
        <v>769</v>
      </c>
      <c r="S174" s="1">
        <f>IFERROR(VLOOKUP(C174,[1]meteoriteQuery!$D$2:$F$517,1,FALSE),"")</f>
        <v>49684</v>
      </c>
    </row>
    <row r="175" spans="1:19" x14ac:dyDescent="0.25">
      <c r="A175" s="1">
        <v>152</v>
      </c>
      <c r="B175" s="1" t="s">
        <v>772</v>
      </c>
      <c r="C175" s="1">
        <v>49685</v>
      </c>
      <c r="D175" s="1" t="s">
        <v>770</v>
      </c>
      <c r="E175" s="1" t="s">
        <v>771</v>
      </c>
      <c r="F175" s="1">
        <v>7</v>
      </c>
      <c r="G175" s="1" t="s">
        <v>14</v>
      </c>
      <c r="H175" s="1" t="s">
        <v>773</v>
      </c>
      <c r="I175" s="1"/>
      <c r="J175" s="1">
        <v>49683</v>
      </c>
      <c r="K175" s="1" t="str">
        <f t="shared" si="4"/>
        <v>1:1:49683:2</v>
      </c>
      <c r="L175" s="1">
        <v>0</v>
      </c>
      <c r="M175" s="3" t="str">
        <f t="shared" si="5"/>
        <v/>
      </c>
      <c r="N175" s="1">
        <v>0</v>
      </c>
      <c r="O175" s="1" t="s">
        <v>2249</v>
      </c>
      <c r="P175" s="3" t="str" cm="1">
        <f t="array" ref="P175">IFERROR(mindat_longid(O175),"")</f>
        <v/>
      </c>
      <c r="Q175" s="1" t="str">
        <f>IFERROR(VLOOKUP(O175, [1]meteoriteQuery!$D$2:$E$540,2,FALSE),"")</f>
        <v/>
      </c>
      <c r="R175" s="1" t="s">
        <v>774</v>
      </c>
      <c r="S175" s="1">
        <f>IFERROR(VLOOKUP(C175,[1]meteoriteQuery!$D$2:$F$517,1,FALSE),"")</f>
        <v>49685</v>
      </c>
    </row>
    <row r="176" spans="1:19" x14ac:dyDescent="0.25">
      <c r="A176" s="1">
        <v>153</v>
      </c>
      <c r="B176" s="1" t="s">
        <v>777</v>
      </c>
      <c r="C176" s="1">
        <v>49686</v>
      </c>
      <c r="D176" s="1" t="s">
        <v>775</v>
      </c>
      <c r="E176" s="1" t="s">
        <v>776</v>
      </c>
      <c r="F176" s="1">
        <v>2</v>
      </c>
      <c r="G176" s="1" t="s">
        <v>508</v>
      </c>
      <c r="H176" s="1" t="s">
        <v>778</v>
      </c>
      <c r="I176" s="1"/>
      <c r="J176" s="1">
        <v>50452</v>
      </c>
      <c r="K176" s="1" t="str">
        <f t="shared" si="4"/>
        <v>1:1:50452:0</v>
      </c>
      <c r="L176" s="1">
        <v>0</v>
      </c>
      <c r="M176" s="3" t="str">
        <f t="shared" si="5"/>
        <v/>
      </c>
      <c r="N176" s="1">
        <v>0</v>
      </c>
      <c r="O176" s="1" t="s">
        <v>2249</v>
      </c>
      <c r="P176" s="3" t="str" cm="1">
        <f t="array" ref="P176">IFERROR(mindat_longid(O176),"")</f>
        <v/>
      </c>
      <c r="Q176" s="1" t="str">
        <f>IFERROR(VLOOKUP(O176, [1]meteoriteQuery!$D$2:$E$540,2,FALSE),"")</f>
        <v/>
      </c>
      <c r="R176" s="1" t="s">
        <v>779</v>
      </c>
      <c r="S176" s="1">
        <f>IFERROR(VLOOKUP(C176,[1]meteoriteQuery!$D$2:$F$517,1,FALSE),"")</f>
        <v>49686</v>
      </c>
    </row>
    <row r="177" spans="1:19" x14ac:dyDescent="0.25">
      <c r="A177" s="1">
        <v>154</v>
      </c>
      <c r="B177" s="1" t="s">
        <v>782</v>
      </c>
      <c r="C177" s="1">
        <v>49688</v>
      </c>
      <c r="D177" s="1" t="s">
        <v>780</v>
      </c>
      <c r="E177" s="1" t="s">
        <v>781</v>
      </c>
      <c r="F177" s="1">
        <v>7</v>
      </c>
      <c r="G177" s="1" t="s">
        <v>14</v>
      </c>
      <c r="H177" s="1" t="s">
        <v>783</v>
      </c>
      <c r="I177" s="1"/>
      <c r="J177" s="1">
        <v>49683</v>
      </c>
      <c r="K177" s="1" t="str">
        <f t="shared" si="4"/>
        <v>1:1:49683:2</v>
      </c>
      <c r="L177" s="1">
        <v>0</v>
      </c>
      <c r="M177" s="3" t="str">
        <f t="shared" si="5"/>
        <v/>
      </c>
      <c r="N177" s="1">
        <v>0</v>
      </c>
      <c r="O177" s="1" t="s">
        <v>2249</v>
      </c>
      <c r="P177" s="3" t="str" cm="1">
        <f t="array" ref="P177">IFERROR(mindat_longid(O177),"")</f>
        <v/>
      </c>
      <c r="Q177" s="1" t="str">
        <f>IFERROR(VLOOKUP(O177, [1]meteoriteQuery!$D$2:$E$540,2,FALSE),"")</f>
        <v/>
      </c>
      <c r="R177" s="1" t="s">
        <v>784</v>
      </c>
      <c r="S177" s="1">
        <f>IFERROR(VLOOKUP(C177,[1]meteoriteQuery!$D$2:$F$517,1,FALSE),"")</f>
        <v>49688</v>
      </c>
    </row>
    <row r="178" spans="1:19" x14ac:dyDescent="0.25">
      <c r="A178" s="1">
        <v>155</v>
      </c>
      <c r="B178" s="1" t="s">
        <v>787</v>
      </c>
      <c r="C178" s="1">
        <v>49689</v>
      </c>
      <c r="D178" s="1" t="s">
        <v>785</v>
      </c>
      <c r="E178" s="1" t="s">
        <v>786</v>
      </c>
      <c r="F178" s="1">
        <v>7</v>
      </c>
      <c r="G178" s="1" t="s">
        <v>14</v>
      </c>
      <c r="H178" s="1" t="s">
        <v>788</v>
      </c>
      <c r="I178" s="1"/>
      <c r="J178" s="1">
        <v>49683</v>
      </c>
      <c r="K178" s="1" t="str">
        <f t="shared" si="4"/>
        <v>1:1:49683:2</v>
      </c>
      <c r="L178" s="1">
        <v>0</v>
      </c>
      <c r="M178" s="3" t="str">
        <f t="shared" si="5"/>
        <v/>
      </c>
      <c r="N178" s="1">
        <v>0</v>
      </c>
      <c r="O178" s="1" t="s">
        <v>2249</v>
      </c>
      <c r="P178" s="3" t="str" cm="1">
        <f t="array" ref="P178">IFERROR(mindat_longid(O178),"")</f>
        <v/>
      </c>
      <c r="Q178" s="1" t="str">
        <f>IFERROR(VLOOKUP(O178, [1]meteoriteQuery!$D$2:$E$540,2,FALSE),"")</f>
        <v/>
      </c>
      <c r="R178" s="1" t="s">
        <v>789</v>
      </c>
      <c r="S178" s="1">
        <f>IFERROR(VLOOKUP(C178,[1]meteoriteQuery!$D$2:$F$517,1,FALSE),"")</f>
        <v>49689</v>
      </c>
    </row>
    <row r="179" spans="1:19" x14ac:dyDescent="0.25">
      <c r="A179" s="1">
        <v>156</v>
      </c>
      <c r="B179" s="1" t="s">
        <v>792</v>
      </c>
      <c r="C179" s="1">
        <v>49690</v>
      </c>
      <c r="D179" s="1" t="s">
        <v>790</v>
      </c>
      <c r="E179" s="1" t="s">
        <v>791</v>
      </c>
      <c r="F179" s="1">
        <v>7</v>
      </c>
      <c r="G179" s="1" t="s">
        <v>14</v>
      </c>
      <c r="H179" s="1" t="s">
        <v>793</v>
      </c>
      <c r="I179" s="1"/>
      <c r="J179" s="1">
        <v>50453</v>
      </c>
      <c r="K179" s="1" t="str">
        <f t="shared" si="4"/>
        <v>1:1:50453:9</v>
      </c>
      <c r="L179" s="1">
        <v>0</v>
      </c>
      <c r="M179" s="3" t="str">
        <f t="shared" si="5"/>
        <v/>
      </c>
      <c r="N179" s="1">
        <v>0</v>
      </c>
      <c r="O179" s="1" t="s">
        <v>2249</v>
      </c>
      <c r="P179" s="3" t="str" cm="1">
        <f t="array" ref="P179">IFERROR(mindat_longid(O179),"")</f>
        <v/>
      </c>
      <c r="Q179" s="1" t="str">
        <f>IFERROR(VLOOKUP(O179, [1]meteoriteQuery!$D$2:$E$540,2,FALSE),"")</f>
        <v/>
      </c>
      <c r="R179" s="1" t="s">
        <v>794</v>
      </c>
      <c r="S179" s="1">
        <f>IFERROR(VLOOKUP(C179,[1]meteoriteQuery!$D$2:$F$517,1,FALSE),"")</f>
        <v>49690</v>
      </c>
    </row>
    <row r="180" spans="1:19" x14ac:dyDescent="0.25">
      <c r="A180" s="1">
        <v>157</v>
      </c>
      <c r="B180" s="1" t="s">
        <v>797</v>
      </c>
      <c r="C180" s="1">
        <v>49691</v>
      </c>
      <c r="D180" s="1" t="s">
        <v>795</v>
      </c>
      <c r="E180" s="1" t="s">
        <v>796</v>
      </c>
      <c r="F180" s="1">
        <v>7</v>
      </c>
      <c r="G180" s="1" t="s">
        <v>14</v>
      </c>
      <c r="H180" s="1" t="s">
        <v>798</v>
      </c>
      <c r="I180" s="1"/>
      <c r="J180" s="1">
        <v>49683</v>
      </c>
      <c r="K180" s="1" t="str">
        <f t="shared" si="4"/>
        <v>1:1:49683:2</v>
      </c>
      <c r="L180" s="1">
        <v>0</v>
      </c>
      <c r="M180" s="3" t="str">
        <f t="shared" si="5"/>
        <v/>
      </c>
      <c r="N180" s="1">
        <v>0</v>
      </c>
      <c r="O180" s="1" t="s">
        <v>2249</v>
      </c>
      <c r="P180" s="3" t="str" cm="1">
        <f t="array" ref="P180">IFERROR(mindat_longid(O180),"")</f>
        <v/>
      </c>
      <c r="Q180" s="1" t="str">
        <f>IFERROR(VLOOKUP(O180, [1]meteoriteQuery!$D$2:$E$540,2,FALSE),"")</f>
        <v/>
      </c>
      <c r="R180" s="1" t="s">
        <v>799</v>
      </c>
      <c r="S180" s="1">
        <f>IFERROR(VLOOKUP(C180,[1]meteoriteQuery!$D$2:$F$517,1,FALSE),"")</f>
        <v>49691</v>
      </c>
    </row>
    <row r="181" spans="1:19" x14ac:dyDescent="0.25">
      <c r="A181" s="1">
        <v>158</v>
      </c>
      <c r="B181" s="1" t="s">
        <v>802</v>
      </c>
      <c r="C181" s="1">
        <v>49692</v>
      </c>
      <c r="D181" s="1" t="s">
        <v>800</v>
      </c>
      <c r="E181" s="1" t="s">
        <v>801</v>
      </c>
      <c r="F181" s="1">
        <v>7</v>
      </c>
      <c r="G181" s="1" t="s">
        <v>14</v>
      </c>
      <c r="H181" s="1" t="s">
        <v>803</v>
      </c>
      <c r="I181" s="1"/>
      <c r="J181" s="1">
        <v>50453</v>
      </c>
      <c r="K181" s="1" t="str">
        <f t="shared" si="4"/>
        <v>1:1:50453:9</v>
      </c>
      <c r="L181" s="1">
        <v>0</v>
      </c>
      <c r="M181" s="3" t="str">
        <f t="shared" si="5"/>
        <v/>
      </c>
      <c r="N181" s="1">
        <v>0</v>
      </c>
      <c r="O181" s="1" t="s">
        <v>2249</v>
      </c>
      <c r="P181" s="3" t="str" cm="1">
        <f t="array" ref="P181">IFERROR(mindat_longid(O181),"")</f>
        <v/>
      </c>
      <c r="Q181" s="1" t="str">
        <f>IFERROR(VLOOKUP(O181, [1]meteoriteQuery!$D$2:$E$540,2,FALSE),"")</f>
        <v/>
      </c>
      <c r="R181" s="1" t="s">
        <v>804</v>
      </c>
      <c r="S181" s="1">
        <f>IFERROR(VLOOKUP(C181,[1]meteoriteQuery!$D$2:$F$517,1,FALSE),"")</f>
        <v>49692</v>
      </c>
    </row>
    <row r="182" spans="1:19" x14ac:dyDescent="0.25">
      <c r="A182" s="1">
        <v>159</v>
      </c>
      <c r="B182" s="1" t="s">
        <v>807</v>
      </c>
      <c r="C182" s="1">
        <v>49693</v>
      </c>
      <c r="D182" s="1" t="s">
        <v>805</v>
      </c>
      <c r="E182" s="1" t="s">
        <v>806</v>
      </c>
      <c r="F182" s="1">
        <v>2</v>
      </c>
      <c r="G182" s="1" t="s">
        <v>508</v>
      </c>
      <c r="H182" s="1" t="s">
        <v>808</v>
      </c>
      <c r="I182" s="1"/>
      <c r="J182" s="1">
        <v>50453</v>
      </c>
      <c r="K182" s="1" t="str">
        <f t="shared" si="4"/>
        <v>1:1:50453:9</v>
      </c>
      <c r="L182" s="1">
        <v>0</v>
      </c>
      <c r="M182" s="3" t="str">
        <f t="shared" si="5"/>
        <v/>
      </c>
      <c r="N182" s="1">
        <v>0</v>
      </c>
      <c r="O182" s="1" t="s">
        <v>2249</v>
      </c>
      <c r="P182" s="3" t="str" cm="1">
        <f t="array" ref="P182">IFERROR(mindat_longid(O182),"")</f>
        <v/>
      </c>
      <c r="Q182" s="1" t="str">
        <f>IFERROR(VLOOKUP(O182, [1]meteoriteQuery!$D$2:$E$540,2,FALSE),"")</f>
        <v/>
      </c>
      <c r="R182" s="1" t="s">
        <v>809</v>
      </c>
      <c r="S182" s="1">
        <f>IFERROR(VLOOKUP(C182,[1]meteoriteQuery!$D$2:$F$517,1,FALSE),"")</f>
        <v>49693</v>
      </c>
    </row>
    <row r="183" spans="1:19" x14ac:dyDescent="0.25">
      <c r="A183" s="1">
        <v>160</v>
      </c>
      <c r="B183" s="1" t="s">
        <v>812</v>
      </c>
      <c r="C183" s="1">
        <v>49695</v>
      </c>
      <c r="D183" s="1" t="s">
        <v>810</v>
      </c>
      <c r="E183" s="1" t="s">
        <v>811</v>
      </c>
      <c r="F183" s="1">
        <v>7</v>
      </c>
      <c r="G183" s="1" t="s">
        <v>14</v>
      </c>
      <c r="H183" s="1" t="s">
        <v>813</v>
      </c>
      <c r="I183" s="1"/>
      <c r="J183" s="1">
        <v>49648</v>
      </c>
      <c r="K183" s="1" t="str">
        <f t="shared" si="4"/>
        <v>1:1:49648:9</v>
      </c>
      <c r="L183" s="1">
        <v>49843</v>
      </c>
      <c r="M183" s="3" t="str">
        <f t="shared" si="5"/>
        <v>1:1:49843:2</v>
      </c>
      <c r="N183" s="1">
        <v>1</v>
      </c>
      <c r="O183" s="1" t="s">
        <v>2249</v>
      </c>
      <c r="P183" s="3" t="str" cm="1">
        <f t="array" ref="P183">IFERROR(mindat_longid(O183),"")</f>
        <v/>
      </c>
      <c r="Q183" s="1" t="str">
        <f>IFERROR(VLOOKUP(O183, [1]meteoriteQuery!$D$2:$E$540,2,FALSE),"")</f>
        <v/>
      </c>
      <c r="R183" s="1" t="s">
        <v>814</v>
      </c>
      <c r="S183" s="1">
        <f>IFERROR(VLOOKUP(C183,[1]meteoriteQuery!$D$2:$F$517,1,FALSE),"")</f>
        <v>49695</v>
      </c>
    </row>
    <row r="184" spans="1:19" x14ac:dyDescent="0.25">
      <c r="A184" s="1">
        <v>161</v>
      </c>
      <c r="B184" s="1" t="s">
        <v>817</v>
      </c>
      <c r="C184" s="1">
        <v>49696</v>
      </c>
      <c r="D184" s="1" t="s">
        <v>815</v>
      </c>
      <c r="E184" s="1" t="s">
        <v>816</v>
      </c>
      <c r="F184" s="1">
        <v>7</v>
      </c>
      <c r="G184" s="1" t="s">
        <v>14</v>
      </c>
      <c r="H184" s="1" t="s">
        <v>818</v>
      </c>
      <c r="I184" s="1"/>
      <c r="J184" s="1">
        <v>49695</v>
      </c>
      <c r="K184" s="1" t="str">
        <f t="shared" si="4"/>
        <v>1:1:49695:7</v>
      </c>
      <c r="L184" s="1">
        <v>0</v>
      </c>
      <c r="M184" s="3" t="str">
        <f t="shared" si="5"/>
        <v/>
      </c>
      <c r="N184" s="1">
        <v>0</v>
      </c>
      <c r="O184" s="1" t="s">
        <v>2249</v>
      </c>
      <c r="P184" s="3" t="str" cm="1">
        <f t="array" ref="P184">IFERROR(mindat_longid(O184),"")</f>
        <v/>
      </c>
      <c r="Q184" s="1" t="str">
        <f>IFERROR(VLOOKUP(O184, [1]meteoriteQuery!$D$2:$E$540,2,FALSE),"")</f>
        <v/>
      </c>
      <c r="R184" s="1" t="s">
        <v>819</v>
      </c>
      <c r="S184" s="1">
        <f>IFERROR(VLOOKUP(C184,[1]meteoriteQuery!$D$2:$F$517,1,FALSE),"")</f>
        <v>49696</v>
      </c>
    </row>
    <row r="185" spans="1:19" x14ac:dyDescent="0.25">
      <c r="A185" s="1">
        <v>162</v>
      </c>
      <c r="B185" s="1" t="s">
        <v>822</v>
      </c>
      <c r="C185" s="1">
        <v>49697</v>
      </c>
      <c r="D185" s="1" t="s">
        <v>820</v>
      </c>
      <c r="E185" s="1" t="s">
        <v>821</v>
      </c>
      <c r="F185" s="1">
        <v>7</v>
      </c>
      <c r="G185" s="1" t="s">
        <v>14</v>
      </c>
      <c r="H185" s="1" t="s">
        <v>823</v>
      </c>
      <c r="I185" s="1"/>
      <c r="J185" s="1">
        <v>49695</v>
      </c>
      <c r="K185" s="1" t="str">
        <f t="shared" si="4"/>
        <v>1:1:49695:7</v>
      </c>
      <c r="L185" s="1">
        <v>0</v>
      </c>
      <c r="M185" s="3" t="str">
        <f t="shared" si="5"/>
        <v/>
      </c>
      <c r="N185" s="1">
        <v>0</v>
      </c>
      <c r="O185" s="1" t="s">
        <v>2249</v>
      </c>
      <c r="P185" s="3" t="str" cm="1">
        <f t="array" ref="P185">IFERROR(mindat_longid(O185),"")</f>
        <v/>
      </c>
      <c r="Q185" s="1" t="str">
        <f>IFERROR(VLOOKUP(O185, [1]meteoriteQuery!$D$2:$E$540,2,FALSE),"")</f>
        <v/>
      </c>
      <c r="R185" s="1" t="s">
        <v>824</v>
      </c>
      <c r="S185" s="1">
        <f>IFERROR(VLOOKUP(C185,[1]meteoriteQuery!$D$2:$F$517,1,FALSE),"")</f>
        <v>49697</v>
      </c>
    </row>
    <row r="186" spans="1:19" x14ac:dyDescent="0.25">
      <c r="A186" s="1">
        <v>163</v>
      </c>
      <c r="B186" s="1" t="s">
        <v>827</v>
      </c>
      <c r="C186" s="1">
        <v>49698</v>
      </c>
      <c r="D186" s="1" t="s">
        <v>825</v>
      </c>
      <c r="E186" s="1" t="s">
        <v>826</v>
      </c>
      <c r="F186" s="1">
        <v>7</v>
      </c>
      <c r="G186" s="1" t="s">
        <v>14</v>
      </c>
      <c r="H186" s="1" t="s">
        <v>828</v>
      </c>
      <c r="I186" s="1"/>
      <c r="J186" s="1">
        <v>49695</v>
      </c>
      <c r="K186" s="1" t="str">
        <f t="shared" si="4"/>
        <v>1:1:49695:7</v>
      </c>
      <c r="L186" s="1">
        <v>0</v>
      </c>
      <c r="M186" s="3" t="str">
        <f t="shared" si="5"/>
        <v/>
      </c>
      <c r="N186" s="1">
        <v>0</v>
      </c>
      <c r="O186" s="1" t="s">
        <v>2249</v>
      </c>
      <c r="P186" s="3" t="str" cm="1">
        <f t="array" ref="P186">IFERROR(mindat_longid(O186),"")</f>
        <v/>
      </c>
      <c r="Q186" s="1" t="str">
        <f>IFERROR(VLOOKUP(O186, [1]meteoriteQuery!$D$2:$E$540,2,FALSE),"")</f>
        <v/>
      </c>
      <c r="R186" s="1" t="s">
        <v>829</v>
      </c>
      <c r="S186" s="1">
        <f>IFERROR(VLOOKUP(C186,[1]meteoriteQuery!$D$2:$F$517,1,FALSE),"")</f>
        <v>49698</v>
      </c>
    </row>
    <row r="187" spans="1:19" x14ac:dyDescent="0.25">
      <c r="A187" s="1">
        <v>164</v>
      </c>
      <c r="B187" s="1" t="s">
        <v>832</v>
      </c>
      <c r="C187" s="1">
        <v>49699</v>
      </c>
      <c r="D187" s="1" t="s">
        <v>830</v>
      </c>
      <c r="E187" s="1" t="s">
        <v>831</v>
      </c>
      <c r="F187" s="1">
        <v>7</v>
      </c>
      <c r="G187" s="1" t="s">
        <v>14</v>
      </c>
      <c r="H187" s="1" t="s">
        <v>833</v>
      </c>
      <c r="I187" s="1"/>
      <c r="J187" s="1">
        <v>49695</v>
      </c>
      <c r="K187" s="1" t="str">
        <f t="shared" si="4"/>
        <v>1:1:49695:7</v>
      </c>
      <c r="L187" s="1">
        <v>49768</v>
      </c>
      <c r="M187" s="3" t="str">
        <f t="shared" si="5"/>
        <v>1:1:49768:2</v>
      </c>
      <c r="N187" s="1">
        <v>0</v>
      </c>
      <c r="O187" s="1" t="s">
        <v>2249</v>
      </c>
      <c r="P187" s="3" t="str" cm="1">
        <f t="array" ref="P187">IFERROR(mindat_longid(O187),"")</f>
        <v/>
      </c>
      <c r="Q187" s="1" t="str">
        <f>IFERROR(VLOOKUP(O187, [1]meteoriteQuery!$D$2:$E$540,2,FALSE),"")</f>
        <v/>
      </c>
      <c r="R187" s="1" t="s">
        <v>834</v>
      </c>
      <c r="S187" s="1">
        <f>IFERROR(VLOOKUP(C187,[1]meteoriteQuery!$D$2:$F$517,1,FALSE),"")</f>
        <v>49699</v>
      </c>
    </row>
    <row r="188" spans="1:19" x14ac:dyDescent="0.25">
      <c r="A188" s="1">
        <v>165</v>
      </c>
      <c r="B188" s="1" t="s">
        <v>837</v>
      </c>
      <c r="C188" s="1">
        <v>49700</v>
      </c>
      <c r="D188" s="1" t="s">
        <v>835</v>
      </c>
      <c r="E188" s="1" t="s">
        <v>836</v>
      </c>
      <c r="F188" s="1">
        <v>7</v>
      </c>
      <c r="G188" s="1" t="s">
        <v>14</v>
      </c>
      <c r="H188" s="1" t="s">
        <v>838</v>
      </c>
      <c r="I188" s="1"/>
      <c r="J188" s="1">
        <v>49695</v>
      </c>
      <c r="K188" s="1" t="str">
        <f t="shared" si="4"/>
        <v>1:1:49695:7</v>
      </c>
      <c r="L188" s="1">
        <v>49702</v>
      </c>
      <c r="M188" s="3" t="str">
        <f t="shared" si="5"/>
        <v>1:1:49702:6</v>
      </c>
      <c r="N188" s="1">
        <v>0</v>
      </c>
      <c r="O188" s="1" t="s">
        <v>2249</v>
      </c>
      <c r="P188" s="3" t="str" cm="1">
        <f t="array" ref="P188">IFERROR(mindat_longid(O188),"")</f>
        <v/>
      </c>
      <c r="Q188" s="1" t="str">
        <f>IFERROR(VLOOKUP(O188, [1]meteoriteQuery!$D$2:$E$540,2,FALSE),"")</f>
        <v/>
      </c>
      <c r="R188" s="1" t="s">
        <v>839</v>
      </c>
      <c r="S188" s="1">
        <f>IFERROR(VLOOKUP(C188,[1]meteoriteQuery!$D$2:$F$517,1,FALSE),"")</f>
        <v>49700</v>
      </c>
    </row>
    <row r="189" spans="1:19" x14ac:dyDescent="0.25">
      <c r="A189" s="1">
        <v>166</v>
      </c>
      <c r="B189" s="1" t="s">
        <v>842</v>
      </c>
      <c r="C189" s="1">
        <v>49702</v>
      </c>
      <c r="D189" s="1" t="s">
        <v>840</v>
      </c>
      <c r="E189" s="1" t="s">
        <v>841</v>
      </c>
      <c r="F189" s="1">
        <v>7</v>
      </c>
      <c r="G189" s="1" t="s">
        <v>14</v>
      </c>
      <c r="H189" s="1" t="s">
        <v>843</v>
      </c>
      <c r="I189" s="1"/>
      <c r="J189" s="1">
        <v>49648</v>
      </c>
      <c r="K189" s="1" t="str">
        <f t="shared" si="4"/>
        <v>1:1:49648:9</v>
      </c>
      <c r="L189" s="1">
        <v>49844</v>
      </c>
      <c r="M189" s="3" t="str">
        <f t="shared" si="5"/>
        <v>1:1:49844:1</v>
      </c>
      <c r="N189" s="1">
        <v>1</v>
      </c>
      <c r="O189" s="1" t="s">
        <v>2249</v>
      </c>
      <c r="P189" s="3" t="str" cm="1">
        <f t="array" ref="P189">IFERROR(mindat_longid(O189),"")</f>
        <v/>
      </c>
      <c r="Q189" s="1" t="str">
        <f>IFERROR(VLOOKUP(O189, [1]meteoriteQuery!$D$2:$E$540,2,FALSE),"")</f>
        <v/>
      </c>
      <c r="R189" s="1" t="s">
        <v>844</v>
      </c>
      <c r="S189" s="1">
        <f>IFERROR(VLOOKUP(C189,[1]meteoriteQuery!$D$2:$F$517,1,FALSE),"")</f>
        <v>49702</v>
      </c>
    </row>
    <row r="190" spans="1:19" x14ac:dyDescent="0.25">
      <c r="A190" s="1">
        <v>167</v>
      </c>
      <c r="B190" s="1" t="s">
        <v>847</v>
      </c>
      <c r="C190" s="1">
        <v>49703</v>
      </c>
      <c r="D190" s="1" t="s">
        <v>845</v>
      </c>
      <c r="E190" s="1" t="s">
        <v>846</v>
      </c>
      <c r="F190" s="1">
        <v>7</v>
      </c>
      <c r="G190" s="1" t="s">
        <v>14</v>
      </c>
      <c r="H190" s="1" t="s">
        <v>848</v>
      </c>
      <c r="I190" s="1"/>
      <c r="J190" s="1">
        <v>49702</v>
      </c>
      <c r="K190" s="1" t="str">
        <f t="shared" si="4"/>
        <v>1:1:49702:6</v>
      </c>
      <c r="L190" s="1">
        <v>49772</v>
      </c>
      <c r="M190" s="3" t="str">
        <f t="shared" si="5"/>
        <v>1:1:49772:5</v>
      </c>
      <c r="N190" s="1">
        <v>0</v>
      </c>
      <c r="O190" s="1" t="s">
        <v>2249</v>
      </c>
      <c r="P190" s="3" t="str" cm="1">
        <f t="array" ref="P190">IFERROR(mindat_longid(O190),"")</f>
        <v/>
      </c>
      <c r="Q190" s="1" t="str">
        <f>IFERROR(VLOOKUP(O190, [1]meteoriteQuery!$D$2:$E$540,2,FALSE),"")</f>
        <v/>
      </c>
      <c r="R190" s="1" t="s">
        <v>849</v>
      </c>
      <c r="S190" s="1">
        <f>IFERROR(VLOOKUP(C190,[1]meteoriteQuery!$D$2:$F$517,1,FALSE),"")</f>
        <v>49703</v>
      </c>
    </row>
    <row r="191" spans="1:19" x14ac:dyDescent="0.25">
      <c r="A191" s="1">
        <v>168</v>
      </c>
      <c r="B191" s="1" t="s">
        <v>852</v>
      </c>
      <c r="C191" s="1">
        <v>49705</v>
      </c>
      <c r="D191" s="1" t="s">
        <v>850</v>
      </c>
      <c r="E191" s="1" t="s">
        <v>851</v>
      </c>
      <c r="F191" s="1">
        <v>7</v>
      </c>
      <c r="G191" s="1" t="s">
        <v>14</v>
      </c>
      <c r="H191" s="1" t="s">
        <v>853</v>
      </c>
      <c r="I191" s="1"/>
      <c r="J191" s="1">
        <v>49703</v>
      </c>
      <c r="K191" s="1" t="str">
        <f t="shared" si="4"/>
        <v>1:1:49703:5</v>
      </c>
      <c r="L191" s="1">
        <v>50459</v>
      </c>
      <c r="M191" s="3" t="str">
        <f t="shared" si="5"/>
        <v>1:1:50459:3</v>
      </c>
      <c r="N191" s="1">
        <v>0</v>
      </c>
      <c r="O191" s="1" t="s">
        <v>2249</v>
      </c>
      <c r="P191" s="3" t="str" cm="1">
        <f t="array" ref="P191">IFERROR(mindat_longid(O191),"")</f>
        <v/>
      </c>
      <c r="Q191" s="1" t="str">
        <f>IFERROR(VLOOKUP(O191, [1]meteoriteQuery!$D$2:$E$540,2,FALSE),"")</f>
        <v/>
      </c>
      <c r="R191" s="1" t="s">
        <v>854</v>
      </c>
      <c r="S191" s="1">
        <f>IFERROR(VLOOKUP(C191,[1]meteoriteQuery!$D$2:$F$517,1,FALSE),"")</f>
        <v>49705</v>
      </c>
    </row>
    <row r="192" spans="1:19" x14ac:dyDescent="0.25">
      <c r="A192" s="1">
        <v>169</v>
      </c>
      <c r="B192" s="1" t="s">
        <v>857</v>
      </c>
      <c r="C192" s="1">
        <v>49707</v>
      </c>
      <c r="D192" s="1" t="s">
        <v>855</v>
      </c>
      <c r="E192" s="1" t="s">
        <v>856</v>
      </c>
      <c r="F192" s="1">
        <v>7</v>
      </c>
      <c r="G192" s="1" t="s">
        <v>14</v>
      </c>
      <c r="H192" s="1" t="s">
        <v>858</v>
      </c>
      <c r="I192" s="1"/>
      <c r="J192" s="1">
        <v>49702</v>
      </c>
      <c r="K192" s="1" t="str">
        <f t="shared" si="4"/>
        <v>1:1:49702:6</v>
      </c>
      <c r="L192" s="1">
        <v>49710</v>
      </c>
      <c r="M192" s="3" t="str">
        <f t="shared" si="5"/>
        <v>1:1:49710:5</v>
      </c>
      <c r="N192" s="1">
        <v>0</v>
      </c>
      <c r="O192" s="1" t="s">
        <v>2249</v>
      </c>
      <c r="P192" s="3" t="str" cm="1">
        <f t="array" ref="P192">IFERROR(mindat_longid(O192),"")</f>
        <v/>
      </c>
      <c r="Q192" s="1" t="str">
        <f>IFERROR(VLOOKUP(O192, [1]meteoriteQuery!$D$2:$E$540,2,FALSE),"")</f>
        <v/>
      </c>
      <c r="R192" s="1" t="s">
        <v>859</v>
      </c>
      <c r="S192" s="1">
        <f>IFERROR(VLOOKUP(C192,[1]meteoriteQuery!$D$2:$F$517,1,FALSE),"")</f>
        <v>49707</v>
      </c>
    </row>
    <row r="193" spans="1:19" x14ac:dyDescent="0.25">
      <c r="A193" s="1">
        <v>170</v>
      </c>
      <c r="B193" s="1" t="s">
        <v>862</v>
      </c>
      <c r="C193" s="1">
        <v>49708</v>
      </c>
      <c r="D193" s="1" t="s">
        <v>860</v>
      </c>
      <c r="E193" s="1" t="s">
        <v>861</v>
      </c>
      <c r="F193" s="1">
        <v>7</v>
      </c>
      <c r="G193" s="1" t="s">
        <v>14</v>
      </c>
      <c r="H193" s="1" t="s">
        <v>863</v>
      </c>
      <c r="I193" s="1"/>
      <c r="J193" s="1">
        <v>49702</v>
      </c>
      <c r="K193" s="1" t="str">
        <f t="shared" si="4"/>
        <v>1:1:49702:6</v>
      </c>
      <c r="L193" s="1">
        <v>49710</v>
      </c>
      <c r="M193" s="3" t="str">
        <f t="shared" si="5"/>
        <v>1:1:49710:5</v>
      </c>
      <c r="N193" s="1">
        <v>0</v>
      </c>
      <c r="O193" s="1" t="s">
        <v>2249</v>
      </c>
      <c r="P193" s="3" t="str" cm="1">
        <f t="array" ref="P193">IFERROR(mindat_longid(O193),"")</f>
        <v/>
      </c>
      <c r="Q193" s="1" t="str">
        <f>IFERROR(VLOOKUP(O193, [1]meteoriteQuery!$D$2:$E$540,2,FALSE),"")</f>
        <v/>
      </c>
      <c r="R193" s="1" t="s">
        <v>864</v>
      </c>
      <c r="S193" s="1">
        <f>IFERROR(VLOOKUP(C193,[1]meteoriteQuery!$D$2:$F$517,1,FALSE),"")</f>
        <v>49708</v>
      </c>
    </row>
    <row r="194" spans="1:19" x14ac:dyDescent="0.25">
      <c r="A194" s="1">
        <v>171</v>
      </c>
      <c r="B194" s="1" t="s">
        <v>867</v>
      </c>
      <c r="C194" s="1">
        <v>49709</v>
      </c>
      <c r="D194" s="1" t="s">
        <v>865</v>
      </c>
      <c r="E194" s="1" t="s">
        <v>866</v>
      </c>
      <c r="F194" s="1">
        <v>7</v>
      </c>
      <c r="G194" s="1" t="s">
        <v>14</v>
      </c>
      <c r="H194" s="1" t="s">
        <v>868</v>
      </c>
      <c r="I194" s="1"/>
      <c r="J194" s="1">
        <v>49702</v>
      </c>
      <c r="K194" s="1" t="str">
        <f t="shared" si="4"/>
        <v>1:1:49702:6</v>
      </c>
      <c r="L194" s="1">
        <v>0</v>
      </c>
      <c r="M194" s="3" t="str">
        <f t="shared" si="5"/>
        <v/>
      </c>
      <c r="N194" s="1">
        <v>0</v>
      </c>
      <c r="O194" s="1" t="s">
        <v>2249</v>
      </c>
      <c r="P194" s="3" t="str" cm="1">
        <f t="array" ref="P194">IFERROR(mindat_longid(O194),"")</f>
        <v/>
      </c>
      <c r="Q194" s="1" t="str">
        <f>IFERROR(VLOOKUP(O194, [1]meteoriteQuery!$D$2:$E$540,2,FALSE),"")</f>
        <v/>
      </c>
      <c r="R194" s="1" t="s">
        <v>869</v>
      </c>
      <c r="S194" s="1">
        <f>IFERROR(VLOOKUP(C194,[1]meteoriteQuery!$D$2:$F$517,1,FALSE),"")</f>
        <v>49709</v>
      </c>
    </row>
    <row r="195" spans="1:19" x14ac:dyDescent="0.25">
      <c r="A195" s="1">
        <v>172</v>
      </c>
      <c r="B195" s="1" t="s">
        <v>872</v>
      </c>
      <c r="C195" s="1">
        <v>49710</v>
      </c>
      <c r="D195" s="1" t="s">
        <v>870</v>
      </c>
      <c r="E195" s="1" t="s">
        <v>871</v>
      </c>
      <c r="F195" s="1">
        <v>7</v>
      </c>
      <c r="G195" s="1" t="s">
        <v>14</v>
      </c>
      <c r="H195" s="1" t="s">
        <v>873</v>
      </c>
      <c r="I195" s="1"/>
      <c r="J195" s="1">
        <v>49648</v>
      </c>
      <c r="K195" s="1" t="str">
        <f t="shared" si="4"/>
        <v>1:1:49648:9</v>
      </c>
      <c r="L195" s="1">
        <v>49845</v>
      </c>
      <c r="M195" s="3" t="str">
        <f t="shared" si="5"/>
        <v>1:1:49845:0</v>
      </c>
      <c r="N195" s="1">
        <v>1</v>
      </c>
      <c r="O195" s="1" t="s">
        <v>2249</v>
      </c>
      <c r="P195" s="3" t="str" cm="1">
        <f t="array" ref="P195">IFERROR(mindat_longid(O195),"")</f>
        <v/>
      </c>
      <c r="Q195" s="1" t="str">
        <f>IFERROR(VLOOKUP(O195, [1]meteoriteQuery!$D$2:$E$540,2,FALSE),"")</f>
        <v/>
      </c>
      <c r="R195" s="1" t="s">
        <v>874</v>
      </c>
      <c r="S195" s="1">
        <f>IFERROR(VLOOKUP(C195,[1]meteoriteQuery!$D$2:$F$517,1,FALSE),"")</f>
        <v>49710</v>
      </c>
    </row>
    <row r="196" spans="1:19" x14ac:dyDescent="0.25">
      <c r="A196" s="1">
        <v>173</v>
      </c>
      <c r="B196" s="1" t="s">
        <v>877</v>
      </c>
      <c r="C196" s="1">
        <v>49711</v>
      </c>
      <c r="D196" s="1" t="s">
        <v>875</v>
      </c>
      <c r="E196" s="1" t="s">
        <v>876</v>
      </c>
      <c r="F196" s="1">
        <v>7</v>
      </c>
      <c r="G196" s="1" t="s">
        <v>14</v>
      </c>
      <c r="H196" s="1" t="s">
        <v>878</v>
      </c>
      <c r="I196" s="1"/>
      <c r="J196" s="1">
        <v>49710</v>
      </c>
      <c r="K196" s="1" t="str">
        <f t="shared" ref="K196:K259" si="6">IFERROR(VLOOKUP(J196,$C$2:$D$502,2,FALSE),"")</f>
        <v>1:1:49710:5</v>
      </c>
      <c r="L196" s="1">
        <v>0</v>
      </c>
      <c r="M196" s="3" t="str">
        <f t="shared" ref="M196:M259" si="7">IFERROR(VLOOKUP(L196,$C$2:$D$502,2,FALSE),"")</f>
        <v/>
      </c>
      <c r="N196" s="1">
        <v>0</v>
      </c>
      <c r="O196" s="1" t="s">
        <v>2249</v>
      </c>
      <c r="P196" s="3" t="str" cm="1">
        <f t="array" ref="P196">IFERROR(mindat_longid(O196),"")</f>
        <v/>
      </c>
      <c r="Q196" s="1" t="str">
        <f>IFERROR(VLOOKUP(O196, [1]meteoriteQuery!$D$2:$E$540,2,FALSE),"")</f>
        <v/>
      </c>
      <c r="R196" s="1" t="s">
        <v>879</v>
      </c>
      <c r="S196" s="1">
        <f>IFERROR(VLOOKUP(C196,[1]meteoriteQuery!$D$2:$F$517,1,FALSE),"")</f>
        <v>49711</v>
      </c>
    </row>
    <row r="197" spans="1:19" x14ac:dyDescent="0.25">
      <c r="A197" s="1">
        <v>174</v>
      </c>
      <c r="B197" s="1" t="s">
        <v>882</v>
      </c>
      <c r="C197" s="1">
        <v>49712</v>
      </c>
      <c r="D197" s="1" t="s">
        <v>880</v>
      </c>
      <c r="E197" s="1" t="s">
        <v>881</v>
      </c>
      <c r="F197" s="1">
        <v>7</v>
      </c>
      <c r="G197" s="1" t="s">
        <v>14</v>
      </c>
      <c r="H197" s="1" t="s">
        <v>883</v>
      </c>
      <c r="I197" s="1"/>
      <c r="J197" s="1">
        <v>49710</v>
      </c>
      <c r="K197" s="1" t="str">
        <f t="shared" si="6"/>
        <v>1:1:49710:5</v>
      </c>
      <c r="L197" s="1">
        <v>0</v>
      </c>
      <c r="M197" s="3" t="str">
        <f t="shared" si="7"/>
        <v/>
      </c>
      <c r="N197" s="1">
        <v>0</v>
      </c>
      <c r="O197" s="1" t="s">
        <v>2249</v>
      </c>
      <c r="P197" s="3" t="str" cm="1">
        <f t="array" ref="P197">IFERROR(mindat_longid(O197),"")</f>
        <v/>
      </c>
      <c r="Q197" s="1" t="str">
        <f>IFERROR(VLOOKUP(O197, [1]meteoriteQuery!$D$2:$E$540,2,FALSE),"")</f>
        <v/>
      </c>
      <c r="R197" s="1" t="s">
        <v>884</v>
      </c>
      <c r="S197" s="1">
        <f>IFERROR(VLOOKUP(C197,[1]meteoriteQuery!$D$2:$F$517,1,FALSE),"")</f>
        <v>49712</v>
      </c>
    </row>
    <row r="198" spans="1:19" x14ac:dyDescent="0.25">
      <c r="A198" s="1">
        <v>175</v>
      </c>
      <c r="B198" s="1" t="s">
        <v>887</v>
      </c>
      <c r="C198" s="1">
        <v>49713</v>
      </c>
      <c r="D198" s="1" t="s">
        <v>885</v>
      </c>
      <c r="E198" s="1" t="s">
        <v>886</v>
      </c>
      <c r="F198" s="1">
        <v>7</v>
      </c>
      <c r="G198" s="1" t="s">
        <v>14</v>
      </c>
      <c r="H198" s="1" t="s">
        <v>888</v>
      </c>
      <c r="I198" s="1"/>
      <c r="J198" s="1">
        <v>49710</v>
      </c>
      <c r="K198" s="1" t="str">
        <f t="shared" si="6"/>
        <v>1:1:49710:5</v>
      </c>
      <c r="L198" s="1">
        <v>49776</v>
      </c>
      <c r="M198" s="3" t="str">
        <f t="shared" si="7"/>
        <v>1:1:49776:1</v>
      </c>
      <c r="N198" s="1">
        <v>0</v>
      </c>
      <c r="O198" s="1" t="s">
        <v>2249</v>
      </c>
      <c r="P198" s="3" t="str" cm="1">
        <f t="array" ref="P198">IFERROR(mindat_longid(O198),"")</f>
        <v/>
      </c>
      <c r="Q198" s="1" t="str">
        <f>IFERROR(VLOOKUP(O198, [1]meteoriteQuery!$D$2:$E$540,2,FALSE),"")</f>
        <v/>
      </c>
      <c r="R198" s="1" t="s">
        <v>889</v>
      </c>
      <c r="S198" s="1">
        <f>IFERROR(VLOOKUP(C198,[1]meteoriteQuery!$D$2:$F$517,1,FALSE),"")</f>
        <v>49713</v>
      </c>
    </row>
    <row r="199" spans="1:19" x14ac:dyDescent="0.25">
      <c r="A199" s="1">
        <v>176</v>
      </c>
      <c r="B199" s="1" t="s">
        <v>892</v>
      </c>
      <c r="C199" s="1">
        <v>49715</v>
      </c>
      <c r="D199" s="1" t="s">
        <v>890</v>
      </c>
      <c r="E199" s="1" t="s">
        <v>891</v>
      </c>
      <c r="F199" s="1">
        <v>7</v>
      </c>
      <c r="G199" s="1" t="s">
        <v>14</v>
      </c>
      <c r="H199" s="1" t="s">
        <v>893</v>
      </c>
      <c r="I199" s="1"/>
      <c r="J199" s="1">
        <v>49713</v>
      </c>
      <c r="K199" s="1" t="str">
        <f t="shared" si="6"/>
        <v>1:1:49713:2</v>
      </c>
      <c r="L199" s="1">
        <v>0</v>
      </c>
      <c r="M199" s="3" t="str">
        <f t="shared" si="7"/>
        <v/>
      </c>
      <c r="N199" s="1">
        <v>0</v>
      </c>
      <c r="O199" s="1" t="s">
        <v>2249</v>
      </c>
      <c r="P199" s="3" t="str" cm="1">
        <f t="array" ref="P199">IFERROR(mindat_longid(O199),"")</f>
        <v/>
      </c>
      <c r="Q199" s="1" t="str">
        <f>IFERROR(VLOOKUP(O199, [1]meteoriteQuery!$D$2:$E$540,2,FALSE),"")</f>
        <v/>
      </c>
      <c r="R199" s="1" t="s">
        <v>894</v>
      </c>
      <c r="S199" s="1">
        <f>IFERROR(VLOOKUP(C199,[1]meteoriteQuery!$D$2:$F$517,1,FALSE),"")</f>
        <v>49715</v>
      </c>
    </row>
    <row r="200" spans="1:19" x14ac:dyDescent="0.25">
      <c r="A200" s="1">
        <v>177</v>
      </c>
      <c r="B200" s="1" t="s">
        <v>897</v>
      </c>
      <c r="C200" s="1">
        <v>49716</v>
      </c>
      <c r="D200" s="1" t="s">
        <v>895</v>
      </c>
      <c r="E200" s="1" t="s">
        <v>896</v>
      </c>
      <c r="F200" s="1">
        <v>7</v>
      </c>
      <c r="G200" s="1" t="s">
        <v>14</v>
      </c>
      <c r="H200" s="1" t="s">
        <v>898</v>
      </c>
      <c r="I200" s="1"/>
      <c r="J200" s="1">
        <v>49710</v>
      </c>
      <c r="K200" s="1" t="str">
        <f t="shared" si="6"/>
        <v>1:1:49710:5</v>
      </c>
      <c r="L200" s="1">
        <v>49717</v>
      </c>
      <c r="M200" s="3" t="str">
        <f t="shared" si="7"/>
        <v>1:1:49717:8</v>
      </c>
      <c r="N200" s="1">
        <v>0</v>
      </c>
      <c r="O200" s="1" t="s">
        <v>2249</v>
      </c>
      <c r="P200" s="3" t="str" cm="1">
        <f t="array" ref="P200">IFERROR(mindat_longid(O200),"")</f>
        <v/>
      </c>
      <c r="Q200" s="1" t="str">
        <f>IFERROR(VLOOKUP(O200, [1]meteoriteQuery!$D$2:$E$540,2,FALSE),"")</f>
        <v/>
      </c>
      <c r="R200" s="1" t="s">
        <v>899</v>
      </c>
      <c r="S200" s="1">
        <f>IFERROR(VLOOKUP(C200,[1]meteoriteQuery!$D$2:$F$517,1,FALSE),"")</f>
        <v>49716</v>
      </c>
    </row>
    <row r="201" spans="1:19" x14ac:dyDescent="0.25">
      <c r="A201" s="1">
        <v>178</v>
      </c>
      <c r="B201" s="1" t="s">
        <v>902</v>
      </c>
      <c r="C201" s="1">
        <v>49717</v>
      </c>
      <c r="D201" s="1" t="s">
        <v>900</v>
      </c>
      <c r="E201" s="1" t="s">
        <v>901</v>
      </c>
      <c r="F201" s="1">
        <v>7</v>
      </c>
      <c r="G201" s="1" t="s">
        <v>14</v>
      </c>
      <c r="H201" s="1" t="s">
        <v>903</v>
      </c>
      <c r="I201" s="1"/>
      <c r="J201" s="1">
        <v>49648</v>
      </c>
      <c r="K201" s="1" t="str">
        <f t="shared" si="6"/>
        <v>1:1:49648:9</v>
      </c>
      <c r="L201" s="1">
        <v>49846</v>
      </c>
      <c r="M201" s="3" t="str">
        <f t="shared" si="7"/>
        <v>1:1:49846:9</v>
      </c>
      <c r="N201" s="1">
        <v>0</v>
      </c>
      <c r="O201" s="1" t="s">
        <v>2249</v>
      </c>
      <c r="P201" s="3" t="str" cm="1">
        <f t="array" ref="P201">IFERROR(mindat_longid(O201),"")</f>
        <v/>
      </c>
      <c r="Q201" s="1" t="str">
        <f>IFERROR(VLOOKUP(O201, [1]meteoriteQuery!$D$2:$E$540,2,FALSE),"")</f>
        <v/>
      </c>
      <c r="R201" s="1" t="s">
        <v>904</v>
      </c>
      <c r="S201" s="1">
        <f>IFERROR(VLOOKUP(C201,[1]meteoriteQuery!$D$2:$F$517,1,FALSE),"")</f>
        <v>49717</v>
      </c>
    </row>
    <row r="202" spans="1:19" x14ac:dyDescent="0.25">
      <c r="A202" s="1">
        <v>179</v>
      </c>
      <c r="B202" s="1" t="s">
        <v>907</v>
      </c>
      <c r="C202" s="1">
        <v>49718</v>
      </c>
      <c r="D202" s="1" t="s">
        <v>905</v>
      </c>
      <c r="E202" s="1" t="s">
        <v>906</v>
      </c>
      <c r="F202" s="1">
        <v>7</v>
      </c>
      <c r="G202" s="1" t="s">
        <v>14</v>
      </c>
      <c r="H202" s="1" t="s">
        <v>908</v>
      </c>
      <c r="I202" s="1"/>
      <c r="J202" s="1">
        <v>49648</v>
      </c>
      <c r="K202" s="1" t="str">
        <f t="shared" si="6"/>
        <v>1:1:49648:9</v>
      </c>
      <c r="L202" s="1">
        <v>0</v>
      </c>
      <c r="M202" s="3" t="str">
        <f t="shared" si="7"/>
        <v/>
      </c>
      <c r="N202" s="1">
        <v>0</v>
      </c>
      <c r="O202" s="1" t="s">
        <v>2249</v>
      </c>
      <c r="P202" s="3" t="str" cm="1">
        <f t="array" ref="P202">IFERROR(mindat_longid(O202),"")</f>
        <v/>
      </c>
      <c r="Q202" s="1" t="str">
        <f>IFERROR(VLOOKUP(O202, [1]meteoriteQuery!$D$2:$E$540,2,FALSE),"")</f>
        <v/>
      </c>
      <c r="R202" s="1" t="s">
        <v>909</v>
      </c>
      <c r="S202" s="1">
        <f>IFERROR(VLOOKUP(C202,[1]meteoriteQuery!$D$2:$F$517,1,FALSE),"")</f>
        <v>49718</v>
      </c>
    </row>
    <row r="203" spans="1:19" x14ac:dyDescent="0.25">
      <c r="A203" s="1">
        <v>180</v>
      </c>
      <c r="B203" s="1" t="s">
        <v>912</v>
      </c>
      <c r="C203" s="1">
        <v>49719</v>
      </c>
      <c r="D203" s="1" t="s">
        <v>910</v>
      </c>
      <c r="E203" s="1" t="s">
        <v>911</v>
      </c>
      <c r="F203" s="1">
        <v>7</v>
      </c>
      <c r="G203" s="1" t="s">
        <v>14</v>
      </c>
      <c r="H203" s="1" t="s">
        <v>913</v>
      </c>
      <c r="I203" s="1"/>
      <c r="J203" s="1">
        <v>49648</v>
      </c>
      <c r="K203" s="1" t="str">
        <f t="shared" si="6"/>
        <v>1:1:49648:9</v>
      </c>
      <c r="L203" s="1">
        <v>0</v>
      </c>
      <c r="M203" s="3" t="str">
        <f t="shared" si="7"/>
        <v/>
      </c>
      <c r="N203" s="1">
        <v>0</v>
      </c>
      <c r="O203" s="1" t="s">
        <v>2249</v>
      </c>
      <c r="P203" s="3" t="str" cm="1">
        <f t="array" ref="P203">IFERROR(mindat_longid(O203),"")</f>
        <v/>
      </c>
      <c r="Q203" s="1" t="str">
        <f>IFERROR(VLOOKUP(O203, [1]meteoriteQuery!$D$2:$E$540,2,FALSE),"")</f>
        <v/>
      </c>
      <c r="R203" s="1" t="s">
        <v>914</v>
      </c>
      <c r="S203" s="1">
        <f>IFERROR(VLOOKUP(C203,[1]meteoriteQuery!$D$2:$F$517,1,FALSE),"")</f>
        <v>49719</v>
      </c>
    </row>
    <row r="204" spans="1:19" x14ac:dyDescent="0.25">
      <c r="A204" s="1">
        <v>181</v>
      </c>
      <c r="B204" s="1" t="s">
        <v>917</v>
      </c>
      <c r="C204" s="1">
        <v>49720</v>
      </c>
      <c r="D204" s="1" t="s">
        <v>915</v>
      </c>
      <c r="E204" s="1" t="s">
        <v>916</v>
      </c>
      <c r="F204" s="1">
        <v>7</v>
      </c>
      <c r="G204" s="1" t="s">
        <v>14</v>
      </c>
      <c r="H204" s="1" t="s">
        <v>918</v>
      </c>
      <c r="I204" s="1"/>
      <c r="J204" s="1">
        <v>49648</v>
      </c>
      <c r="K204" s="1" t="str">
        <f t="shared" si="6"/>
        <v>1:1:49648:9</v>
      </c>
      <c r="L204" s="1">
        <v>0</v>
      </c>
      <c r="M204" s="3" t="str">
        <f t="shared" si="7"/>
        <v/>
      </c>
      <c r="N204" s="1">
        <v>0</v>
      </c>
      <c r="O204" s="1" t="s">
        <v>2249</v>
      </c>
      <c r="P204" s="3" t="str" cm="1">
        <f t="array" ref="P204">IFERROR(mindat_longid(O204),"")</f>
        <v/>
      </c>
      <c r="Q204" s="1" t="str">
        <f>IFERROR(VLOOKUP(O204, [1]meteoriteQuery!$D$2:$E$540,2,FALSE),"")</f>
        <v/>
      </c>
      <c r="R204" s="1" t="s">
        <v>919</v>
      </c>
      <c r="S204" s="1">
        <f>IFERROR(VLOOKUP(C204,[1]meteoriteQuery!$D$2:$F$517,1,FALSE),"")</f>
        <v>49720</v>
      </c>
    </row>
    <row r="205" spans="1:19" x14ac:dyDescent="0.25">
      <c r="A205" s="1">
        <v>182</v>
      </c>
      <c r="B205" s="1" t="s">
        <v>922</v>
      </c>
      <c r="C205" s="1">
        <v>49721</v>
      </c>
      <c r="D205" s="1" t="s">
        <v>920</v>
      </c>
      <c r="E205" s="1" t="s">
        <v>921</v>
      </c>
      <c r="F205" s="1">
        <v>7</v>
      </c>
      <c r="G205" s="1" t="s">
        <v>14</v>
      </c>
      <c r="H205" s="1" t="s">
        <v>923</v>
      </c>
      <c r="I205" s="1"/>
      <c r="J205" s="1">
        <v>49648</v>
      </c>
      <c r="K205" s="1" t="str">
        <f t="shared" si="6"/>
        <v>1:1:49648:9</v>
      </c>
      <c r="L205" s="1">
        <v>0</v>
      </c>
      <c r="M205" s="3" t="str">
        <f t="shared" si="7"/>
        <v/>
      </c>
      <c r="N205" s="1">
        <v>0</v>
      </c>
      <c r="O205" s="1" t="s">
        <v>2249</v>
      </c>
      <c r="P205" s="3" t="str" cm="1">
        <f t="array" ref="P205">IFERROR(mindat_longid(O205),"")</f>
        <v/>
      </c>
      <c r="Q205" s="1" t="str">
        <f>IFERROR(VLOOKUP(O205, [1]meteoriteQuery!$D$2:$E$540,2,FALSE),"")</f>
        <v/>
      </c>
      <c r="R205" s="1" t="s">
        <v>924</v>
      </c>
      <c r="S205" s="1">
        <f>IFERROR(VLOOKUP(C205,[1]meteoriteQuery!$D$2:$F$517,1,FALSE),"")</f>
        <v>49721</v>
      </c>
    </row>
    <row r="206" spans="1:19" x14ac:dyDescent="0.25">
      <c r="A206" s="1">
        <v>183</v>
      </c>
      <c r="B206" s="1" t="s">
        <v>927</v>
      </c>
      <c r="C206" s="1">
        <v>49722</v>
      </c>
      <c r="D206" s="1" t="s">
        <v>925</v>
      </c>
      <c r="E206" s="1" t="s">
        <v>926</v>
      </c>
      <c r="F206" s="1">
        <v>7</v>
      </c>
      <c r="G206" s="1" t="s">
        <v>14</v>
      </c>
      <c r="H206" s="1" t="s">
        <v>928</v>
      </c>
      <c r="I206" s="1"/>
      <c r="J206" s="1">
        <v>49648</v>
      </c>
      <c r="K206" s="1" t="str">
        <f t="shared" si="6"/>
        <v>1:1:49648:9</v>
      </c>
      <c r="L206" s="1">
        <v>49745</v>
      </c>
      <c r="M206" s="3" t="str">
        <f t="shared" si="7"/>
        <v>1:1:49745:1</v>
      </c>
      <c r="N206" s="1">
        <v>0</v>
      </c>
      <c r="O206" s="1" t="s">
        <v>2249</v>
      </c>
      <c r="P206" s="3" t="str" cm="1">
        <f t="array" ref="P206">IFERROR(mindat_longid(O206),"")</f>
        <v/>
      </c>
      <c r="Q206" s="1" t="str">
        <f>IFERROR(VLOOKUP(O206, [1]meteoriteQuery!$D$2:$E$540,2,FALSE),"")</f>
        <v/>
      </c>
      <c r="R206" s="1" t="s">
        <v>929</v>
      </c>
      <c r="S206" s="1">
        <f>IFERROR(VLOOKUP(C206,[1]meteoriteQuery!$D$2:$F$517,1,FALSE),"")</f>
        <v>49722</v>
      </c>
    </row>
    <row r="207" spans="1:19" x14ac:dyDescent="0.25">
      <c r="A207" s="1">
        <v>184</v>
      </c>
      <c r="B207" s="1" t="s">
        <v>932</v>
      </c>
      <c r="C207" s="1">
        <v>49723</v>
      </c>
      <c r="D207" s="1" t="s">
        <v>930</v>
      </c>
      <c r="E207" s="1" t="s">
        <v>931</v>
      </c>
      <c r="F207" s="1">
        <v>2</v>
      </c>
      <c r="G207" s="1" t="s">
        <v>508</v>
      </c>
      <c r="H207" s="1" t="s">
        <v>933</v>
      </c>
      <c r="I207" s="1"/>
      <c r="J207" s="1">
        <v>49648</v>
      </c>
      <c r="K207" s="1" t="str">
        <f t="shared" si="6"/>
        <v>1:1:49648:9</v>
      </c>
      <c r="L207" s="1">
        <v>0</v>
      </c>
      <c r="M207" s="3" t="str">
        <f t="shared" si="7"/>
        <v/>
      </c>
      <c r="N207" s="1">
        <v>0</v>
      </c>
      <c r="O207" s="1" t="s">
        <v>2249</v>
      </c>
      <c r="P207" s="3" t="str" cm="1">
        <f t="array" ref="P207">IFERROR(mindat_longid(O207),"")</f>
        <v/>
      </c>
      <c r="Q207" s="1" t="str">
        <f>IFERROR(VLOOKUP(O207, [1]meteoriteQuery!$D$2:$E$540,2,FALSE),"")</f>
        <v/>
      </c>
      <c r="R207" s="1" t="s">
        <v>934</v>
      </c>
      <c r="S207" s="1">
        <f>IFERROR(VLOOKUP(C207,[1]meteoriteQuery!$D$2:$F$517,1,FALSE),"")</f>
        <v>49723</v>
      </c>
    </row>
    <row r="208" spans="1:19" x14ac:dyDescent="0.25">
      <c r="A208" s="1">
        <v>185</v>
      </c>
      <c r="B208" s="1" t="s">
        <v>937</v>
      </c>
      <c r="C208" s="1">
        <v>49724</v>
      </c>
      <c r="D208" s="1" t="s">
        <v>935</v>
      </c>
      <c r="E208" s="1" t="s">
        <v>936</v>
      </c>
      <c r="F208" s="1">
        <v>2</v>
      </c>
      <c r="G208" s="1" t="s">
        <v>508</v>
      </c>
      <c r="H208" s="1" t="s">
        <v>938</v>
      </c>
      <c r="I208" s="1"/>
      <c r="J208" s="1">
        <v>49648</v>
      </c>
      <c r="K208" s="1" t="str">
        <f t="shared" si="6"/>
        <v>1:1:49648:9</v>
      </c>
      <c r="L208" s="1">
        <v>0</v>
      </c>
      <c r="M208" s="3" t="str">
        <f t="shared" si="7"/>
        <v/>
      </c>
      <c r="N208" s="1">
        <v>0</v>
      </c>
      <c r="O208" s="1" t="s">
        <v>2249</v>
      </c>
      <c r="P208" s="3" t="str" cm="1">
        <f t="array" ref="P208">IFERROR(mindat_longid(O208),"")</f>
        <v/>
      </c>
      <c r="Q208" s="1" t="str">
        <f>IFERROR(VLOOKUP(O208, [1]meteoriteQuery!$D$2:$E$540,2,FALSE),"")</f>
        <v/>
      </c>
      <c r="R208" s="1" t="s">
        <v>939</v>
      </c>
      <c r="S208" s="1">
        <f>IFERROR(VLOOKUP(C208,[1]meteoriteQuery!$D$2:$F$517,1,FALSE),"")</f>
        <v>49724</v>
      </c>
    </row>
    <row r="209" spans="1:19" x14ac:dyDescent="0.25">
      <c r="A209" s="1">
        <v>186</v>
      </c>
      <c r="B209" s="1" t="s">
        <v>942</v>
      </c>
      <c r="C209" s="1">
        <v>49725</v>
      </c>
      <c r="D209" s="1" t="s">
        <v>940</v>
      </c>
      <c r="E209" s="2" t="s">
        <v>941</v>
      </c>
      <c r="F209" s="1">
        <v>2</v>
      </c>
      <c r="G209" s="1" t="s">
        <v>508</v>
      </c>
      <c r="H209" s="1" t="s">
        <v>943</v>
      </c>
      <c r="I209" s="1"/>
      <c r="J209" s="1">
        <v>49648</v>
      </c>
      <c r="K209" s="1" t="str">
        <f t="shared" si="6"/>
        <v>1:1:49648:9</v>
      </c>
      <c r="L209" s="1">
        <v>0</v>
      </c>
      <c r="M209" s="3" t="str">
        <f t="shared" si="7"/>
        <v/>
      </c>
      <c r="N209" s="1">
        <v>0</v>
      </c>
      <c r="O209" s="1" t="s">
        <v>2249</v>
      </c>
      <c r="P209" s="3" t="str" cm="1">
        <f t="array" ref="P209">IFERROR(mindat_longid(O209),"")</f>
        <v/>
      </c>
      <c r="Q209" s="1" t="str">
        <f>IFERROR(VLOOKUP(O209, [1]meteoriteQuery!$D$2:$E$540,2,FALSE),"")</f>
        <v/>
      </c>
      <c r="R209" s="1" t="s">
        <v>944</v>
      </c>
      <c r="S209" s="1">
        <f>IFERROR(VLOOKUP(C209,[1]meteoriteQuery!$D$2:$F$517,1,FALSE),"")</f>
        <v>49725</v>
      </c>
    </row>
    <row r="210" spans="1:19" x14ac:dyDescent="0.25">
      <c r="A210" s="1">
        <v>187</v>
      </c>
      <c r="B210" s="1" t="s">
        <v>947</v>
      </c>
      <c r="C210" s="1">
        <v>49726</v>
      </c>
      <c r="D210" s="1" t="s">
        <v>945</v>
      </c>
      <c r="E210" s="1" t="s">
        <v>946</v>
      </c>
      <c r="F210" s="1">
        <v>2</v>
      </c>
      <c r="G210" s="1" t="s">
        <v>508</v>
      </c>
      <c r="H210" s="1" t="s">
        <v>948</v>
      </c>
      <c r="I210" s="1"/>
      <c r="J210" s="1">
        <v>49648</v>
      </c>
      <c r="K210" s="1" t="str">
        <f t="shared" si="6"/>
        <v>1:1:49648:9</v>
      </c>
      <c r="L210" s="1">
        <v>0</v>
      </c>
      <c r="M210" s="3" t="str">
        <f t="shared" si="7"/>
        <v/>
      </c>
      <c r="N210" s="1">
        <v>0</v>
      </c>
      <c r="O210" s="1" t="s">
        <v>2249</v>
      </c>
      <c r="P210" s="3" t="str" cm="1">
        <f t="array" ref="P210">IFERROR(mindat_longid(O210),"")</f>
        <v/>
      </c>
      <c r="Q210" s="1" t="str">
        <f>IFERROR(VLOOKUP(O210, [1]meteoriteQuery!$D$2:$E$540,2,FALSE),"")</f>
        <v/>
      </c>
      <c r="R210" s="1" t="s">
        <v>949</v>
      </c>
      <c r="S210" s="1">
        <f>IFERROR(VLOOKUP(C210,[1]meteoriteQuery!$D$2:$F$517,1,FALSE),"")</f>
        <v>49726</v>
      </c>
    </row>
    <row r="211" spans="1:19" x14ac:dyDescent="0.25">
      <c r="A211" s="1">
        <v>188</v>
      </c>
      <c r="B211" s="1" t="s">
        <v>952</v>
      </c>
      <c r="C211" s="1">
        <v>49727</v>
      </c>
      <c r="D211" s="1" t="s">
        <v>950</v>
      </c>
      <c r="E211" s="1" t="s">
        <v>951</v>
      </c>
      <c r="F211" s="1">
        <v>2</v>
      </c>
      <c r="G211" s="1" t="s">
        <v>508</v>
      </c>
      <c r="H211" s="1" t="s">
        <v>953</v>
      </c>
      <c r="I211" s="1"/>
      <c r="J211" s="1">
        <v>49648</v>
      </c>
      <c r="K211" s="1" t="str">
        <f t="shared" si="6"/>
        <v>1:1:49648:9</v>
      </c>
      <c r="L211" s="1">
        <v>0</v>
      </c>
      <c r="M211" s="3" t="str">
        <f t="shared" si="7"/>
        <v/>
      </c>
      <c r="N211" s="1">
        <v>0</v>
      </c>
      <c r="O211" s="1" t="s">
        <v>2249</v>
      </c>
      <c r="P211" s="3" t="str" cm="1">
        <f t="array" ref="P211">IFERROR(mindat_longid(O211),"")</f>
        <v/>
      </c>
      <c r="Q211" s="1" t="str">
        <f>IFERROR(VLOOKUP(O211, [1]meteoriteQuery!$D$2:$E$540,2,FALSE),"")</f>
        <v/>
      </c>
      <c r="R211" s="1" t="s">
        <v>954</v>
      </c>
      <c r="S211" s="1">
        <f>IFERROR(VLOOKUP(C211,[1]meteoriteQuery!$D$2:$F$517,1,FALSE),"")</f>
        <v>49727</v>
      </c>
    </row>
    <row r="212" spans="1:19" x14ac:dyDescent="0.25">
      <c r="A212" s="1">
        <v>189</v>
      </c>
      <c r="B212" s="1" t="s">
        <v>957</v>
      </c>
      <c r="C212" s="1">
        <v>49728</v>
      </c>
      <c r="D212" s="1" t="s">
        <v>955</v>
      </c>
      <c r="E212" s="1" t="s">
        <v>956</v>
      </c>
      <c r="F212" s="1">
        <v>2</v>
      </c>
      <c r="G212" s="1" t="s">
        <v>508</v>
      </c>
      <c r="H212" s="1" t="s">
        <v>958</v>
      </c>
      <c r="I212" s="1"/>
      <c r="J212" s="1">
        <v>49648</v>
      </c>
      <c r="K212" s="1" t="str">
        <f t="shared" si="6"/>
        <v>1:1:49648:9</v>
      </c>
      <c r="L212" s="1">
        <v>0</v>
      </c>
      <c r="M212" s="3" t="str">
        <f t="shared" si="7"/>
        <v/>
      </c>
      <c r="N212" s="1">
        <v>0</v>
      </c>
      <c r="O212" s="1" t="s">
        <v>2249</v>
      </c>
      <c r="P212" s="3" t="str" cm="1">
        <f t="array" ref="P212">IFERROR(mindat_longid(O212),"")</f>
        <v/>
      </c>
      <c r="Q212" s="1" t="str">
        <f>IFERROR(VLOOKUP(O212, [1]meteoriteQuery!$D$2:$E$540,2,FALSE),"")</f>
        <v/>
      </c>
      <c r="R212" s="1" t="s">
        <v>959</v>
      </c>
      <c r="S212" s="1">
        <f>IFERROR(VLOOKUP(C212,[1]meteoriteQuery!$D$2:$F$517,1,FALSE),"")</f>
        <v>49728</v>
      </c>
    </row>
    <row r="213" spans="1:19" x14ac:dyDescent="0.25">
      <c r="A213" s="1">
        <v>190</v>
      </c>
      <c r="B213" s="1" t="s">
        <v>962</v>
      </c>
      <c r="C213" s="1">
        <v>49729</v>
      </c>
      <c r="D213" s="1" t="s">
        <v>960</v>
      </c>
      <c r="E213" s="1" t="s">
        <v>961</v>
      </c>
      <c r="F213" s="1">
        <v>2</v>
      </c>
      <c r="G213" s="1" t="s">
        <v>508</v>
      </c>
      <c r="H213" s="1" t="s">
        <v>963</v>
      </c>
      <c r="I213" s="1"/>
      <c r="J213" s="1">
        <v>49648</v>
      </c>
      <c r="K213" s="1" t="str">
        <f t="shared" si="6"/>
        <v>1:1:49648:9</v>
      </c>
      <c r="L213" s="1">
        <v>0</v>
      </c>
      <c r="M213" s="3" t="str">
        <f t="shared" si="7"/>
        <v/>
      </c>
      <c r="N213" s="1">
        <v>0</v>
      </c>
      <c r="O213" s="1" t="s">
        <v>2249</v>
      </c>
      <c r="P213" s="3" t="str" cm="1">
        <f t="array" ref="P213">IFERROR(mindat_longid(O213),"")</f>
        <v/>
      </c>
      <c r="Q213" s="1" t="str">
        <f>IFERROR(VLOOKUP(O213, [1]meteoriteQuery!$D$2:$E$540,2,FALSE),"")</f>
        <v/>
      </c>
      <c r="R213" s="1" t="s">
        <v>964</v>
      </c>
      <c r="S213" s="1">
        <f>IFERROR(VLOOKUP(C213,[1]meteoriteQuery!$D$2:$F$517,1,FALSE),"")</f>
        <v>49729</v>
      </c>
    </row>
    <row r="214" spans="1:19" x14ac:dyDescent="0.25">
      <c r="A214" s="1">
        <v>191</v>
      </c>
      <c r="B214" s="1" t="s">
        <v>967</v>
      </c>
      <c r="C214" s="1">
        <v>49730</v>
      </c>
      <c r="D214" s="1" t="s">
        <v>965</v>
      </c>
      <c r="E214" s="1" t="s">
        <v>966</v>
      </c>
      <c r="F214" s="1">
        <v>2</v>
      </c>
      <c r="G214" s="1" t="s">
        <v>508</v>
      </c>
      <c r="H214" s="1" t="s">
        <v>968</v>
      </c>
      <c r="I214" s="1"/>
      <c r="J214" s="1">
        <v>49648</v>
      </c>
      <c r="K214" s="1" t="str">
        <f t="shared" si="6"/>
        <v>1:1:49648:9</v>
      </c>
      <c r="L214" s="1">
        <v>0</v>
      </c>
      <c r="M214" s="3" t="str">
        <f t="shared" si="7"/>
        <v/>
      </c>
      <c r="N214" s="1">
        <v>0</v>
      </c>
      <c r="O214" s="1" t="s">
        <v>2249</v>
      </c>
      <c r="P214" s="3" t="str" cm="1">
        <f t="array" ref="P214">IFERROR(mindat_longid(O214),"")</f>
        <v/>
      </c>
      <c r="Q214" s="1" t="str">
        <f>IFERROR(VLOOKUP(O214, [1]meteoriteQuery!$D$2:$E$540,2,FALSE),"")</f>
        <v/>
      </c>
      <c r="R214" s="1" t="s">
        <v>969</v>
      </c>
      <c r="S214" s="1">
        <f>IFERROR(VLOOKUP(C214,[1]meteoriteQuery!$D$2:$F$517,1,FALSE),"")</f>
        <v>49730</v>
      </c>
    </row>
    <row r="215" spans="1:19" x14ac:dyDescent="0.25">
      <c r="A215" s="1">
        <v>192</v>
      </c>
      <c r="B215" s="1" t="s">
        <v>972</v>
      </c>
      <c r="C215" s="1">
        <v>49731</v>
      </c>
      <c r="D215" s="1" t="s">
        <v>970</v>
      </c>
      <c r="E215" s="1" t="s">
        <v>971</v>
      </c>
      <c r="F215" s="1">
        <v>2</v>
      </c>
      <c r="G215" s="1" t="s">
        <v>508</v>
      </c>
      <c r="H215" s="1" t="s">
        <v>973</v>
      </c>
      <c r="I215" s="1"/>
      <c r="J215" s="1">
        <v>49648</v>
      </c>
      <c r="K215" s="1" t="str">
        <f t="shared" si="6"/>
        <v>1:1:49648:9</v>
      </c>
      <c r="L215" s="1">
        <v>0</v>
      </c>
      <c r="M215" s="3" t="str">
        <f t="shared" si="7"/>
        <v/>
      </c>
      <c r="N215" s="1">
        <v>0</v>
      </c>
      <c r="O215" s="1" t="s">
        <v>2249</v>
      </c>
      <c r="P215" s="3" t="str" cm="1">
        <f t="array" ref="P215">IFERROR(mindat_longid(O215),"")</f>
        <v/>
      </c>
      <c r="Q215" s="1" t="str">
        <f>IFERROR(VLOOKUP(O215, [1]meteoriteQuery!$D$2:$E$540,2,FALSE),"")</f>
        <v/>
      </c>
      <c r="R215" s="1" t="s">
        <v>974</v>
      </c>
      <c r="S215" s="1">
        <f>IFERROR(VLOOKUP(C215,[1]meteoriteQuery!$D$2:$F$517,1,FALSE),"")</f>
        <v>49731</v>
      </c>
    </row>
    <row r="216" spans="1:19" x14ac:dyDescent="0.25">
      <c r="A216" s="1">
        <v>193</v>
      </c>
      <c r="B216" s="1" t="s">
        <v>977</v>
      </c>
      <c r="C216" s="1">
        <v>49732</v>
      </c>
      <c r="D216" s="1" t="s">
        <v>975</v>
      </c>
      <c r="E216" s="1" t="s">
        <v>976</v>
      </c>
      <c r="F216" s="1">
        <v>2</v>
      </c>
      <c r="G216" s="1" t="s">
        <v>508</v>
      </c>
      <c r="H216" s="1" t="s">
        <v>978</v>
      </c>
      <c r="I216" s="1"/>
      <c r="J216" s="1">
        <v>49648</v>
      </c>
      <c r="K216" s="1" t="str">
        <f t="shared" si="6"/>
        <v>1:1:49648:9</v>
      </c>
      <c r="L216" s="1">
        <v>0</v>
      </c>
      <c r="M216" s="3" t="str">
        <f t="shared" si="7"/>
        <v/>
      </c>
      <c r="N216" s="1">
        <v>0</v>
      </c>
      <c r="O216" s="1" t="s">
        <v>2249</v>
      </c>
      <c r="P216" s="3" t="str" cm="1">
        <f t="array" ref="P216">IFERROR(mindat_longid(O216),"")</f>
        <v/>
      </c>
      <c r="Q216" s="1" t="str">
        <f>IFERROR(VLOOKUP(O216, [1]meteoriteQuery!$D$2:$E$540,2,FALSE),"")</f>
        <v/>
      </c>
      <c r="R216" s="1" t="s">
        <v>979</v>
      </c>
      <c r="S216" s="1">
        <f>IFERROR(VLOOKUP(C216,[1]meteoriteQuery!$D$2:$F$517,1,FALSE),"")</f>
        <v>49732</v>
      </c>
    </row>
    <row r="217" spans="1:19" x14ac:dyDescent="0.25">
      <c r="A217" s="1">
        <v>194</v>
      </c>
      <c r="B217" s="1" t="s">
        <v>982</v>
      </c>
      <c r="C217" s="1">
        <v>49733</v>
      </c>
      <c r="D217" s="1" t="s">
        <v>980</v>
      </c>
      <c r="E217" s="1" t="s">
        <v>981</v>
      </c>
      <c r="F217" s="1">
        <v>2</v>
      </c>
      <c r="G217" s="1" t="s">
        <v>508</v>
      </c>
      <c r="H217" s="1" t="s">
        <v>983</v>
      </c>
      <c r="I217" s="1"/>
      <c r="J217" s="1">
        <v>49648</v>
      </c>
      <c r="K217" s="1" t="str">
        <f t="shared" si="6"/>
        <v>1:1:49648:9</v>
      </c>
      <c r="L217" s="1">
        <v>0</v>
      </c>
      <c r="M217" s="3" t="str">
        <f t="shared" si="7"/>
        <v/>
      </c>
      <c r="N217" s="1">
        <v>0</v>
      </c>
      <c r="O217" s="1" t="s">
        <v>2249</v>
      </c>
      <c r="P217" s="3" t="str" cm="1">
        <f t="array" ref="P217">IFERROR(mindat_longid(O217),"")</f>
        <v/>
      </c>
      <c r="Q217" s="1" t="str">
        <f>IFERROR(VLOOKUP(O217, [1]meteoriteQuery!$D$2:$E$540,2,FALSE),"")</f>
        <v/>
      </c>
      <c r="R217" s="1" t="s">
        <v>984</v>
      </c>
      <c r="S217" s="1">
        <f>IFERROR(VLOOKUP(C217,[1]meteoriteQuery!$D$2:$F$517,1,FALSE),"")</f>
        <v>49733</v>
      </c>
    </row>
    <row r="218" spans="1:19" x14ac:dyDescent="0.25">
      <c r="A218" s="1">
        <v>195</v>
      </c>
      <c r="B218" s="1" t="s">
        <v>987</v>
      </c>
      <c r="C218" s="1">
        <v>49734</v>
      </c>
      <c r="D218" s="1" t="s">
        <v>985</v>
      </c>
      <c r="E218" s="1" t="s">
        <v>986</v>
      </c>
      <c r="F218" s="1">
        <v>2</v>
      </c>
      <c r="G218" s="1" t="s">
        <v>508</v>
      </c>
      <c r="H218" s="1" t="s">
        <v>988</v>
      </c>
      <c r="I218" s="1"/>
      <c r="J218" s="1">
        <v>49648</v>
      </c>
      <c r="K218" s="1" t="str">
        <f t="shared" si="6"/>
        <v>1:1:49648:9</v>
      </c>
      <c r="L218" s="1">
        <v>0</v>
      </c>
      <c r="M218" s="3" t="str">
        <f t="shared" si="7"/>
        <v/>
      </c>
      <c r="N218" s="1">
        <v>0</v>
      </c>
      <c r="O218" s="1" t="s">
        <v>2249</v>
      </c>
      <c r="P218" s="3" t="str" cm="1">
        <f t="array" ref="P218">IFERROR(mindat_longid(O218),"")</f>
        <v/>
      </c>
      <c r="Q218" s="1" t="str">
        <f>IFERROR(VLOOKUP(O218, [1]meteoriteQuery!$D$2:$E$540,2,FALSE),"")</f>
        <v/>
      </c>
      <c r="R218" s="1" t="s">
        <v>989</v>
      </c>
      <c r="S218" s="1">
        <f>IFERROR(VLOOKUP(C218,[1]meteoriteQuery!$D$2:$F$517,1,FALSE),"")</f>
        <v>49734</v>
      </c>
    </row>
    <row r="219" spans="1:19" x14ac:dyDescent="0.25">
      <c r="A219" s="1">
        <v>196</v>
      </c>
      <c r="B219" s="1" t="s">
        <v>992</v>
      </c>
      <c r="C219" s="1">
        <v>49735</v>
      </c>
      <c r="D219" s="1" t="s">
        <v>990</v>
      </c>
      <c r="E219" s="1" t="s">
        <v>991</v>
      </c>
      <c r="F219" s="1">
        <v>2</v>
      </c>
      <c r="G219" s="1" t="s">
        <v>508</v>
      </c>
      <c r="H219" s="1" t="s">
        <v>993</v>
      </c>
      <c r="I219" s="1"/>
      <c r="J219" s="1">
        <v>49648</v>
      </c>
      <c r="K219" s="1" t="str">
        <f t="shared" si="6"/>
        <v>1:1:49648:9</v>
      </c>
      <c r="L219" s="1">
        <v>0</v>
      </c>
      <c r="M219" s="3" t="str">
        <f t="shared" si="7"/>
        <v/>
      </c>
      <c r="N219" s="1">
        <v>0</v>
      </c>
      <c r="O219" s="1" t="s">
        <v>2249</v>
      </c>
      <c r="P219" s="3" t="str" cm="1">
        <f t="array" ref="P219">IFERROR(mindat_longid(O219),"")</f>
        <v/>
      </c>
      <c r="Q219" s="1" t="str">
        <f>IFERROR(VLOOKUP(O219, [1]meteoriteQuery!$D$2:$E$540,2,FALSE),"")</f>
        <v/>
      </c>
      <c r="R219" s="1" t="s">
        <v>994</v>
      </c>
      <c r="S219" s="1">
        <f>IFERROR(VLOOKUP(C219,[1]meteoriteQuery!$D$2:$F$517,1,FALSE),"")</f>
        <v>49735</v>
      </c>
    </row>
    <row r="220" spans="1:19" x14ac:dyDescent="0.25">
      <c r="A220" s="1">
        <v>197</v>
      </c>
      <c r="B220" s="1" t="s">
        <v>997</v>
      </c>
      <c r="C220" s="1">
        <v>49736</v>
      </c>
      <c r="D220" s="1" t="s">
        <v>995</v>
      </c>
      <c r="E220" s="1" t="s">
        <v>996</v>
      </c>
      <c r="F220" s="1">
        <v>2</v>
      </c>
      <c r="G220" s="1" t="s">
        <v>508</v>
      </c>
      <c r="H220" s="1" t="s">
        <v>998</v>
      </c>
      <c r="I220" s="1"/>
      <c r="J220" s="1">
        <v>49648</v>
      </c>
      <c r="K220" s="1" t="str">
        <f t="shared" si="6"/>
        <v>1:1:49648:9</v>
      </c>
      <c r="L220" s="1">
        <v>0</v>
      </c>
      <c r="M220" s="3" t="str">
        <f t="shared" si="7"/>
        <v/>
      </c>
      <c r="N220" s="1">
        <v>0</v>
      </c>
      <c r="O220" s="1" t="s">
        <v>2249</v>
      </c>
      <c r="P220" s="3" t="str" cm="1">
        <f t="array" ref="P220">IFERROR(mindat_longid(O220),"")</f>
        <v/>
      </c>
      <c r="Q220" s="1" t="str">
        <f>IFERROR(VLOOKUP(O220, [1]meteoriteQuery!$D$2:$E$540,2,FALSE),"")</f>
        <v/>
      </c>
      <c r="R220" s="1" t="s">
        <v>999</v>
      </c>
      <c r="S220" s="1">
        <f>IFERROR(VLOOKUP(C220,[1]meteoriteQuery!$D$2:$F$517,1,FALSE),"")</f>
        <v>49736</v>
      </c>
    </row>
    <row r="221" spans="1:19" x14ac:dyDescent="0.25">
      <c r="A221" s="1">
        <v>198</v>
      </c>
      <c r="B221" s="1" t="s">
        <v>1002</v>
      </c>
      <c r="C221" s="1">
        <v>49737</v>
      </c>
      <c r="D221" s="1" t="s">
        <v>1000</v>
      </c>
      <c r="E221" s="1" t="s">
        <v>1001</v>
      </c>
      <c r="F221" s="1">
        <v>2</v>
      </c>
      <c r="G221" s="1" t="s">
        <v>508</v>
      </c>
      <c r="H221" s="1" t="s">
        <v>1003</v>
      </c>
      <c r="I221" s="1"/>
      <c r="J221" s="1">
        <v>49648</v>
      </c>
      <c r="K221" s="1" t="str">
        <f t="shared" si="6"/>
        <v>1:1:49648:9</v>
      </c>
      <c r="L221" s="1">
        <v>0</v>
      </c>
      <c r="M221" s="3" t="str">
        <f t="shared" si="7"/>
        <v/>
      </c>
      <c r="N221" s="1">
        <v>0</v>
      </c>
      <c r="O221" s="1" t="s">
        <v>2249</v>
      </c>
      <c r="P221" s="3" t="str" cm="1">
        <f t="array" ref="P221">IFERROR(mindat_longid(O221),"")</f>
        <v/>
      </c>
      <c r="Q221" s="1" t="str">
        <f>IFERROR(VLOOKUP(O221, [1]meteoriteQuery!$D$2:$E$540,2,FALSE),"")</f>
        <v/>
      </c>
      <c r="R221" s="1" t="s">
        <v>1004</v>
      </c>
      <c r="S221" s="1">
        <f>IFERROR(VLOOKUP(C221,[1]meteoriteQuery!$D$2:$F$517,1,FALSE),"")</f>
        <v>49737</v>
      </c>
    </row>
    <row r="222" spans="1:19" x14ac:dyDescent="0.25">
      <c r="A222" s="1">
        <v>199</v>
      </c>
      <c r="B222" s="1" t="s">
        <v>1007</v>
      </c>
      <c r="C222" s="1">
        <v>49738</v>
      </c>
      <c r="D222" s="1" t="s">
        <v>1005</v>
      </c>
      <c r="E222" s="1" t="s">
        <v>1006</v>
      </c>
      <c r="F222" s="1">
        <v>2</v>
      </c>
      <c r="G222" s="1" t="s">
        <v>508</v>
      </c>
      <c r="H222" s="1" t="s">
        <v>1008</v>
      </c>
      <c r="I222" s="1"/>
      <c r="J222" s="1">
        <v>49648</v>
      </c>
      <c r="K222" s="1" t="str">
        <f t="shared" si="6"/>
        <v>1:1:49648:9</v>
      </c>
      <c r="L222" s="1">
        <v>0</v>
      </c>
      <c r="M222" s="3" t="str">
        <f t="shared" si="7"/>
        <v/>
      </c>
      <c r="N222" s="1">
        <v>0</v>
      </c>
      <c r="O222" s="1" t="s">
        <v>2249</v>
      </c>
      <c r="P222" s="3" t="str" cm="1">
        <f t="array" ref="P222">IFERROR(mindat_longid(O222),"")</f>
        <v/>
      </c>
      <c r="Q222" s="1" t="str">
        <f>IFERROR(VLOOKUP(O222, [1]meteoriteQuery!$D$2:$E$540,2,FALSE),"")</f>
        <v/>
      </c>
      <c r="R222" s="1" t="s">
        <v>1009</v>
      </c>
      <c r="S222" s="1">
        <f>IFERROR(VLOOKUP(C222,[1]meteoriteQuery!$D$2:$F$517,1,FALSE),"")</f>
        <v>49738</v>
      </c>
    </row>
    <row r="223" spans="1:19" x14ac:dyDescent="0.25">
      <c r="A223" s="1">
        <v>200</v>
      </c>
      <c r="B223" s="1" t="s">
        <v>1012</v>
      </c>
      <c r="C223" s="1">
        <v>49739</v>
      </c>
      <c r="D223" s="1" t="s">
        <v>1010</v>
      </c>
      <c r="E223" s="1" t="s">
        <v>1011</v>
      </c>
      <c r="F223" s="1">
        <v>2</v>
      </c>
      <c r="G223" s="1" t="s">
        <v>508</v>
      </c>
      <c r="H223" s="1" t="s">
        <v>1013</v>
      </c>
      <c r="I223" s="1"/>
      <c r="J223" s="1">
        <v>49648</v>
      </c>
      <c r="K223" s="1" t="str">
        <f t="shared" si="6"/>
        <v>1:1:49648:9</v>
      </c>
      <c r="L223" s="1">
        <v>0</v>
      </c>
      <c r="M223" s="3" t="str">
        <f t="shared" si="7"/>
        <v/>
      </c>
      <c r="N223" s="1">
        <v>0</v>
      </c>
      <c r="O223" s="1" t="s">
        <v>2249</v>
      </c>
      <c r="P223" s="3" t="str" cm="1">
        <f t="array" ref="P223">IFERROR(mindat_longid(O223),"")</f>
        <v/>
      </c>
      <c r="Q223" s="1" t="str">
        <f>IFERROR(VLOOKUP(O223, [1]meteoriteQuery!$D$2:$E$540,2,FALSE),"")</f>
        <v/>
      </c>
      <c r="R223" s="1" t="s">
        <v>1014</v>
      </c>
      <c r="S223" s="1">
        <f>IFERROR(VLOOKUP(C223,[1]meteoriteQuery!$D$2:$F$517,1,FALSE),"")</f>
        <v>49739</v>
      </c>
    </row>
    <row r="224" spans="1:19" x14ac:dyDescent="0.25">
      <c r="A224" s="1">
        <v>201</v>
      </c>
      <c r="B224" s="1" t="s">
        <v>1017</v>
      </c>
      <c r="C224" s="1">
        <v>49740</v>
      </c>
      <c r="D224" s="1" t="s">
        <v>1015</v>
      </c>
      <c r="E224" s="1" t="s">
        <v>1016</v>
      </c>
      <c r="F224" s="1">
        <v>2</v>
      </c>
      <c r="G224" s="1" t="s">
        <v>508</v>
      </c>
      <c r="H224" s="1" t="s">
        <v>1018</v>
      </c>
      <c r="I224" s="1"/>
      <c r="J224" s="1">
        <v>49648</v>
      </c>
      <c r="K224" s="1" t="str">
        <f t="shared" si="6"/>
        <v>1:1:49648:9</v>
      </c>
      <c r="L224" s="1">
        <v>0</v>
      </c>
      <c r="M224" s="3" t="str">
        <f t="shared" si="7"/>
        <v/>
      </c>
      <c r="N224" s="1">
        <v>0</v>
      </c>
      <c r="O224" s="1" t="s">
        <v>2249</v>
      </c>
      <c r="P224" s="3" t="str" cm="1">
        <f t="array" ref="P224">IFERROR(mindat_longid(O224),"")</f>
        <v/>
      </c>
      <c r="Q224" s="1" t="str">
        <f>IFERROR(VLOOKUP(O224, [1]meteoriteQuery!$D$2:$E$540,2,FALSE),"")</f>
        <v/>
      </c>
      <c r="R224" s="1" t="s">
        <v>1019</v>
      </c>
      <c r="S224" s="1">
        <f>IFERROR(VLOOKUP(C224,[1]meteoriteQuery!$D$2:$F$517,1,FALSE),"")</f>
        <v>49740</v>
      </c>
    </row>
    <row r="225" spans="1:19" x14ac:dyDescent="0.25">
      <c r="A225" s="1">
        <v>202</v>
      </c>
      <c r="B225" s="1" t="s">
        <v>1022</v>
      </c>
      <c r="C225" s="1">
        <v>49741</v>
      </c>
      <c r="D225" s="1" t="s">
        <v>1020</v>
      </c>
      <c r="E225" s="1" t="s">
        <v>1021</v>
      </c>
      <c r="F225" s="1">
        <v>2</v>
      </c>
      <c r="G225" s="1" t="s">
        <v>508</v>
      </c>
      <c r="H225" s="1" t="s">
        <v>1023</v>
      </c>
      <c r="I225" s="1"/>
      <c r="J225" s="1">
        <v>49648</v>
      </c>
      <c r="K225" s="1" t="str">
        <f t="shared" si="6"/>
        <v>1:1:49648:9</v>
      </c>
      <c r="L225" s="1">
        <v>0</v>
      </c>
      <c r="M225" s="3" t="str">
        <f t="shared" si="7"/>
        <v/>
      </c>
      <c r="N225" s="1">
        <v>0</v>
      </c>
      <c r="O225" s="1" t="s">
        <v>2249</v>
      </c>
      <c r="P225" s="3" t="str" cm="1">
        <f t="array" ref="P225">IFERROR(mindat_longid(O225),"")</f>
        <v/>
      </c>
      <c r="Q225" s="1" t="str">
        <f>IFERROR(VLOOKUP(O225, [1]meteoriteQuery!$D$2:$E$540,2,FALSE),"")</f>
        <v/>
      </c>
      <c r="R225" s="1" t="s">
        <v>1024</v>
      </c>
      <c r="S225" s="1">
        <f>IFERROR(VLOOKUP(C225,[1]meteoriteQuery!$D$2:$F$517,1,FALSE),"")</f>
        <v>49741</v>
      </c>
    </row>
    <row r="226" spans="1:19" x14ac:dyDescent="0.25">
      <c r="A226" s="1">
        <v>203</v>
      </c>
      <c r="B226" s="1" t="s">
        <v>1027</v>
      </c>
      <c r="C226" s="1">
        <v>49742</v>
      </c>
      <c r="D226" s="1" t="s">
        <v>1025</v>
      </c>
      <c r="E226" s="1" t="s">
        <v>1026</v>
      </c>
      <c r="F226" s="1">
        <v>2</v>
      </c>
      <c r="G226" s="1" t="s">
        <v>508</v>
      </c>
      <c r="H226" s="1" t="s">
        <v>1028</v>
      </c>
      <c r="I226" s="1"/>
      <c r="J226" s="1">
        <v>49648</v>
      </c>
      <c r="K226" s="1" t="str">
        <f t="shared" si="6"/>
        <v>1:1:49648:9</v>
      </c>
      <c r="L226" s="1">
        <v>0</v>
      </c>
      <c r="M226" s="3" t="str">
        <f t="shared" si="7"/>
        <v/>
      </c>
      <c r="N226" s="1">
        <v>0</v>
      </c>
      <c r="O226" s="1" t="s">
        <v>2249</v>
      </c>
      <c r="P226" s="3" t="str" cm="1">
        <f t="array" ref="P226">IFERROR(mindat_longid(O226),"")</f>
        <v/>
      </c>
      <c r="Q226" s="1" t="str">
        <f>IFERROR(VLOOKUP(O226, [1]meteoriteQuery!$D$2:$E$540,2,FALSE),"")</f>
        <v/>
      </c>
      <c r="R226" s="1" t="s">
        <v>1029</v>
      </c>
      <c r="S226" s="1">
        <f>IFERROR(VLOOKUP(C226,[1]meteoriteQuery!$D$2:$F$517,1,FALSE),"")</f>
        <v>49742</v>
      </c>
    </row>
    <row r="227" spans="1:19" x14ac:dyDescent="0.25">
      <c r="A227" s="1">
        <v>204</v>
      </c>
      <c r="B227" s="1" t="s">
        <v>1032</v>
      </c>
      <c r="C227" s="1">
        <v>49743</v>
      </c>
      <c r="D227" s="1" t="s">
        <v>1030</v>
      </c>
      <c r="E227" s="1" t="s">
        <v>1031</v>
      </c>
      <c r="F227" s="1">
        <v>2</v>
      </c>
      <c r="G227" s="1" t="s">
        <v>508</v>
      </c>
      <c r="H227" s="1" t="s">
        <v>1033</v>
      </c>
      <c r="I227" s="1"/>
      <c r="J227" s="1">
        <v>49648</v>
      </c>
      <c r="K227" s="1" t="str">
        <f t="shared" si="6"/>
        <v>1:1:49648:9</v>
      </c>
      <c r="L227" s="1">
        <v>0</v>
      </c>
      <c r="M227" s="3" t="str">
        <f t="shared" si="7"/>
        <v/>
      </c>
      <c r="N227" s="1">
        <v>0</v>
      </c>
      <c r="O227" s="1" t="s">
        <v>2249</v>
      </c>
      <c r="P227" s="3" t="str" cm="1">
        <f t="array" ref="P227">IFERROR(mindat_longid(O227),"")</f>
        <v/>
      </c>
      <c r="Q227" s="1" t="str">
        <f>IFERROR(VLOOKUP(O227, [1]meteoriteQuery!$D$2:$E$540,2,FALSE),"")</f>
        <v/>
      </c>
      <c r="R227" s="1" t="s">
        <v>1034</v>
      </c>
      <c r="S227" s="1">
        <f>IFERROR(VLOOKUP(C227,[1]meteoriteQuery!$D$2:$F$517,1,FALSE),"")</f>
        <v>49743</v>
      </c>
    </row>
    <row r="228" spans="1:19" x14ac:dyDescent="0.25">
      <c r="A228" s="1">
        <v>205</v>
      </c>
      <c r="B228" s="1" t="s">
        <v>1037</v>
      </c>
      <c r="C228" s="1">
        <v>49744</v>
      </c>
      <c r="D228" s="1" t="s">
        <v>1035</v>
      </c>
      <c r="E228" s="1" t="s">
        <v>1036</v>
      </c>
      <c r="F228" s="1">
        <v>2</v>
      </c>
      <c r="G228" s="1" t="s">
        <v>508</v>
      </c>
      <c r="H228" s="1" t="s">
        <v>1038</v>
      </c>
      <c r="I228" s="1"/>
      <c r="J228" s="1">
        <v>49648</v>
      </c>
      <c r="K228" s="1" t="str">
        <f t="shared" si="6"/>
        <v>1:1:49648:9</v>
      </c>
      <c r="L228" s="1">
        <v>0</v>
      </c>
      <c r="M228" s="3" t="str">
        <f t="shared" si="7"/>
        <v/>
      </c>
      <c r="N228" s="1">
        <v>0</v>
      </c>
      <c r="O228" s="1" t="s">
        <v>2249</v>
      </c>
      <c r="P228" s="3" t="str" cm="1">
        <f t="array" ref="P228">IFERROR(mindat_longid(O228),"")</f>
        <v/>
      </c>
      <c r="Q228" s="1" t="str">
        <f>IFERROR(VLOOKUP(O228, [1]meteoriteQuery!$D$2:$E$540,2,FALSE),"")</f>
        <v/>
      </c>
      <c r="R228" s="1" t="s">
        <v>1039</v>
      </c>
      <c r="S228" s="1">
        <f>IFERROR(VLOOKUP(C228,[1]meteoriteQuery!$D$2:$F$517,1,FALSE),"")</f>
        <v>49744</v>
      </c>
    </row>
    <row r="229" spans="1:19" x14ac:dyDescent="0.25">
      <c r="A229" s="1">
        <v>206</v>
      </c>
      <c r="B229" s="1" t="s">
        <v>1042</v>
      </c>
      <c r="C229" s="1">
        <v>49745</v>
      </c>
      <c r="D229" s="1" t="s">
        <v>1040</v>
      </c>
      <c r="E229" s="1" t="s">
        <v>1041</v>
      </c>
      <c r="F229" s="1">
        <v>7</v>
      </c>
      <c r="G229" s="1" t="s">
        <v>14</v>
      </c>
      <c r="H229" s="1" t="s">
        <v>1043</v>
      </c>
      <c r="I229" s="1"/>
      <c r="J229" s="1">
        <v>49581</v>
      </c>
      <c r="K229" s="1" t="str">
        <f t="shared" si="6"/>
        <v>1:1:49581:5</v>
      </c>
      <c r="L229" s="1">
        <v>0</v>
      </c>
      <c r="M229" s="3" t="str">
        <f t="shared" si="7"/>
        <v/>
      </c>
      <c r="N229" s="1">
        <v>1</v>
      </c>
      <c r="O229" s="1" t="s">
        <v>2249</v>
      </c>
      <c r="P229" s="3" t="str" cm="1">
        <f t="array" ref="P229">IFERROR(mindat_longid(O229),"")</f>
        <v/>
      </c>
      <c r="Q229" s="1" t="str">
        <f>IFERROR(VLOOKUP(O229, [1]meteoriteQuery!$D$2:$E$540,2,FALSE),"")</f>
        <v/>
      </c>
      <c r="R229" s="1" t="s">
        <v>1044</v>
      </c>
      <c r="S229" s="1">
        <f>IFERROR(VLOOKUP(C229,[1]meteoriteQuery!$D$2:$F$517,1,FALSE),"")</f>
        <v>49745</v>
      </c>
    </row>
    <row r="230" spans="1:19" x14ac:dyDescent="0.25">
      <c r="A230" s="1">
        <v>207</v>
      </c>
      <c r="B230" s="1" t="s">
        <v>1047</v>
      </c>
      <c r="C230" s="1">
        <v>49746</v>
      </c>
      <c r="D230" s="1" t="s">
        <v>1045</v>
      </c>
      <c r="E230" s="1" t="s">
        <v>1046</v>
      </c>
      <c r="F230" s="1">
        <v>7</v>
      </c>
      <c r="G230" s="1" t="s">
        <v>14</v>
      </c>
      <c r="H230" s="1" t="s">
        <v>1048</v>
      </c>
      <c r="I230" s="1"/>
      <c r="J230" s="1">
        <v>49745</v>
      </c>
      <c r="K230" s="1" t="str">
        <f t="shared" si="6"/>
        <v>1:1:49745:1</v>
      </c>
      <c r="L230" s="1">
        <v>49842</v>
      </c>
      <c r="M230" s="3" t="str">
        <f t="shared" si="7"/>
        <v>1:1:49842:3</v>
      </c>
      <c r="N230" s="1">
        <v>1</v>
      </c>
      <c r="O230" s="1" t="s">
        <v>2249</v>
      </c>
      <c r="P230" s="3" t="str" cm="1">
        <f t="array" ref="P230">IFERROR(mindat_longid(O230),"")</f>
        <v/>
      </c>
      <c r="Q230" s="1" t="str">
        <f>IFERROR(VLOOKUP(O230, [1]meteoriteQuery!$D$2:$E$540,2,FALSE),"")</f>
        <v/>
      </c>
      <c r="R230" s="1" t="s">
        <v>1049</v>
      </c>
      <c r="S230" s="1">
        <f>IFERROR(VLOOKUP(C230,[1]meteoriteQuery!$D$2:$F$517,1,FALSE),"")</f>
        <v>49746</v>
      </c>
    </row>
    <row r="231" spans="1:19" x14ac:dyDescent="0.25">
      <c r="A231" s="1">
        <v>208</v>
      </c>
      <c r="B231" s="1" t="s">
        <v>1052</v>
      </c>
      <c r="C231" s="1">
        <v>49750</v>
      </c>
      <c r="D231" s="1" t="s">
        <v>1050</v>
      </c>
      <c r="E231" s="1" t="s">
        <v>1051</v>
      </c>
      <c r="F231" s="1">
        <v>7</v>
      </c>
      <c r="G231" s="1" t="s">
        <v>14</v>
      </c>
      <c r="H231" s="1" t="s">
        <v>1053</v>
      </c>
      <c r="I231" s="1"/>
      <c r="J231" s="1">
        <v>49746</v>
      </c>
      <c r="K231" s="1" t="str">
        <f t="shared" si="6"/>
        <v>1:1:49746:0</v>
      </c>
      <c r="L231" s="1">
        <v>49768</v>
      </c>
      <c r="M231" s="3" t="str">
        <f t="shared" si="7"/>
        <v>1:1:49768:2</v>
      </c>
      <c r="N231" s="1">
        <v>0</v>
      </c>
      <c r="O231" s="1" t="s">
        <v>2249</v>
      </c>
      <c r="P231" s="3" t="str" cm="1">
        <f t="array" ref="P231">IFERROR(mindat_longid(O231),"")</f>
        <v/>
      </c>
      <c r="Q231" s="1" t="str">
        <f>IFERROR(VLOOKUP(O231, [1]meteoriteQuery!$D$2:$E$540,2,FALSE),"")</f>
        <v/>
      </c>
      <c r="R231" s="1" t="s">
        <v>1054</v>
      </c>
      <c r="S231" s="1">
        <f>IFERROR(VLOOKUP(C231,[1]meteoriteQuery!$D$2:$F$517,1,FALSE),"")</f>
        <v>49750</v>
      </c>
    </row>
    <row r="232" spans="1:19" x14ac:dyDescent="0.25">
      <c r="A232" s="1">
        <v>209</v>
      </c>
      <c r="B232" s="1" t="s">
        <v>1057</v>
      </c>
      <c r="C232" s="1">
        <v>49751</v>
      </c>
      <c r="D232" s="1" t="s">
        <v>1055</v>
      </c>
      <c r="E232" s="1" t="s">
        <v>1056</v>
      </c>
      <c r="F232" s="1">
        <v>7</v>
      </c>
      <c r="G232" s="1" t="s">
        <v>14</v>
      </c>
      <c r="H232" s="1" t="s">
        <v>1058</v>
      </c>
      <c r="I232" s="1"/>
      <c r="J232" s="1">
        <v>49746</v>
      </c>
      <c r="K232" s="1" t="str">
        <f t="shared" si="6"/>
        <v>1:1:49746:0</v>
      </c>
      <c r="L232" s="1">
        <v>0</v>
      </c>
      <c r="M232" s="3" t="str">
        <f t="shared" si="7"/>
        <v/>
      </c>
      <c r="N232" s="1">
        <v>0</v>
      </c>
      <c r="O232" s="1" t="s">
        <v>2249</v>
      </c>
      <c r="P232" s="3" t="str" cm="1">
        <f t="array" ref="P232">IFERROR(mindat_longid(O232),"")</f>
        <v/>
      </c>
      <c r="Q232" s="1" t="str">
        <f>IFERROR(VLOOKUP(O232, [1]meteoriteQuery!$D$2:$E$540,2,FALSE),"")</f>
        <v/>
      </c>
      <c r="R232" s="1" t="s">
        <v>1059</v>
      </c>
      <c r="S232" s="1">
        <f>IFERROR(VLOOKUP(C232,[1]meteoriteQuery!$D$2:$F$517,1,FALSE),"")</f>
        <v>49751</v>
      </c>
    </row>
    <row r="233" spans="1:19" x14ac:dyDescent="0.25">
      <c r="A233" s="1">
        <v>210</v>
      </c>
      <c r="B233" s="1" t="s">
        <v>1062</v>
      </c>
      <c r="C233" s="1">
        <v>49752</v>
      </c>
      <c r="D233" s="1" t="s">
        <v>1060</v>
      </c>
      <c r="E233" s="1" t="s">
        <v>1061</v>
      </c>
      <c r="F233" s="1">
        <v>7</v>
      </c>
      <c r="G233" s="1" t="s">
        <v>14</v>
      </c>
      <c r="H233" s="1" t="s">
        <v>1063</v>
      </c>
      <c r="I233" s="1"/>
      <c r="J233" s="1">
        <v>49746</v>
      </c>
      <c r="K233" s="1" t="str">
        <f t="shared" si="6"/>
        <v>1:1:49746:0</v>
      </c>
      <c r="L233" s="1">
        <v>0</v>
      </c>
      <c r="M233" s="3" t="str">
        <f t="shared" si="7"/>
        <v/>
      </c>
      <c r="N233" s="1">
        <v>0</v>
      </c>
      <c r="O233" s="1" t="s">
        <v>2249</v>
      </c>
      <c r="P233" s="3" t="str" cm="1">
        <f t="array" ref="P233">IFERROR(mindat_longid(O233),"")</f>
        <v/>
      </c>
      <c r="Q233" s="1" t="str">
        <f>IFERROR(VLOOKUP(O233, [1]meteoriteQuery!$D$2:$E$540,2,FALSE),"")</f>
        <v/>
      </c>
      <c r="R233" s="1" t="s">
        <v>1064</v>
      </c>
      <c r="S233" s="1">
        <f>IFERROR(VLOOKUP(C233,[1]meteoriteQuery!$D$2:$F$517,1,FALSE),"")</f>
        <v>49752</v>
      </c>
    </row>
    <row r="234" spans="1:19" x14ac:dyDescent="0.25">
      <c r="A234" s="1">
        <v>211</v>
      </c>
      <c r="B234" s="1" t="s">
        <v>1067</v>
      </c>
      <c r="C234" s="1">
        <v>49753</v>
      </c>
      <c r="D234" s="1" t="s">
        <v>1065</v>
      </c>
      <c r="E234" s="1" t="s">
        <v>1066</v>
      </c>
      <c r="F234" s="1">
        <v>7</v>
      </c>
      <c r="G234" s="1" t="s">
        <v>14</v>
      </c>
      <c r="H234" s="1" t="s">
        <v>1068</v>
      </c>
      <c r="I234" s="1"/>
      <c r="J234" s="1">
        <v>49746</v>
      </c>
      <c r="K234" s="1" t="str">
        <f t="shared" si="6"/>
        <v>1:1:49746:0</v>
      </c>
      <c r="L234" s="1">
        <v>0</v>
      </c>
      <c r="M234" s="3" t="str">
        <f t="shared" si="7"/>
        <v/>
      </c>
      <c r="N234" s="1">
        <v>0</v>
      </c>
      <c r="O234" s="1" t="s">
        <v>2249</v>
      </c>
      <c r="P234" s="3" t="str" cm="1">
        <f t="array" ref="P234">IFERROR(mindat_longid(O234),"")</f>
        <v/>
      </c>
      <c r="Q234" s="1" t="str">
        <f>IFERROR(VLOOKUP(O234, [1]meteoriteQuery!$D$2:$E$540,2,FALSE),"")</f>
        <v/>
      </c>
      <c r="R234" s="1" t="s">
        <v>1069</v>
      </c>
      <c r="S234" s="1">
        <f>IFERROR(VLOOKUP(C234,[1]meteoriteQuery!$D$2:$F$517,1,FALSE),"")</f>
        <v>49753</v>
      </c>
    </row>
    <row r="235" spans="1:19" x14ac:dyDescent="0.25">
      <c r="A235" s="1">
        <v>212</v>
      </c>
      <c r="B235" s="1" t="s">
        <v>1072</v>
      </c>
      <c r="C235" s="1">
        <v>49754</v>
      </c>
      <c r="D235" s="1" t="s">
        <v>1070</v>
      </c>
      <c r="E235" s="1" t="s">
        <v>1071</v>
      </c>
      <c r="F235" s="1">
        <v>7</v>
      </c>
      <c r="G235" s="1" t="s">
        <v>14</v>
      </c>
      <c r="H235" s="1" t="s">
        <v>1073</v>
      </c>
      <c r="I235" s="1"/>
      <c r="J235" s="1">
        <v>49746</v>
      </c>
      <c r="K235" s="1" t="str">
        <f t="shared" si="6"/>
        <v>1:1:49746:0</v>
      </c>
      <c r="L235" s="1">
        <v>0</v>
      </c>
      <c r="M235" s="3" t="str">
        <f t="shared" si="7"/>
        <v/>
      </c>
      <c r="N235" s="1">
        <v>0</v>
      </c>
      <c r="O235" s="1" t="s">
        <v>2249</v>
      </c>
      <c r="P235" s="3" t="str" cm="1">
        <f t="array" ref="P235">IFERROR(mindat_longid(O235),"")</f>
        <v/>
      </c>
      <c r="Q235" s="1" t="str">
        <f>IFERROR(VLOOKUP(O235, [1]meteoriteQuery!$D$2:$E$540,2,FALSE),"")</f>
        <v/>
      </c>
      <c r="R235" s="1" t="s">
        <v>1074</v>
      </c>
      <c r="S235" s="1">
        <f>IFERROR(VLOOKUP(C235,[1]meteoriteQuery!$D$2:$F$517,1,FALSE),"")</f>
        <v>49754</v>
      </c>
    </row>
    <row r="236" spans="1:19" x14ac:dyDescent="0.25">
      <c r="A236" s="1">
        <v>213</v>
      </c>
      <c r="B236" s="1" t="s">
        <v>1077</v>
      </c>
      <c r="C236" s="1">
        <v>49755</v>
      </c>
      <c r="D236" s="1" t="s">
        <v>1075</v>
      </c>
      <c r="E236" s="1" t="s">
        <v>1076</v>
      </c>
      <c r="F236" s="1">
        <v>7</v>
      </c>
      <c r="G236" s="1" t="s">
        <v>14</v>
      </c>
      <c r="H236" s="1" t="s">
        <v>1078</v>
      </c>
      <c r="I236" s="1"/>
      <c r="J236" s="1">
        <v>49746</v>
      </c>
      <c r="K236" s="1" t="str">
        <f t="shared" si="6"/>
        <v>1:1:49746:0</v>
      </c>
      <c r="L236" s="1">
        <v>0</v>
      </c>
      <c r="M236" s="3" t="str">
        <f t="shared" si="7"/>
        <v/>
      </c>
      <c r="N236" s="1">
        <v>0</v>
      </c>
      <c r="O236" s="1" t="s">
        <v>2249</v>
      </c>
      <c r="P236" s="3" t="str" cm="1">
        <f t="array" ref="P236">IFERROR(mindat_longid(O236),"")</f>
        <v/>
      </c>
      <c r="Q236" s="1" t="str">
        <f>IFERROR(VLOOKUP(O236, [1]meteoriteQuery!$D$2:$E$540,2,FALSE),"")</f>
        <v/>
      </c>
      <c r="R236" s="1" t="s">
        <v>1079</v>
      </c>
      <c r="S236" s="1">
        <f>IFERROR(VLOOKUP(C236,[1]meteoriteQuery!$D$2:$F$517,1,FALSE),"")</f>
        <v>49755</v>
      </c>
    </row>
    <row r="237" spans="1:19" x14ac:dyDescent="0.25">
      <c r="A237" s="1">
        <v>214</v>
      </c>
      <c r="B237" s="1" t="s">
        <v>1082</v>
      </c>
      <c r="C237" s="1">
        <v>49756</v>
      </c>
      <c r="D237" s="1" t="s">
        <v>1080</v>
      </c>
      <c r="E237" s="1" t="s">
        <v>1081</v>
      </c>
      <c r="F237" s="1">
        <v>7</v>
      </c>
      <c r="G237" s="1" t="s">
        <v>14</v>
      </c>
      <c r="H237" s="1" t="s">
        <v>1083</v>
      </c>
      <c r="I237" s="1"/>
      <c r="J237" s="1">
        <v>49754</v>
      </c>
      <c r="K237" s="1" t="str">
        <f t="shared" si="6"/>
        <v>1:1:49754:9</v>
      </c>
      <c r="L237" s="1">
        <v>0</v>
      </c>
      <c r="M237" s="3" t="str">
        <f t="shared" si="7"/>
        <v/>
      </c>
      <c r="N237" s="1">
        <v>0</v>
      </c>
      <c r="O237" s="1" t="s">
        <v>2249</v>
      </c>
      <c r="P237" s="3" t="str" cm="1">
        <f t="array" ref="P237">IFERROR(mindat_longid(O237),"")</f>
        <v/>
      </c>
      <c r="Q237" s="1" t="str">
        <f>IFERROR(VLOOKUP(O237, [1]meteoriteQuery!$D$2:$E$540,2,FALSE),"")</f>
        <v/>
      </c>
      <c r="R237" s="1" t="s">
        <v>1084</v>
      </c>
      <c r="S237" s="1">
        <f>IFERROR(VLOOKUP(C237,[1]meteoriteQuery!$D$2:$F$517,1,FALSE),"")</f>
        <v>49756</v>
      </c>
    </row>
    <row r="238" spans="1:19" x14ac:dyDescent="0.25">
      <c r="A238" s="1">
        <v>215</v>
      </c>
      <c r="B238" s="1" t="s">
        <v>1087</v>
      </c>
      <c r="C238" s="1">
        <v>49757</v>
      </c>
      <c r="D238" s="1" t="s">
        <v>1085</v>
      </c>
      <c r="E238" s="1" t="s">
        <v>1086</v>
      </c>
      <c r="F238" s="1">
        <v>7</v>
      </c>
      <c r="G238" s="1" t="s">
        <v>14</v>
      </c>
      <c r="H238" s="1" t="s">
        <v>1088</v>
      </c>
      <c r="I238" s="1"/>
      <c r="J238" s="1">
        <v>49746</v>
      </c>
      <c r="K238" s="1" t="str">
        <f t="shared" si="6"/>
        <v>1:1:49746:0</v>
      </c>
      <c r="L238" s="1">
        <v>0</v>
      </c>
      <c r="M238" s="3" t="str">
        <f t="shared" si="7"/>
        <v/>
      </c>
      <c r="N238" s="1">
        <v>0</v>
      </c>
      <c r="O238" s="1" t="s">
        <v>2249</v>
      </c>
      <c r="P238" s="3" t="str" cm="1">
        <f t="array" ref="P238">IFERROR(mindat_longid(O238),"")</f>
        <v/>
      </c>
      <c r="Q238" s="1" t="str">
        <f>IFERROR(VLOOKUP(O238, [1]meteoriteQuery!$D$2:$E$540,2,FALSE),"")</f>
        <v/>
      </c>
      <c r="R238" s="1" t="s">
        <v>1089</v>
      </c>
      <c r="S238" s="1">
        <f>IFERROR(VLOOKUP(C238,[1]meteoriteQuery!$D$2:$F$517,1,FALSE),"")</f>
        <v>49757</v>
      </c>
    </row>
    <row r="239" spans="1:19" x14ac:dyDescent="0.25">
      <c r="A239" s="1">
        <v>216</v>
      </c>
      <c r="B239" s="1" t="s">
        <v>1092</v>
      </c>
      <c r="C239" s="1">
        <v>49758</v>
      </c>
      <c r="D239" s="1" t="s">
        <v>1090</v>
      </c>
      <c r="E239" s="1" t="s">
        <v>1091</v>
      </c>
      <c r="F239" s="1">
        <v>7</v>
      </c>
      <c r="G239" s="1" t="s">
        <v>14</v>
      </c>
      <c r="H239" s="1" t="s">
        <v>1093</v>
      </c>
      <c r="I239" s="1"/>
      <c r="J239" s="1">
        <v>49746</v>
      </c>
      <c r="K239" s="1" t="str">
        <f t="shared" si="6"/>
        <v>1:1:49746:0</v>
      </c>
      <c r="L239" s="1">
        <v>0</v>
      </c>
      <c r="M239" s="3" t="str">
        <f t="shared" si="7"/>
        <v/>
      </c>
      <c r="N239" s="1">
        <v>0</v>
      </c>
      <c r="O239" s="1" t="s">
        <v>2249</v>
      </c>
      <c r="P239" s="3" t="str" cm="1">
        <f t="array" ref="P239">IFERROR(mindat_longid(O239),"")</f>
        <v/>
      </c>
      <c r="Q239" s="1" t="str">
        <f>IFERROR(VLOOKUP(O239, [1]meteoriteQuery!$D$2:$E$540,2,FALSE),"")</f>
        <v/>
      </c>
      <c r="R239" s="1" t="s">
        <v>1094</v>
      </c>
      <c r="S239" s="1">
        <f>IFERROR(VLOOKUP(C239,[1]meteoriteQuery!$D$2:$F$517,1,FALSE),"")</f>
        <v>49758</v>
      </c>
    </row>
    <row r="240" spans="1:19" x14ac:dyDescent="0.25">
      <c r="A240" s="1">
        <v>217</v>
      </c>
      <c r="B240" s="1" t="s">
        <v>1097</v>
      </c>
      <c r="C240" s="1">
        <v>49760</v>
      </c>
      <c r="D240" s="1" t="s">
        <v>1095</v>
      </c>
      <c r="E240" s="1" t="s">
        <v>1096</v>
      </c>
      <c r="F240" s="1">
        <v>7</v>
      </c>
      <c r="G240" s="1" t="s">
        <v>14</v>
      </c>
      <c r="H240" s="1" t="s">
        <v>1098</v>
      </c>
      <c r="I240" s="1"/>
      <c r="J240" s="1">
        <v>49746</v>
      </c>
      <c r="K240" s="1" t="str">
        <f t="shared" si="6"/>
        <v>1:1:49746:0</v>
      </c>
      <c r="L240" s="1">
        <v>0</v>
      </c>
      <c r="M240" s="3" t="str">
        <f t="shared" si="7"/>
        <v/>
      </c>
      <c r="N240" s="1">
        <v>0</v>
      </c>
      <c r="O240" s="1" t="s">
        <v>2249</v>
      </c>
      <c r="P240" s="3" t="str" cm="1">
        <f t="array" ref="P240">IFERROR(mindat_longid(O240),"")</f>
        <v/>
      </c>
      <c r="Q240" s="1" t="str">
        <f>IFERROR(VLOOKUP(O240, [1]meteoriteQuery!$D$2:$E$540,2,FALSE),"")</f>
        <v/>
      </c>
      <c r="R240" s="1" t="s">
        <v>1099</v>
      </c>
      <c r="S240" s="1">
        <f>IFERROR(VLOOKUP(C240,[1]meteoriteQuery!$D$2:$F$517,1,FALSE),"")</f>
        <v>49760</v>
      </c>
    </row>
    <row r="241" spans="1:19" x14ac:dyDescent="0.25">
      <c r="A241" s="1">
        <v>218</v>
      </c>
      <c r="B241" s="1" t="s">
        <v>1102</v>
      </c>
      <c r="C241" s="1">
        <v>49761</v>
      </c>
      <c r="D241" s="1" t="s">
        <v>1100</v>
      </c>
      <c r="E241" s="1" t="s">
        <v>1101</v>
      </c>
      <c r="F241" s="1">
        <v>7</v>
      </c>
      <c r="G241" s="1" t="s">
        <v>14</v>
      </c>
      <c r="H241" s="1" t="s">
        <v>1103</v>
      </c>
      <c r="I241" s="1"/>
      <c r="J241" s="1">
        <v>49746</v>
      </c>
      <c r="K241" s="1" t="str">
        <f t="shared" si="6"/>
        <v>1:1:49746:0</v>
      </c>
      <c r="L241" s="1">
        <v>0</v>
      </c>
      <c r="M241" s="3" t="str">
        <f t="shared" si="7"/>
        <v/>
      </c>
      <c r="N241" s="1">
        <v>0</v>
      </c>
      <c r="O241" s="1" t="s">
        <v>2249</v>
      </c>
      <c r="P241" s="3" t="str" cm="1">
        <f t="array" ref="P241">IFERROR(mindat_longid(O241),"")</f>
        <v/>
      </c>
      <c r="Q241" s="1" t="str">
        <f>IFERROR(VLOOKUP(O241, [1]meteoriteQuery!$D$2:$E$540,2,FALSE),"")</f>
        <v/>
      </c>
      <c r="R241" s="1" t="s">
        <v>1104</v>
      </c>
      <c r="S241" s="1">
        <f>IFERROR(VLOOKUP(C241,[1]meteoriteQuery!$D$2:$F$517,1,FALSE),"")</f>
        <v>49761</v>
      </c>
    </row>
    <row r="242" spans="1:19" x14ac:dyDescent="0.25">
      <c r="A242" s="1">
        <v>219</v>
      </c>
      <c r="B242" s="1" t="s">
        <v>1107</v>
      </c>
      <c r="C242" s="1">
        <v>49762</v>
      </c>
      <c r="D242" s="1" t="s">
        <v>1105</v>
      </c>
      <c r="E242" s="1" t="s">
        <v>1106</v>
      </c>
      <c r="F242" s="1">
        <v>7</v>
      </c>
      <c r="G242" s="1" t="s">
        <v>14</v>
      </c>
      <c r="H242" s="1" t="s">
        <v>1108</v>
      </c>
      <c r="I242" s="1"/>
      <c r="J242" s="1">
        <v>49761</v>
      </c>
      <c r="K242" s="1" t="str">
        <f t="shared" si="6"/>
        <v>1:1:49761:9</v>
      </c>
      <c r="L242" s="1">
        <v>49763</v>
      </c>
      <c r="M242" s="3" t="str">
        <f t="shared" si="7"/>
        <v>1:1:49763:7</v>
      </c>
      <c r="N242" s="1">
        <v>0</v>
      </c>
      <c r="O242" s="1" t="s">
        <v>2249</v>
      </c>
      <c r="P242" s="3" t="str" cm="1">
        <f t="array" ref="P242">IFERROR(mindat_longid(O242),"")</f>
        <v/>
      </c>
      <c r="Q242" s="1" t="str">
        <f>IFERROR(VLOOKUP(O242, [1]meteoriteQuery!$D$2:$E$540,2,FALSE),"")</f>
        <v/>
      </c>
      <c r="R242" s="1" t="s">
        <v>1109</v>
      </c>
      <c r="S242" s="1">
        <f>IFERROR(VLOOKUP(C242,[1]meteoriteQuery!$D$2:$F$517,1,FALSE),"")</f>
        <v>49762</v>
      </c>
    </row>
    <row r="243" spans="1:19" x14ac:dyDescent="0.25">
      <c r="A243" s="1">
        <v>220</v>
      </c>
      <c r="B243" s="1" t="s">
        <v>1112</v>
      </c>
      <c r="C243" s="1">
        <v>49763</v>
      </c>
      <c r="D243" s="1" t="s">
        <v>1110</v>
      </c>
      <c r="E243" s="1" t="s">
        <v>1111</v>
      </c>
      <c r="F243" s="1">
        <v>7</v>
      </c>
      <c r="G243" s="1" t="s">
        <v>14</v>
      </c>
      <c r="H243" s="1" t="s">
        <v>1113</v>
      </c>
      <c r="I243" s="1"/>
      <c r="J243" s="1">
        <v>49746</v>
      </c>
      <c r="K243" s="1" t="str">
        <f t="shared" si="6"/>
        <v>1:1:49746:0</v>
      </c>
      <c r="L243" s="1">
        <v>0</v>
      </c>
      <c r="M243" s="3" t="str">
        <f t="shared" si="7"/>
        <v/>
      </c>
      <c r="N243" s="1">
        <v>0</v>
      </c>
      <c r="O243" s="1" t="s">
        <v>2249</v>
      </c>
      <c r="P243" s="3" t="str" cm="1">
        <f t="array" ref="P243">IFERROR(mindat_longid(O243),"")</f>
        <v/>
      </c>
      <c r="Q243" s="1" t="str">
        <f>IFERROR(VLOOKUP(O243, [1]meteoriteQuery!$D$2:$E$540,2,FALSE),"")</f>
        <v/>
      </c>
      <c r="R243" s="1" t="s">
        <v>1114</v>
      </c>
      <c r="S243" s="1">
        <f>IFERROR(VLOOKUP(C243,[1]meteoriteQuery!$D$2:$F$517,1,FALSE),"")</f>
        <v>49763</v>
      </c>
    </row>
    <row r="244" spans="1:19" x14ac:dyDescent="0.25">
      <c r="A244" s="1">
        <v>221</v>
      </c>
      <c r="B244" s="1" t="s">
        <v>1117</v>
      </c>
      <c r="C244" s="1">
        <v>49764</v>
      </c>
      <c r="D244" s="1" t="s">
        <v>1115</v>
      </c>
      <c r="E244" s="1" t="s">
        <v>1116</v>
      </c>
      <c r="F244" s="1">
        <v>7</v>
      </c>
      <c r="G244" s="1" t="s">
        <v>14</v>
      </c>
      <c r="H244" s="1" t="s">
        <v>1118</v>
      </c>
      <c r="I244" s="1"/>
      <c r="J244" s="1">
        <v>49746</v>
      </c>
      <c r="K244" s="1" t="str">
        <f t="shared" si="6"/>
        <v>1:1:49746:0</v>
      </c>
      <c r="L244" s="1">
        <v>0</v>
      </c>
      <c r="M244" s="3" t="str">
        <f t="shared" si="7"/>
        <v/>
      </c>
      <c r="N244" s="1">
        <v>0</v>
      </c>
      <c r="O244" s="1" t="s">
        <v>2249</v>
      </c>
      <c r="P244" s="3" t="str" cm="1">
        <f t="array" ref="P244">IFERROR(mindat_longid(O244),"")</f>
        <v/>
      </c>
      <c r="Q244" s="1" t="str">
        <f>IFERROR(VLOOKUP(O244, [1]meteoriteQuery!$D$2:$E$540,2,FALSE),"")</f>
        <v/>
      </c>
      <c r="R244" s="1" t="s">
        <v>1119</v>
      </c>
      <c r="S244" s="1">
        <f>IFERROR(VLOOKUP(C244,[1]meteoriteQuery!$D$2:$F$517,1,FALSE),"")</f>
        <v>49764</v>
      </c>
    </row>
    <row r="245" spans="1:19" x14ac:dyDescent="0.25">
      <c r="A245" s="1">
        <v>222</v>
      </c>
      <c r="B245" s="1" t="s">
        <v>1122</v>
      </c>
      <c r="C245" s="1">
        <v>49765</v>
      </c>
      <c r="D245" s="1" t="s">
        <v>1120</v>
      </c>
      <c r="E245" s="1" t="s">
        <v>1121</v>
      </c>
      <c r="F245" s="1">
        <v>7</v>
      </c>
      <c r="G245" s="1" t="s">
        <v>14</v>
      </c>
      <c r="H245" s="1" t="s">
        <v>1123</v>
      </c>
      <c r="I245" s="1"/>
      <c r="J245" s="1">
        <v>49746</v>
      </c>
      <c r="K245" s="1" t="str">
        <f t="shared" si="6"/>
        <v>1:1:49746:0</v>
      </c>
      <c r="L245" s="1">
        <v>0</v>
      </c>
      <c r="M245" s="3" t="str">
        <f t="shared" si="7"/>
        <v/>
      </c>
      <c r="N245" s="1">
        <v>0</v>
      </c>
      <c r="O245" s="1" t="s">
        <v>2249</v>
      </c>
      <c r="P245" s="3" t="str" cm="1">
        <f t="array" ref="P245">IFERROR(mindat_longid(O245),"")</f>
        <v/>
      </c>
      <c r="Q245" s="1" t="str">
        <f>IFERROR(VLOOKUP(O245, [1]meteoriteQuery!$D$2:$E$540,2,FALSE),"")</f>
        <v/>
      </c>
      <c r="R245" s="1" t="s">
        <v>1124</v>
      </c>
      <c r="S245" s="1">
        <f>IFERROR(VLOOKUP(C245,[1]meteoriteQuery!$D$2:$F$517,1,FALSE),"")</f>
        <v>49765</v>
      </c>
    </row>
    <row r="246" spans="1:19" x14ac:dyDescent="0.25">
      <c r="A246" s="1">
        <v>223</v>
      </c>
      <c r="B246" s="1" t="s">
        <v>1127</v>
      </c>
      <c r="C246" s="1">
        <v>49767</v>
      </c>
      <c r="D246" s="1" t="s">
        <v>1125</v>
      </c>
      <c r="E246" s="2" t="s">
        <v>1126</v>
      </c>
      <c r="F246" s="1">
        <v>7</v>
      </c>
      <c r="G246" s="1" t="s">
        <v>14</v>
      </c>
      <c r="H246" s="1" t="s">
        <v>1128</v>
      </c>
      <c r="I246" s="1"/>
      <c r="J246" s="1">
        <v>49746</v>
      </c>
      <c r="K246" s="1" t="str">
        <f t="shared" si="6"/>
        <v>1:1:49746:0</v>
      </c>
      <c r="L246" s="1">
        <v>49768</v>
      </c>
      <c r="M246" s="3" t="str">
        <f t="shared" si="7"/>
        <v>1:1:49768:2</v>
      </c>
      <c r="N246" s="1">
        <v>0</v>
      </c>
      <c r="O246" s="1" t="s">
        <v>2249</v>
      </c>
      <c r="P246" s="3" t="str" cm="1">
        <f t="array" ref="P246">IFERROR(mindat_longid(O246),"")</f>
        <v/>
      </c>
      <c r="Q246" s="1" t="str">
        <f>IFERROR(VLOOKUP(O246, [1]meteoriteQuery!$D$2:$E$540,2,FALSE),"")</f>
        <v/>
      </c>
      <c r="R246" s="1" t="s">
        <v>1129</v>
      </c>
      <c r="S246" s="1">
        <f>IFERROR(VLOOKUP(C246,[1]meteoriteQuery!$D$2:$F$517,1,FALSE),"")</f>
        <v>49767</v>
      </c>
    </row>
    <row r="247" spans="1:19" x14ac:dyDescent="0.25">
      <c r="A247" s="1">
        <v>224</v>
      </c>
      <c r="B247" s="1" t="s">
        <v>1132</v>
      </c>
      <c r="C247" s="1">
        <v>49768</v>
      </c>
      <c r="D247" s="1" t="s">
        <v>1130</v>
      </c>
      <c r="E247" s="1" t="s">
        <v>1131</v>
      </c>
      <c r="F247" s="1">
        <v>7</v>
      </c>
      <c r="G247" s="1" t="s">
        <v>14</v>
      </c>
      <c r="H247" s="1" t="s">
        <v>1133</v>
      </c>
      <c r="I247" s="1"/>
      <c r="J247" s="1">
        <v>49745</v>
      </c>
      <c r="K247" s="1" t="str">
        <f t="shared" si="6"/>
        <v>1:1:49745:1</v>
      </c>
      <c r="L247" s="1">
        <v>49843</v>
      </c>
      <c r="M247" s="3" t="str">
        <f t="shared" si="7"/>
        <v>1:1:49843:2</v>
      </c>
      <c r="N247" s="1">
        <v>1</v>
      </c>
      <c r="O247" s="1" t="s">
        <v>2249</v>
      </c>
      <c r="P247" s="3" t="str" cm="1">
        <f t="array" ref="P247">IFERROR(mindat_longid(O247),"")</f>
        <v/>
      </c>
      <c r="Q247" s="1" t="str">
        <f>IFERROR(VLOOKUP(O247, [1]meteoriteQuery!$D$2:$E$540,2,FALSE),"")</f>
        <v/>
      </c>
      <c r="R247" s="1" t="s">
        <v>1134</v>
      </c>
      <c r="S247" s="1">
        <f>IFERROR(VLOOKUP(C247,[1]meteoriteQuery!$D$2:$F$517,1,FALSE),"")</f>
        <v>49768</v>
      </c>
    </row>
    <row r="248" spans="1:19" x14ac:dyDescent="0.25">
      <c r="A248" s="1">
        <v>225</v>
      </c>
      <c r="B248" s="1" t="s">
        <v>1137</v>
      </c>
      <c r="C248" s="1">
        <v>49769</v>
      </c>
      <c r="D248" s="1" t="s">
        <v>1135</v>
      </c>
      <c r="E248" s="1" t="s">
        <v>1136</v>
      </c>
      <c r="F248" s="1">
        <v>7</v>
      </c>
      <c r="G248" s="1" t="s">
        <v>14</v>
      </c>
      <c r="H248" s="1" t="s">
        <v>1138</v>
      </c>
      <c r="I248" s="1"/>
      <c r="J248" s="1">
        <v>49768</v>
      </c>
      <c r="K248" s="1" t="str">
        <f t="shared" si="6"/>
        <v>1:1:49768:2</v>
      </c>
      <c r="L248" s="1">
        <v>49772</v>
      </c>
      <c r="M248" s="3" t="str">
        <f t="shared" si="7"/>
        <v>1:1:49772:5</v>
      </c>
      <c r="N248" s="1">
        <v>0</v>
      </c>
      <c r="O248" s="1" t="s">
        <v>2249</v>
      </c>
      <c r="P248" s="3" t="str" cm="1">
        <f t="array" ref="P248">IFERROR(mindat_longid(O248),"")</f>
        <v/>
      </c>
      <c r="Q248" s="1" t="str">
        <f>IFERROR(VLOOKUP(O248, [1]meteoriteQuery!$D$2:$E$540,2,FALSE),"")</f>
        <v/>
      </c>
      <c r="R248" s="1" t="s">
        <v>1139</v>
      </c>
      <c r="S248" s="1">
        <f>IFERROR(VLOOKUP(C248,[1]meteoriteQuery!$D$2:$F$517,1,FALSE),"")</f>
        <v>49769</v>
      </c>
    </row>
    <row r="249" spans="1:19" x14ac:dyDescent="0.25">
      <c r="A249" s="1">
        <v>226</v>
      </c>
      <c r="B249" s="1" t="s">
        <v>1142</v>
      </c>
      <c r="C249" s="1">
        <v>49770</v>
      </c>
      <c r="D249" s="1" t="s">
        <v>1140</v>
      </c>
      <c r="E249" s="1" t="s">
        <v>1141</v>
      </c>
      <c r="F249" s="1">
        <v>7</v>
      </c>
      <c r="G249" s="1" t="s">
        <v>14</v>
      </c>
      <c r="H249" s="1" t="s">
        <v>1143</v>
      </c>
      <c r="I249" s="1"/>
      <c r="J249" s="1">
        <v>49768</v>
      </c>
      <c r="K249" s="1" t="str">
        <f t="shared" si="6"/>
        <v>1:1:49768:2</v>
      </c>
      <c r="L249" s="1">
        <v>0</v>
      </c>
      <c r="M249" s="3" t="str">
        <f t="shared" si="7"/>
        <v/>
      </c>
      <c r="N249" s="1">
        <v>0</v>
      </c>
      <c r="O249" s="1" t="s">
        <v>2249</v>
      </c>
      <c r="P249" s="3" t="str" cm="1">
        <f t="array" ref="P249">IFERROR(mindat_longid(O249),"")</f>
        <v/>
      </c>
      <c r="Q249" s="1" t="str">
        <f>IFERROR(VLOOKUP(O249, [1]meteoriteQuery!$D$2:$E$540,2,FALSE),"")</f>
        <v/>
      </c>
      <c r="R249" s="1" t="s">
        <v>1144</v>
      </c>
      <c r="S249" s="1">
        <f>IFERROR(VLOOKUP(C249,[1]meteoriteQuery!$D$2:$F$517,1,FALSE),"")</f>
        <v>49770</v>
      </c>
    </row>
    <row r="250" spans="1:19" x14ac:dyDescent="0.25">
      <c r="A250" s="1">
        <v>227</v>
      </c>
      <c r="B250" s="1" t="s">
        <v>1147</v>
      </c>
      <c r="C250" s="1">
        <v>49772</v>
      </c>
      <c r="D250" s="1" t="s">
        <v>1145</v>
      </c>
      <c r="E250" s="1" t="s">
        <v>1146</v>
      </c>
      <c r="F250" s="1">
        <v>7</v>
      </c>
      <c r="G250" s="1" t="s">
        <v>14</v>
      </c>
      <c r="H250" s="1" t="s">
        <v>1148</v>
      </c>
      <c r="I250" s="1"/>
      <c r="J250" s="1">
        <v>49745</v>
      </c>
      <c r="K250" s="1" t="str">
        <f t="shared" si="6"/>
        <v>1:1:49745:1</v>
      </c>
      <c r="L250" s="1">
        <v>49844</v>
      </c>
      <c r="M250" s="3" t="str">
        <f t="shared" si="7"/>
        <v>1:1:49844:1</v>
      </c>
      <c r="N250" s="1">
        <v>1</v>
      </c>
      <c r="O250" s="1" t="s">
        <v>2249</v>
      </c>
      <c r="P250" s="3" t="str" cm="1">
        <f t="array" ref="P250">IFERROR(mindat_longid(O250),"")</f>
        <v/>
      </c>
      <c r="Q250" s="1" t="str">
        <f>IFERROR(VLOOKUP(O250, [1]meteoriteQuery!$D$2:$E$540,2,FALSE),"")</f>
        <v/>
      </c>
      <c r="R250" s="1" t="s">
        <v>1149</v>
      </c>
      <c r="S250" s="1">
        <f>IFERROR(VLOOKUP(C250,[1]meteoriteQuery!$D$2:$F$517,1,FALSE),"")</f>
        <v>49772</v>
      </c>
    </row>
    <row r="251" spans="1:19" x14ac:dyDescent="0.25">
      <c r="A251" s="1">
        <v>228</v>
      </c>
      <c r="B251" s="1" t="s">
        <v>1152</v>
      </c>
      <c r="C251" s="1">
        <v>49773</v>
      </c>
      <c r="D251" s="1" t="s">
        <v>1150</v>
      </c>
      <c r="E251" s="1" t="s">
        <v>1151</v>
      </c>
      <c r="F251" s="1">
        <v>7</v>
      </c>
      <c r="G251" s="1" t="s">
        <v>14</v>
      </c>
      <c r="H251" s="1" t="s">
        <v>1153</v>
      </c>
      <c r="I251" s="1"/>
      <c r="J251" s="1">
        <v>49772</v>
      </c>
      <c r="K251" s="1" t="str">
        <f t="shared" si="6"/>
        <v>1:1:49772:5</v>
      </c>
      <c r="L251" s="1">
        <v>49776</v>
      </c>
      <c r="M251" s="3" t="str">
        <f t="shared" si="7"/>
        <v>1:1:49776:1</v>
      </c>
      <c r="N251" s="1">
        <v>0</v>
      </c>
      <c r="O251" s="1" t="s">
        <v>2249</v>
      </c>
      <c r="P251" s="3" t="str" cm="1">
        <f t="array" ref="P251">IFERROR(mindat_longid(O251),"")</f>
        <v/>
      </c>
      <c r="Q251" s="1" t="str">
        <f>IFERROR(VLOOKUP(O251, [1]meteoriteQuery!$D$2:$E$540,2,FALSE),"")</f>
        <v/>
      </c>
      <c r="R251" s="1" t="s">
        <v>1154</v>
      </c>
      <c r="S251" s="1">
        <f>IFERROR(VLOOKUP(C251,[1]meteoriteQuery!$D$2:$F$517,1,FALSE),"")</f>
        <v>49773</v>
      </c>
    </row>
    <row r="252" spans="1:19" x14ac:dyDescent="0.25">
      <c r="A252" s="1">
        <v>229</v>
      </c>
      <c r="B252" s="1" t="s">
        <v>1157</v>
      </c>
      <c r="C252" s="1">
        <v>49774</v>
      </c>
      <c r="D252" s="1" t="s">
        <v>1155</v>
      </c>
      <c r="E252" s="1" t="s">
        <v>1156</v>
      </c>
      <c r="F252" s="1">
        <v>7</v>
      </c>
      <c r="G252" s="1" t="s">
        <v>14</v>
      </c>
      <c r="H252" s="1" t="s">
        <v>1158</v>
      </c>
      <c r="I252" s="1"/>
      <c r="J252" s="1">
        <v>49772</v>
      </c>
      <c r="K252" s="1" t="str">
        <f t="shared" si="6"/>
        <v>1:1:49772:5</v>
      </c>
      <c r="L252" s="1">
        <v>0</v>
      </c>
      <c r="M252" s="3" t="str">
        <f t="shared" si="7"/>
        <v/>
      </c>
      <c r="N252" s="1">
        <v>0</v>
      </c>
      <c r="O252" s="1" t="s">
        <v>2249</v>
      </c>
      <c r="P252" s="3" t="str" cm="1">
        <f t="array" ref="P252">IFERROR(mindat_longid(O252),"")</f>
        <v/>
      </c>
      <c r="Q252" s="1" t="str">
        <f>IFERROR(VLOOKUP(O252, [1]meteoriteQuery!$D$2:$E$540,2,FALSE),"")</f>
        <v/>
      </c>
      <c r="R252" s="1" t="s">
        <v>1159</v>
      </c>
      <c r="S252" s="1">
        <f>IFERROR(VLOOKUP(C252,[1]meteoriteQuery!$D$2:$F$517,1,FALSE),"")</f>
        <v>49774</v>
      </c>
    </row>
    <row r="253" spans="1:19" x14ac:dyDescent="0.25">
      <c r="A253" s="1">
        <v>230</v>
      </c>
      <c r="B253" s="1" t="s">
        <v>1162</v>
      </c>
      <c r="C253" s="1">
        <v>49776</v>
      </c>
      <c r="D253" s="1" t="s">
        <v>1160</v>
      </c>
      <c r="E253" s="1" t="s">
        <v>1161</v>
      </c>
      <c r="F253" s="1">
        <v>7</v>
      </c>
      <c r="G253" s="1" t="s">
        <v>14</v>
      </c>
      <c r="H253" s="1" t="s">
        <v>1163</v>
      </c>
      <c r="I253" s="1"/>
      <c r="J253" s="1">
        <v>49745</v>
      </c>
      <c r="K253" s="1" t="str">
        <f t="shared" si="6"/>
        <v>1:1:49745:1</v>
      </c>
      <c r="L253" s="1">
        <v>49845</v>
      </c>
      <c r="M253" s="3" t="str">
        <f t="shared" si="7"/>
        <v>1:1:49845:0</v>
      </c>
      <c r="N253" s="1">
        <v>1</v>
      </c>
      <c r="O253" s="1" t="s">
        <v>2249</v>
      </c>
      <c r="P253" s="3" t="str" cm="1">
        <f t="array" ref="P253">IFERROR(mindat_longid(O253),"")</f>
        <v/>
      </c>
      <c r="Q253" s="1" t="str">
        <f>IFERROR(VLOOKUP(O253, [1]meteoriteQuery!$D$2:$E$540,2,FALSE),"")</f>
        <v/>
      </c>
      <c r="R253" s="1" t="s">
        <v>1164</v>
      </c>
      <c r="S253" s="1">
        <f>IFERROR(VLOOKUP(C253,[1]meteoriteQuery!$D$2:$F$517,1,FALSE),"")</f>
        <v>49776</v>
      </c>
    </row>
    <row r="254" spans="1:19" x14ac:dyDescent="0.25">
      <c r="A254" s="1">
        <v>231</v>
      </c>
      <c r="B254" s="1" t="s">
        <v>1167</v>
      </c>
      <c r="C254" s="1">
        <v>49777</v>
      </c>
      <c r="D254" s="1" t="s">
        <v>1165</v>
      </c>
      <c r="E254" s="1" t="s">
        <v>1166</v>
      </c>
      <c r="F254" s="1">
        <v>7</v>
      </c>
      <c r="G254" s="1" t="s">
        <v>14</v>
      </c>
      <c r="H254" s="1" t="s">
        <v>1168</v>
      </c>
      <c r="I254" s="1"/>
      <c r="J254" s="1">
        <v>49745</v>
      </c>
      <c r="K254" s="1" t="str">
        <f t="shared" si="6"/>
        <v>1:1:49745:1</v>
      </c>
      <c r="L254" s="1">
        <v>0</v>
      </c>
      <c r="M254" s="3" t="str">
        <f t="shared" si="7"/>
        <v/>
      </c>
      <c r="N254" s="1">
        <v>0</v>
      </c>
      <c r="O254" s="1" t="s">
        <v>2249</v>
      </c>
      <c r="P254" s="3" t="str" cm="1">
        <f t="array" ref="P254">IFERROR(mindat_longid(O254),"")</f>
        <v/>
      </c>
      <c r="Q254" s="1" t="str">
        <f>IFERROR(VLOOKUP(O254, [1]meteoriteQuery!$D$2:$E$540,2,FALSE),"")</f>
        <v/>
      </c>
      <c r="R254" s="1" t="s">
        <v>1169</v>
      </c>
      <c r="S254" s="1">
        <f>IFERROR(VLOOKUP(C254,[1]meteoriteQuery!$D$2:$F$517,1,FALSE),"")</f>
        <v>49777</v>
      </c>
    </row>
    <row r="255" spans="1:19" x14ac:dyDescent="0.25">
      <c r="A255" s="1">
        <v>232</v>
      </c>
      <c r="B255" s="1" t="s">
        <v>1172</v>
      </c>
      <c r="C255" s="1">
        <v>49778</v>
      </c>
      <c r="D255" s="1" t="s">
        <v>1170</v>
      </c>
      <c r="E255" s="1" t="s">
        <v>1171</v>
      </c>
      <c r="F255" s="1">
        <v>7</v>
      </c>
      <c r="G255" s="1" t="s">
        <v>14</v>
      </c>
      <c r="H255" s="1" t="s">
        <v>1173</v>
      </c>
      <c r="I255" s="1"/>
      <c r="J255" s="1">
        <v>49745</v>
      </c>
      <c r="K255" s="1" t="str">
        <f t="shared" si="6"/>
        <v>1:1:49745:1</v>
      </c>
      <c r="L255" s="1">
        <v>0</v>
      </c>
      <c r="M255" s="3" t="str">
        <f t="shared" si="7"/>
        <v/>
      </c>
      <c r="N255" s="1">
        <v>0</v>
      </c>
      <c r="O255" s="1" t="s">
        <v>2249</v>
      </c>
      <c r="P255" s="3" t="str" cm="1">
        <f t="array" ref="P255">IFERROR(mindat_longid(O255),"")</f>
        <v/>
      </c>
      <c r="Q255" s="1" t="str">
        <f>IFERROR(VLOOKUP(O255, [1]meteoriteQuery!$D$2:$E$540,2,FALSE),"")</f>
        <v/>
      </c>
      <c r="R255" s="1" t="s">
        <v>1174</v>
      </c>
      <c r="S255" s="1">
        <f>IFERROR(VLOOKUP(C255,[1]meteoriteQuery!$D$2:$F$517,1,FALSE),"")</f>
        <v>49778</v>
      </c>
    </row>
    <row r="256" spans="1:19" x14ac:dyDescent="0.25">
      <c r="A256" s="1">
        <v>233</v>
      </c>
      <c r="B256" s="1" t="s">
        <v>1177</v>
      </c>
      <c r="C256" s="1">
        <v>49779</v>
      </c>
      <c r="D256" s="1" t="s">
        <v>1175</v>
      </c>
      <c r="E256" s="1" t="s">
        <v>1176</v>
      </c>
      <c r="F256" s="1">
        <v>7</v>
      </c>
      <c r="G256" s="1" t="s">
        <v>14</v>
      </c>
      <c r="H256" s="1" t="s">
        <v>1178</v>
      </c>
      <c r="I256" s="1"/>
      <c r="J256" s="1">
        <v>49745</v>
      </c>
      <c r="K256" s="1" t="str">
        <f t="shared" si="6"/>
        <v>1:1:49745:1</v>
      </c>
      <c r="L256" s="1">
        <v>0</v>
      </c>
      <c r="M256" s="3" t="str">
        <f t="shared" si="7"/>
        <v/>
      </c>
      <c r="N256" s="1">
        <v>0</v>
      </c>
      <c r="O256" s="1" t="s">
        <v>2249</v>
      </c>
      <c r="P256" s="3" t="str" cm="1">
        <f t="array" ref="P256">IFERROR(mindat_longid(O256),"")</f>
        <v/>
      </c>
      <c r="Q256" s="1" t="str">
        <f>IFERROR(VLOOKUP(O256, [1]meteoriteQuery!$D$2:$E$540,2,FALSE),"")</f>
        <v/>
      </c>
      <c r="R256" s="1" t="s">
        <v>1179</v>
      </c>
      <c r="S256" s="1">
        <f>IFERROR(VLOOKUP(C256,[1]meteoriteQuery!$D$2:$F$517,1,FALSE),"")</f>
        <v>49779</v>
      </c>
    </row>
    <row r="257" spans="1:19" x14ac:dyDescent="0.25">
      <c r="A257" s="1">
        <v>234</v>
      </c>
      <c r="B257" s="1" t="s">
        <v>1182</v>
      </c>
      <c r="C257" s="1">
        <v>49780</v>
      </c>
      <c r="D257" s="1" t="s">
        <v>1180</v>
      </c>
      <c r="E257" s="1" t="s">
        <v>1181</v>
      </c>
      <c r="F257" s="1">
        <v>7</v>
      </c>
      <c r="G257" s="1" t="s">
        <v>14</v>
      </c>
      <c r="H257" s="1" t="s">
        <v>1183</v>
      </c>
      <c r="I257" s="1"/>
      <c r="J257" s="1">
        <v>49745</v>
      </c>
      <c r="K257" s="1" t="str">
        <f t="shared" si="6"/>
        <v>1:1:49745:1</v>
      </c>
      <c r="L257" s="1">
        <v>0</v>
      </c>
      <c r="M257" s="3" t="str">
        <f t="shared" si="7"/>
        <v/>
      </c>
      <c r="N257" s="1">
        <v>0</v>
      </c>
      <c r="O257" s="1" t="s">
        <v>2249</v>
      </c>
      <c r="P257" s="3" t="str" cm="1">
        <f t="array" ref="P257">IFERROR(mindat_longid(O257),"")</f>
        <v/>
      </c>
      <c r="Q257" s="1" t="str">
        <f>IFERROR(VLOOKUP(O257, [1]meteoriteQuery!$D$2:$E$540,2,FALSE),"")</f>
        <v/>
      </c>
      <c r="R257" s="1" t="s">
        <v>1184</v>
      </c>
      <c r="S257" s="1">
        <f>IFERROR(VLOOKUP(C257,[1]meteoriteQuery!$D$2:$F$517,1,FALSE),"")</f>
        <v>49780</v>
      </c>
    </row>
    <row r="258" spans="1:19" x14ac:dyDescent="0.25">
      <c r="A258" s="1">
        <v>235</v>
      </c>
      <c r="B258" s="1" t="s">
        <v>1187</v>
      </c>
      <c r="C258" s="1">
        <v>49781</v>
      </c>
      <c r="D258" s="1" t="s">
        <v>1185</v>
      </c>
      <c r="E258" s="1" t="s">
        <v>1186</v>
      </c>
      <c r="F258" s="1">
        <v>7</v>
      </c>
      <c r="G258" s="1" t="s">
        <v>14</v>
      </c>
      <c r="H258" s="1" t="s">
        <v>1188</v>
      </c>
      <c r="I258" s="1"/>
      <c r="J258" s="1">
        <v>49745</v>
      </c>
      <c r="K258" s="1" t="str">
        <f t="shared" si="6"/>
        <v>1:1:49745:1</v>
      </c>
      <c r="L258" s="1">
        <v>0</v>
      </c>
      <c r="M258" s="3" t="str">
        <f t="shared" si="7"/>
        <v/>
      </c>
      <c r="N258" s="1">
        <v>0</v>
      </c>
      <c r="O258" s="1" t="s">
        <v>2249</v>
      </c>
      <c r="P258" s="3" t="str" cm="1">
        <f t="array" ref="P258">IFERROR(mindat_longid(O258),"")</f>
        <v/>
      </c>
      <c r="Q258" s="1" t="str">
        <f>IFERROR(VLOOKUP(O258, [1]meteoriteQuery!$D$2:$E$540,2,FALSE),"")</f>
        <v/>
      </c>
      <c r="R258" s="1" t="s">
        <v>1189</v>
      </c>
      <c r="S258" s="1">
        <f>IFERROR(VLOOKUP(C258,[1]meteoriteQuery!$D$2:$F$517,1,FALSE),"")</f>
        <v>49781</v>
      </c>
    </row>
    <row r="259" spans="1:19" x14ac:dyDescent="0.25">
      <c r="A259" s="1">
        <v>236</v>
      </c>
      <c r="B259" s="1" t="s">
        <v>1192</v>
      </c>
      <c r="C259" s="1">
        <v>49782</v>
      </c>
      <c r="D259" s="1" t="s">
        <v>1190</v>
      </c>
      <c r="E259" s="1" t="s">
        <v>1191</v>
      </c>
      <c r="F259" s="1">
        <v>7</v>
      </c>
      <c r="G259" s="1" t="s">
        <v>14</v>
      </c>
      <c r="H259" s="1" t="s">
        <v>918</v>
      </c>
      <c r="I259" s="1"/>
      <c r="J259" s="1">
        <v>49745</v>
      </c>
      <c r="K259" s="1" t="str">
        <f t="shared" si="6"/>
        <v>1:1:49745:1</v>
      </c>
      <c r="L259" s="1">
        <v>0</v>
      </c>
      <c r="M259" s="3" t="str">
        <f t="shared" si="7"/>
        <v/>
      </c>
      <c r="N259" s="1">
        <v>0</v>
      </c>
      <c r="O259" s="1" t="s">
        <v>2249</v>
      </c>
      <c r="P259" s="3" t="str" cm="1">
        <f t="array" ref="P259">IFERROR(mindat_longid(O259),"")</f>
        <v/>
      </c>
      <c r="Q259" s="1" t="str">
        <f>IFERROR(VLOOKUP(O259, [1]meteoriteQuery!$D$2:$E$540,2,FALSE),"")</f>
        <v/>
      </c>
      <c r="R259" s="1" t="s">
        <v>1193</v>
      </c>
      <c r="S259" s="1">
        <f>IFERROR(VLOOKUP(C259,[1]meteoriteQuery!$D$2:$F$517,1,FALSE),"")</f>
        <v>49782</v>
      </c>
    </row>
    <row r="260" spans="1:19" x14ac:dyDescent="0.25">
      <c r="A260" s="1">
        <v>237</v>
      </c>
      <c r="B260" s="1" t="s">
        <v>1196</v>
      </c>
      <c r="C260" s="1">
        <v>49783</v>
      </c>
      <c r="D260" s="1" t="s">
        <v>1194</v>
      </c>
      <c r="E260" s="1" t="s">
        <v>1195</v>
      </c>
      <c r="F260" s="1">
        <v>2</v>
      </c>
      <c r="G260" s="1" t="s">
        <v>508</v>
      </c>
      <c r="H260" s="1" t="s">
        <v>1197</v>
      </c>
      <c r="I260" s="1"/>
      <c r="J260" s="1">
        <v>49745</v>
      </c>
      <c r="K260" s="1" t="str">
        <f t="shared" ref="K260:K323" si="8">IFERROR(VLOOKUP(J260,$C$2:$D$502,2,FALSE),"")</f>
        <v>1:1:49745:1</v>
      </c>
      <c r="L260" s="1">
        <v>0</v>
      </c>
      <c r="M260" s="3" t="str">
        <f t="shared" ref="M260:M323" si="9">IFERROR(VLOOKUP(L260,$C$2:$D$502,2,FALSE),"")</f>
        <v/>
      </c>
      <c r="N260" s="1">
        <v>0</v>
      </c>
      <c r="O260" s="1" t="s">
        <v>2249</v>
      </c>
      <c r="P260" s="3" t="str" cm="1">
        <f t="array" ref="P260">IFERROR(mindat_longid(O260),"")</f>
        <v/>
      </c>
      <c r="Q260" s="1" t="str">
        <f>IFERROR(VLOOKUP(O260, [1]meteoriteQuery!$D$2:$E$540,2,FALSE),"")</f>
        <v/>
      </c>
      <c r="R260" s="1" t="s">
        <v>1198</v>
      </c>
      <c r="S260" s="1">
        <f>IFERROR(VLOOKUP(C260,[1]meteoriteQuery!$D$2:$F$517,1,FALSE),"")</f>
        <v>49783</v>
      </c>
    </row>
    <row r="261" spans="1:19" x14ac:dyDescent="0.25">
      <c r="A261" s="1">
        <v>238</v>
      </c>
      <c r="B261" s="1" t="s">
        <v>1201</v>
      </c>
      <c r="C261" s="1">
        <v>49784</v>
      </c>
      <c r="D261" s="1" t="s">
        <v>1199</v>
      </c>
      <c r="E261" s="1" t="s">
        <v>1200</v>
      </c>
      <c r="F261" s="1">
        <v>2</v>
      </c>
      <c r="G261" s="1" t="s">
        <v>508</v>
      </c>
      <c r="H261" s="1" t="s">
        <v>1202</v>
      </c>
      <c r="I261" s="1"/>
      <c r="J261" s="1">
        <v>49745</v>
      </c>
      <c r="K261" s="1" t="str">
        <f t="shared" si="8"/>
        <v>1:1:49745:1</v>
      </c>
      <c r="L261" s="1">
        <v>0</v>
      </c>
      <c r="M261" s="3" t="str">
        <f t="shared" si="9"/>
        <v/>
      </c>
      <c r="N261" s="1">
        <v>0</v>
      </c>
      <c r="O261" s="1" t="s">
        <v>2249</v>
      </c>
      <c r="P261" s="3" t="str" cm="1">
        <f t="array" ref="P261">IFERROR(mindat_longid(O261),"")</f>
        <v/>
      </c>
      <c r="Q261" s="1" t="str">
        <f>IFERROR(VLOOKUP(O261, [1]meteoriteQuery!$D$2:$E$540,2,FALSE),"")</f>
        <v/>
      </c>
      <c r="R261" s="1" t="s">
        <v>1203</v>
      </c>
      <c r="S261" s="1">
        <f>IFERROR(VLOOKUP(C261,[1]meteoriteQuery!$D$2:$F$517,1,FALSE),"")</f>
        <v>49784</v>
      </c>
    </row>
    <row r="262" spans="1:19" x14ac:dyDescent="0.25">
      <c r="A262" s="1">
        <v>239</v>
      </c>
      <c r="B262" s="1" t="s">
        <v>1206</v>
      </c>
      <c r="C262" s="1">
        <v>49785</v>
      </c>
      <c r="D262" s="1" t="s">
        <v>1204</v>
      </c>
      <c r="E262" s="1" t="s">
        <v>1205</v>
      </c>
      <c r="F262" s="1">
        <v>2</v>
      </c>
      <c r="G262" s="1" t="s">
        <v>508</v>
      </c>
      <c r="H262" s="1" t="s">
        <v>1207</v>
      </c>
      <c r="I262" s="1"/>
      <c r="J262" s="1">
        <v>49745</v>
      </c>
      <c r="K262" s="1" t="str">
        <f t="shared" si="8"/>
        <v>1:1:49745:1</v>
      </c>
      <c r="L262" s="1">
        <v>0</v>
      </c>
      <c r="M262" s="3" t="str">
        <f t="shared" si="9"/>
        <v/>
      </c>
      <c r="N262" s="1">
        <v>0</v>
      </c>
      <c r="O262" s="1" t="s">
        <v>2249</v>
      </c>
      <c r="P262" s="3" t="str" cm="1">
        <f t="array" ref="P262">IFERROR(mindat_longid(O262),"")</f>
        <v/>
      </c>
      <c r="Q262" s="1" t="str">
        <f>IFERROR(VLOOKUP(O262, [1]meteoriteQuery!$D$2:$E$540,2,FALSE),"")</f>
        <v/>
      </c>
      <c r="R262" s="1" t="s">
        <v>1208</v>
      </c>
      <c r="S262" s="1">
        <f>IFERROR(VLOOKUP(C262,[1]meteoriteQuery!$D$2:$F$517,1,FALSE),"")</f>
        <v>49785</v>
      </c>
    </row>
    <row r="263" spans="1:19" x14ac:dyDescent="0.25">
      <c r="A263" s="1">
        <v>240</v>
      </c>
      <c r="B263" s="1" t="s">
        <v>1211</v>
      </c>
      <c r="C263" s="1">
        <v>49786</v>
      </c>
      <c r="D263" s="1" t="s">
        <v>1209</v>
      </c>
      <c r="E263" s="1" t="s">
        <v>1210</v>
      </c>
      <c r="F263" s="1">
        <v>2</v>
      </c>
      <c r="G263" s="1" t="s">
        <v>508</v>
      </c>
      <c r="H263" s="1" t="s">
        <v>1212</v>
      </c>
      <c r="I263" s="1"/>
      <c r="J263" s="1">
        <v>49745</v>
      </c>
      <c r="K263" s="1" t="str">
        <f t="shared" si="8"/>
        <v>1:1:49745:1</v>
      </c>
      <c r="L263" s="1">
        <v>0</v>
      </c>
      <c r="M263" s="3" t="str">
        <f t="shared" si="9"/>
        <v/>
      </c>
      <c r="N263" s="1">
        <v>0</v>
      </c>
      <c r="O263" s="1" t="s">
        <v>2249</v>
      </c>
      <c r="P263" s="3" t="str" cm="1">
        <f t="array" ref="P263">IFERROR(mindat_longid(O263),"")</f>
        <v/>
      </c>
      <c r="Q263" s="1" t="str">
        <f>IFERROR(VLOOKUP(O263, [1]meteoriteQuery!$D$2:$E$540,2,FALSE),"")</f>
        <v/>
      </c>
      <c r="R263" s="1" t="s">
        <v>1213</v>
      </c>
      <c r="S263" s="1">
        <f>IFERROR(VLOOKUP(C263,[1]meteoriteQuery!$D$2:$F$517,1,FALSE),"")</f>
        <v>49786</v>
      </c>
    </row>
    <row r="264" spans="1:19" x14ac:dyDescent="0.25">
      <c r="A264" s="1">
        <v>241</v>
      </c>
      <c r="B264" s="1" t="s">
        <v>1216</v>
      </c>
      <c r="C264" s="1">
        <v>49787</v>
      </c>
      <c r="D264" s="1" t="s">
        <v>1214</v>
      </c>
      <c r="E264" s="1" t="s">
        <v>1215</v>
      </c>
      <c r="F264" s="1">
        <v>2</v>
      </c>
      <c r="G264" s="1" t="s">
        <v>508</v>
      </c>
      <c r="H264" s="1" t="s">
        <v>1217</v>
      </c>
      <c r="I264" s="1"/>
      <c r="J264" s="1">
        <v>49745</v>
      </c>
      <c r="K264" s="1" t="str">
        <f t="shared" si="8"/>
        <v>1:1:49745:1</v>
      </c>
      <c r="L264" s="1">
        <v>0</v>
      </c>
      <c r="M264" s="3" t="str">
        <f t="shared" si="9"/>
        <v/>
      </c>
      <c r="N264" s="1">
        <v>0</v>
      </c>
      <c r="O264" s="1" t="s">
        <v>2249</v>
      </c>
      <c r="P264" s="3" t="str" cm="1">
        <f t="array" ref="P264">IFERROR(mindat_longid(O264),"")</f>
        <v/>
      </c>
      <c r="Q264" s="1" t="str">
        <f>IFERROR(VLOOKUP(O264, [1]meteoriteQuery!$D$2:$E$540,2,FALSE),"")</f>
        <v/>
      </c>
      <c r="R264" s="1" t="s">
        <v>1218</v>
      </c>
      <c r="S264" s="1">
        <f>IFERROR(VLOOKUP(C264,[1]meteoriteQuery!$D$2:$F$517,1,FALSE),"")</f>
        <v>49787</v>
      </c>
    </row>
    <row r="265" spans="1:19" x14ac:dyDescent="0.25">
      <c r="A265" s="1">
        <v>242</v>
      </c>
      <c r="B265" s="1" t="s">
        <v>1221</v>
      </c>
      <c r="C265" s="1">
        <v>49788</v>
      </c>
      <c r="D265" s="1" t="s">
        <v>1219</v>
      </c>
      <c r="E265" s="1" t="s">
        <v>1220</v>
      </c>
      <c r="F265" s="1">
        <v>2</v>
      </c>
      <c r="G265" s="1" t="s">
        <v>508</v>
      </c>
      <c r="H265" s="1" t="s">
        <v>1222</v>
      </c>
      <c r="I265" s="1"/>
      <c r="J265" s="1">
        <v>49745</v>
      </c>
      <c r="K265" s="1" t="str">
        <f t="shared" si="8"/>
        <v>1:1:49745:1</v>
      </c>
      <c r="L265" s="1">
        <v>0</v>
      </c>
      <c r="M265" s="3" t="str">
        <f t="shared" si="9"/>
        <v/>
      </c>
      <c r="N265" s="1">
        <v>0</v>
      </c>
      <c r="O265" s="1" t="s">
        <v>2249</v>
      </c>
      <c r="P265" s="3" t="str" cm="1">
        <f t="array" ref="P265">IFERROR(mindat_longid(O265),"")</f>
        <v/>
      </c>
      <c r="Q265" s="1" t="str">
        <f>IFERROR(VLOOKUP(O265, [1]meteoriteQuery!$D$2:$E$540,2,FALSE),"")</f>
        <v/>
      </c>
      <c r="R265" s="1" t="s">
        <v>1223</v>
      </c>
      <c r="S265" s="1">
        <f>IFERROR(VLOOKUP(C265,[1]meteoriteQuery!$D$2:$F$517,1,FALSE),"")</f>
        <v>49788</v>
      </c>
    </row>
    <row r="266" spans="1:19" x14ac:dyDescent="0.25">
      <c r="A266" s="1">
        <v>243</v>
      </c>
      <c r="B266" s="1" t="s">
        <v>1226</v>
      </c>
      <c r="C266" s="1">
        <v>49789</v>
      </c>
      <c r="D266" s="1" t="s">
        <v>1224</v>
      </c>
      <c r="E266" s="1" t="s">
        <v>1225</v>
      </c>
      <c r="F266" s="1">
        <v>2</v>
      </c>
      <c r="G266" s="1" t="s">
        <v>508</v>
      </c>
      <c r="H266" s="1" t="s">
        <v>1227</v>
      </c>
      <c r="I266" s="1"/>
      <c r="J266" s="1">
        <v>49745</v>
      </c>
      <c r="K266" s="1" t="str">
        <f t="shared" si="8"/>
        <v>1:1:49745:1</v>
      </c>
      <c r="L266" s="1">
        <v>0</v>
      </c>
      <c r="M266" s="3" t="str">
        <f t="shared" si="9"/>
        <v/>
      </c>
      <c r="N266" s="1">
        <v>0</v>
      </c>
      <c r="O266" s="1" t="s">
        <v>2249</v>
      </c>
      <c r="P266" s="3" t="str" cm="1">
        <f t="array" ref="P266">IFERROR(mindat_longid(O266),"")</f>
        <v/>
      </c>
      <c r="Q266" s="1" t="str">
        <f>IFERROR(VLOOKUP(O266, [1]meteoriteQuery!$D$2:$E$540,2,FALSE),"")</f>
        <v/>
      </c>
      <c r="R266" s="1" t="s">
        <v>1228</v>
      </c>
      <c r="S266" s="1">
        <f>IFERROR(VLOOKUP(C266,[1]meteoriteQuery!$D$2:$F$517,1,FALSE),"")</f>
        <v>49789</v>
      </c>
    </row>
    <row r="267" spans="1:19" x14ac:dyDescent="0.25">
      <c r="A267" s="1">
        <v>244</v>
      </c>
      <c r="B267" s="1" t="s">
        <v>1231</v>
      </c>
      <c r="C267" s="1">
        <v>49790</v>
      </c>
      <c r="D267" s="1" t="s">
        <v>1229</v>
      </c>
      <c r="E267" s="1" t="s">
        <v>1230</v>
      </c>
      <c r="F267" s="1">
        <v>2</v>
      </c>
      <c r="G267" s="1" t="s">
        <v>508</v>
      </c>
      <c r="H267" s="1" t="s">
        <v>1232</v>
      </c>
      <c r="I267" s="1"/>
      <c r="J267" s="1">
        <v>49745</v>
      </c>
      <c r="K267" s="1" t="str">
        <f t="shared" si="8"/>
        <v>1:1:49745:1</v>
      </c>
      <c r="L267" s="1">
        <v>0</v>
      </c>
      <c r="M267" s="3" t="str">
        <f t="shared" si="9"/>
        <v/>
      </c>
      <c r="N267" s="1">
        <v>0</v>
      </c>
      <c r="O267" s="1" t="s">
        <v>2249</v>
      </c>
      <c r="P267" s="3" t="str" cm="1">
        <f t="array" ref="P267">IFERROR(mindat_longid(O267),"")</f>
        <v/>
      </c>
      <c r="Q267" s="1" t="str">
        <f>IFERROR(VLOOKUP(O267, [1]meteoriteQuery!$D$2:$E$540,2,FALSE),"")</f>
        <v/>
      </c>
      <c r="R267" s="1" t="s">
        <v>1233</v>
      </c>
      <c r="S267" s="1">
        <f>IFERROR(VLOOKUP(C267,[1]meteoriteQuery!$D$2:$F$517,1,FALSE),"")</f>
        <v>49790</v>
      </c>
    </row>
    <row r="268" spans="1:19" x14ac:dyDescent="0.25">
      <c r="A268" s="1">
        <v>245</v>
      </c>
      <c r="B268" s="1" t="s">
        <v>1236</v>
      </c>
      <c r="C268" s="1">
        <v>49791</v>
      </c>
      <c r="D268" s="1" t="s">
        <v>1234</v>
      </c>
      <c r="E268" s="1" t="s">
        <v>1235</v>
      </c>
      <c r="F268" s="1">
        <v>2</v>
      </c>
      <c r="G268" s="1" t="s">
        <v>508</v>
      </c>
      <c r="H268" s="1" t="s">
        <v>1237</v>
      </c>
      <c r="I268" s="1"/>
      <c r="J268" s="1">
        <v>49745</v>
      </c>
      <c r="K268" s="1" t="str">
        <f t="shared" si="8"/>
        <v>1:1:49745:1</v>
      </c>
      <c r="L268" s="1">
        <v>0</v>
      </c>
      <c r="M268" s="3" t="str">
        <f t="shared" si="9"/>
        <v/>
      </c>
      <c r="N268" s="1">
        <v>0</v>
      </c>
      <c r="O268" s="1" t="s">
        <v>2249</v>
      </c>
      <c r="P268" s="3" t="str" cm="1">
        <f t="array" ref="P268">IFERROR(mindat_longid(O268),"")</f>
        <v/>
      </c>
      <c r="Q268" s="1" t="str">
        <f>IFERROR(VLOOKUP(O268, [1]meteoriteQuery!$D$2:$E$540,2,FALSE),"")</f>
        <v/>
      </c>
      <c r="R268" s="1" t="s">
        <v>1238</v>
      </c>
      <c r="S268" s="1">
        <f>IFERROR(VLOOKUP(C268,[1]meteoriteQuery!$D$2:$F$517,1,FALSE),"")</f>
        <v>49791</v>
      </c>
    </row>
    <row r="269" spans="1:19" x14ac:dyDescent="0.25">
      <c r="A269" s="1">
        <v>246</v>
      </c>
      <c r="B269" s="1" t="s">
        <v>1241</v>
      </c>
      <c r="C269" s="1">
        <v>49792</v>
      </c>
      <c r="D269" s="1" t="s">
        <v>1239</v>
      </c>
      <c r="E269" s="1" t="s">
        <v>1240</v>
      </c>
      <c r="F269" s="1">
        <v>2</v>
      </c>
      <c r="G269" s="1" t="s">
        <v>508</v>
      </c>
      <c r="H269" s="1" t="s">
        <v>1242</v>
      </c>
      <c r="I269" s="1"/>
      <c r="J269" s="1">
        <v>49745</v>
      </c>
      <c r="K269" s="1" t="str">
        <f t="shared" si="8"/>
        <v>1:1:49745:1</v>
      </c>
      <c r="L269" s="1">
        <v>0</v>
      </c>
      <c r="M269" s="3" t="str">
        <f t="shared" si="9"/>
        <v/>
      </c>
      <c r="N269" s="1">
        <v>0</v>
      </c>
      <c r="O269" s="1" t="s">
        <v>2249</v>
      </c>
      <c r="P269" s="3" t="str" cm="1">
        <f t="array" ref="P269">IFERROR(mindat_longid(O269),"")</f>
        <v/>
      </c>
      <c r="Q269" s="1" t="str">
        <f>IFERROR(VLOOKUP(O269, [1]meteoriteQuery!$D$2:$E$540,2,FALSE),"")</f>
        <v/>
      </c>
      <c r="R269" s="1" t="s">
        <v>1243</v>
      </c>
      <c r="S269" s="1">
        <f>IFERROR(VLOOKUP(C269,[1]meteoriteQuery!$D$2:$F$517,1,FALSE),"")</f>
        <v>49792</v>
      </c>
    </row>
    <row r="270" spans="1:19" x14ac:dyDescent="0.25">
      <c r="A270" s="1">
        <v>247</v>
      </c>
      <c r="B270" s="1" t="s">
        <v>1246</v>
      </c>
      <c r="C270" s="1">
        <v>49793</v>
      </c>
      <c r="D270" s="1" t="s">
        <v>1244</v>
      </c>
      <c r="E270" s="1" t="s">
        <v>1245</v>
      </c>
      <c r="F270" s="1">
        <v>2</v>
      </c>
      <c r="G270" s="1" t="s">
        <v>508</v>
      </c>
      <c r="H270" s="1" t="s">
        <v>1247</v>
      </c>
      <c r="I270" s="1"/>
      <c r="J270" s="1">
        <v>49745</v>
      </c>
      <c r="K270" s="1" t="str">
        <f t="shared" si="8"/>
        <v>1:1:49745:1</v>
      </c>
      <c r="L270" s="1">
        <v>0</v>
      </c>
      <c r="M270" s="3" t="str">
        <f t="shared" si="9"/>
        <v/>
      </c>
      <c r="N270" s="1">
        <v>0</v>
      </c>
      <c r="O270" s="1" t="s">
        <v>2249</v>
      </c>
      <c r="P270" s="3" t="str" cm="1">
        <f t="array" ref="P270">IFERROR(mindat_longid(O270),"")</f>
        <v/>
      </c>
      <c r="Q270" s="1" t="str">
        <f>IFERROR(VLOOKUP(O270, [1]meteoriteQuery!$D$2:$E$540,2,FALSE),"")</f>
        <v/>
      </c>
      <c r="R270" s="1" t="s">
        <v>1248</v>
      </c>
      <c r="S270" s="1">
        <f>IFERROR(VLOOKUP(C270,[1]meteoriteQuery!$D$2:$F$517,1,FALSE),"")</f>
        <v>49793</v>
      </c>
    </row>
    <row r="271" spans="1:19" x14ac:dyDescent="0.25">
      <c r="A271" s="1">
        <v>248</v>
      </c>
      <c r="B271" s="1" t="s">
        <v>1251</v>
      </c>
      <c r="C271" s="1">
        <v>49794</v>
      </c>
      <c r="D271" s="1" t="s">
        <v>1249</v>
      </c>
      <c r="E271" s="1" t="s">
        <v>1250</v>
      </c>
      <c r="F271" s="1">
        <v>2</v>
      </c>
      <c r="G271" s="1" t="s">
        <v>508</v>
      </c>
      <c r="H271" s="1" t="s">
        <v>1252</v>
      </c>
      <c r="I271" s="1"/>
      <c r="J271" s="1">
        <v>49745</v>
      </c>
      <c r="K271" s="1" t="str">
        <f t="shared" si="8"/>
        <v>1:1:49745:1</v>
      </c>
      <c r="L271" s="1">
        <v>0</v>
      </c>
      <c r="M271" s="3" t="str">
        <f t="shared" si="9"/>
        <v/>
      </c>
      <c r="N271" s="1">
        <v>0</v>
      </c>
      <c r="O271" s="1" t="s">
        <v>2249</v>
      </c>
      <c r="P271" s="3" t="str" cm="1">
        <f t="array" ref="P271">IFERROR(mindat_longid(O271),"")</f>
        <v/>
      </c>
      <c r="Q271" s="1" t="str">
        <f>IFERROR(VLOOKUP(O271, [1]meteoriteQuery!$D$2:$E$540,2,FALSE),"")</f>
        <v/>
      </c>
      <c r="R271" s="1" t="s">
        <v>1253</v>
      </c>
      <c r="S271" s="1">
        <f>IFERROR(VLOOKUP(C271,[1]meteoriteQuery!$D$2:$F$517,1,FALSE),"")</f>
        <v>49794</v>
      </c>
    </row>
    <row r="272" spans="1:19" x14ac:dyDescent="0.25">
      <c r="A272" s="1">
        <v>249</v>
      </c>
      <c r="B272" s="1" t="s">
        <v>1256</v>
      </c>
      <c r="C272" s="1">
        <v>49795</v>
      </c>
      <c r="D272" s="1" t="s">
        <v>1254</v>
      </c>
      <c r="E272" s="1" t="s">
        <v>1255</v>
      </c>
      <c r="F272" s="1">
        <v>2</v>
      </c>
      <c r="G272" s="1" t="s">
        <v>508</v>
      </c>
      <c r="H272" s="1" t="s">
        <v>1257</v>
      </c>
      <c r="I272" s="1"/>
      <c r="J272" s="1">
        <v>49745</v>
      </c>
      <c r="K272" s="1" t="str">
        <f t="shared" si="8"/>
        <v>1:1:49745:1</v>
      </c>
      <c r="L272" s="1">
        <v>0</v>
      </c>
      <c r="M272" s="3" t="str">
        <f t="shared" si="9"/>
        <v/>
      </c>
      <c r="N272" s="1">
        <v>0</v>
      </c>
      <c r="O272" s="1" t="s">
        <v>2249</v>
      </c>
      <c r="P272" s="3" t="str" cm="1">
        <f t="array" ref="P272">IFERROR(mindat_longid(O272),"")</f>
        <v/>
      </c>
      <c r="Q272" s="1" t="str">
        <f>IFERROR(VLOOKUP(O272, [1]meteoriteQuery!$D$2:$E$540,2,FALSE),"")</f>
        <v/>
      </c>
      <c r="R272" s="1" t="s">
        <v>1258</v>
      </c>
      <c r="S272" s="1">
        <f>IFERROR(VLOOKUP(C272,[1]meteoriteQuery!$D$2:$F$517,1,FALSE),"")</f>
        <v>49795</v>
      </c>
    </row>
    <row r="273" spans="1:19" x14ac:dyDescent="0.25">
      <c r="A273" s="1">
        <v>250</v>
      </c>
      <c r="B273" s="1" t="s">
        <v>1261</v>
      </c>
      <c r="C273" s="1">
        <v>49796</v>
      </c>
      <c r="D273" s="1" t="s">
        <v>1259</v>
      </c>
      <c r="E273" s="1" t="s">
        <v>1260</v>
      </c>
      <c r="F273" s="1">
        <v>2</v>
      </c>
      <c r="G273" s="1" t="s">
        <v>508</v>
      </c>
      <c r="H273" s="1" t="s">
        <v>1262</v>
      </c>
      <c r="I273" s="1"/>
      <c r="J273" s="1">
        <v>49745</v>
      </c>
      <c r="K273" s="1" t="str">
        <f t="shared" si="8"/>
        <v>1:1:49745:1</v>
      </c>
      <c r="L273" s="1">
        <v>0</v>
      </c>
      <c r="M273" s="3" t="str">
        <f t="shared" si="9"/>
        <v/>
      </c>
      <c r="N273" s="1">
        <v>0</v>
      </c>
      <c r="O273" s="1" t="s">
        <v>2249</v>
      </c>
      <c r="P273" s="3" t="str" cm="1">
        <f t="array" ref="P273">IFERROR(mindat_longid(O273),"")</f>
        <v/>
      </c>
      <c r="Q273" s="1" t="str">
        <f>IFERROR(VLOOKUP(O273, [1]meteoriteQuery!$D$2:$E$540,2,FALSE),"")</f>
        <v/>
      </c>
      <c r="R273" s="1" t="s">
        <v>1263</v>
      </c>
      <c r="S273" s="1">
        <f>IFERROR(VLOOKUP(C273,[1]meteoriteQuery!$D$2:$F$517,1,FALSE),"")</f>
        <v>49796</v>
      </c>
    </row>
    <row r="274" spans="1:19" x14ac:dyDescent="0.25">
      <c r="A274" s="1">
        <v>251</v>
      </c>
      <c r="B274" s="1" t="s">
        <v>1266</v>
      </c>
      <c r="C274" s="1">
        <v>49797</v>
      </c>
      <c r="D274" s="1" t="s">
        <v>1264</v>
      </c>
      <c r="E274" s="1" t="s">
        <v>1265</v>
      </c>
      <c r="F274" s="1">
        <v>2</v>
      </c>
      <c r="G274" s="1" t="s">
        <v>508</v>
      </c>
      <c r="H274" s="1" t="s">
        <v>1033</v>
      </c>
      <c r="I274" s="1"/>
      <c r="J274" s="1">
        <v>49745</v>
      </c>
      <c r="K274" s="1" t="str">
        <f t="shared" si="8"/>
        <v>1:1:49745:1</v>
      </c>
      <c r="L274" s="1">
        <v>0</v>
      </c>
      <c r="M274" s="3" t="str">
        <f t="shared" si="9"/>
        <v/>
      </c>
      <c r="N274" s="1">
        <v>0</v>
      </c>
      <c r="O274" s="1" t="s">
        <v>2249</v>
      </c>
      <c r="P274" s="3" t="str" cm="1">
        <f t="array" ref="P274">IFERROR(mindat_longid(O274),"")</f>
        <v/>
      </c>
      <c r="Q274" s="1" t="str">
        <f>IFERROR(VLOOKUP(O274, [1]meteoriteQuery!$D$2:$E$540,2,FALSE),"")</f>
        <v/>
      </c>
      <c r="R274" s="1" t="s">
        <v>1267</v>
      </c>
      <c r="S274" s="1">
        <f>IFERROR(VLOOKUP(C274,[1]meteoriteQuery!$D$2:$F$517,1,FALSE),"")</f>
        <v>49797</v>
      </c>
    </row>
    <row r="275" spans="1:19" x14ac:dyDescent="0.25">
      <c r="A275" s="1">
        <v>252</v>
      </c>
      <c r="B275" s="1" t="s">
        <v>1270</v>
      </c>
      <c r="C275" s="1">
        <v>49798</v>
      </c>
      <c r="D275" s="1" t="s">
        <v>1268</v>
      </c>
      <c r="E275" s="1" t="s">
        <v>1269</v>
      </c>
      <c r="F275" s="1">
        <v>2</v>
      </c>
      <c r="G275" s="1" t="s">
        <v>508</v>
      </c>
      <c r="H275" s="1" t="s">
        <v>1271</v>
      </c>
      <c r="I275" s="1"/>
      <c r="J275" s="1">
        <v>49745</v>
      </c>
      <c r="K275" s="1" t="str">
        <f t="shared" si="8"/>
        <v>1:1:49745:1</v>
      </c>
      <c r="L275" s="1">
        <v>0</v>
      </c>
      <c r="M275" s="3" t="str">
        <f t="shared" si="9"/>
        <v/>
      </c>
      <c r="N275" s="1">
        <v>0</v>
      </c>
      <c r="O275" s="1" t="s">
        <v>2249</v>
      </c>
      <c r="P275" s="3" t="str" cm="1">
        <f t="array" ref="P275">IFERROR(mindat_longid(O275),"")</f>
        <v/>
      </c>
      <c r="Q275" s="1" t="str">
        <f>IFERROR(VLOOKUP(O275, [1]meteoriteQuery!$D$2:$E$540,2,FALSE),"")</f>
        <v/>
      </c>
      <c r="R275" s="1" t="s">
        <v>1272</v>
      </c>
      <c r="S275" s="1">
        <f>IFERROR(VLOOKUP(C275,[1]meteoriteQuery!$D$2:$F$517,1,FALSE),"")</f>
        <v>49798</v>
      </c>
    </row>
    <row r="276" spans="1:19" x14ac:dyDescent="0.25">
      <c r="A276" s="1">
        <v>253</v>
      </c>
      <c r="B276" s="1" t="s">
        <v>1275</v>
      </c>
      <c r="C276" s="1">
        <v>49799</v>
      </c>
      <c r="D276" s="1" t="s">
        <v>1273</v>
      </c>
      <c r="E276" s="1" t="s">
        <v>1274</v>
      </c>
      <c r="F276" s="1">
        <v>2</v>
      </c>
      <c r="G276" s="1" t="s">
        <v>508</v>
      </c>
      <c r="H276" s="1" t="s">
        <v>1276</v>
      </c>
      <c r="I276" s="1"/>
      <c r="J276" s="1">
        <v>49745</v>
      </c>
      <c r="K276" s="1" t="str">
        <f t="shared" si="8"/>
        <v>1:1:49745:1</v>
      </c>
      <c r="L276" s="1">
        <v>0</v>
      </c>
      <c r="M276" s="3" t="str">
        <f t="shared" si="9"/>
        <v/>
      </c>
      <c r="N276" s="1">
        <v>0</v>
      </c>
      <c r="O276" s="1" t="s">
        <v>2249</v>
      </c>
      <c r="P276" s="3" t="str" cm="1">
        <f t="array" ref="P276">IFERROR(mindat_longid(O276),"")</f>
        <v/>
      </c>
      <c r="Q276" s="1" t="str">
        <f>IFERROR(VLOOKUP(O276, [1]meteoriteQuery!$D$2:$E$540,2,FALSE),"")</f>
        <v/>
      </c>
      <c r="R276" s="1" t="s">
        <v>1277</v>
      </c>
      <c r="S276" s="1">
        <f>IFERROR(VLOOKUP(C276,[1]meteoriteQuery!$D$2:$F$517,1,FALSE),"")</f>
        <v>49799</v>
      </c>
    </row>
    <row r="277" spans="1:19" x14ac:dyDescent="0.25">
      <c r="A277" s="1">
        <v>244</v>
      </c>
      <c r="B277" s="1" t="s">
        <v>2308</v>
      </c>
      <c r="C277" s="3">
        <v>49800</v>
      </c>
      <c r="D277" s="1" t="s">
        <v>2307</v>
      </c>
      <c r="E277" s="1" t="s">
        <v>2309</v>
      </c>
      <c r="F277" s="1">
        <v>7</v>
      </c>
      <c r="G277" s="1" t="s">
        <v>14</v>
      </c>
      <c r="H277" s="1" t="s">
        <v>2310</v>
      </c>
      <c r="I277" s="1"/>
      <c r="J277" s="3">
        <v>49515</v>
      </c>
      <c r="K277" s="1" t="str">
        <f t="shared" si="8"/>
        <v>1:1:49515:2</v>
      </c>
      <c r="L277" s="1">
        <v>0</v>
      </c>
      <c r="M277" s="3" t="str">
        <f t="shared" si="9"/>
        <v/>
      </c>
      <c r="N277" s="1">
        <v>1</v>
      </c>
      <c r="O277" s="1"/>
      <c r="P277" s="3" t="str" cm="1">
        <f t="array" ref="P277">IFERROR(mindat_longid(O277),"")</f>
        <v/>
      </c>
      <c r="Q277" s="1" t="str">
        <f>IFERROR(VLOOKUP(O277, [1]meteoriteQuery!$D$2:$E$540,2,FALSE),"")</f>
        <v/>
      </c>
      <c r="R277" s="1"/>
    </row>
    <row r="278" spans="1:19" x14ac:dyDescent="0.25">
      <c r="A278" s="1">
        <v>254</v>
      </c>
      <c r="B278" s="1" t="s">
        <v>1280</v>
      </c>
      <c r="C278" s="1">
        <v>49802</v>
      </c>
      <c r="D278" s="1" t="s">
        <v>1278</v>
      </c>
      <c r="E278" s="1" t="s">
        <v>1279</v>
      </c>
      <c r="F278" s="1">
        <v>7</v>
      </c>
      <c r="G278" s="1" t="s">
        <v>14</v>
      </c>
      <c r="H278" s="1" t="s">
        <v>1281</v>
      </c>
      <c r="I278" s="1"/>
      <c r="J278" s="1">
        <v>49800</v>
      </c>
      <c r="K278" s="1" t="str">
        <f t="shared" si="8"/>
        <v>1:1:49800:7</v>
      </c>
      <c r="L278" s="1">
        <v>0</v>
      </c>
      <c r="M278" s="3" t="str">
        <f t="shared" si="9"/>
        <v/>
      </c>
      <c r="N278" s="1">
        <v>0</v>
      </c>
      <c r="O278" s="1" t="s">
        <v>2249</v>
      </c>
      <c r="P278" s="3" t="str" cm="1">
        <f t="array" ref="P278">IFERROR(mindat_longid(O278),"")</f>
        <v/>
      </c>
      <c r="Q278" s="1" t="str">
        <f>IFERROR(VLOOKUP(O278, [1]meteoriteQuery!$D$2:$E$540,2,FALSE),"")</f>
        <v/>
      </c>
      <c r="R278" s="1" t="s">
        <v>1282</v>
      </c>
      <c r="S278" s="1">
        <f>IFERROR(VLOOKUP(C278,[1]meteoriteQuery!$D$2:$F$517,1,FALSE),"")</f>
        <v>49802</v>
      </c>
    </row>
    <row r="279" spans="1:19" x14ac:dyDescent="0.25">
      <c r="A279" s="1">
        <v>255</v>
      </c>
      <c r="B279" s="1" t="s">
        <v>1285</v>
      </c>
      <c r="C279" s="1">
        <v>49803</v>
      </c>
      <c r="D279" s="1" t="s">
        <v>1283</v>
      </c>
      <c r="E279" s="1" t="s">
        <v>1284</v>
      </c>
      <c r="F279" s="1">
        <v>7</v>
      </c>
      <c r="G279" s="1" t="s">
        <v>14</v>
      </c>
      <c r="H279" s="1" t="s">
        <v>1286</v>
      </c>
      <c r="I279" s="1"/>
      <c r="J279" s="1">
        <v>49800</v>
      </c>
      <c r="K279" s="1" t="str">
        <f t="shared" si="8"/>
        <v>1:1:49800:7</v>
      </c>
      <c r="L279" s="1">
        <v>0</v>
      </c>
      <c r="M279" s="3" t="str">
        <f t="shared" si="9"/>
        <v/>
      </c>
      <c r="N279" s="1">
        <v>0</v>
      </c>
      <c r="O279" s="1" t="s">
        <v>2249</v>
      </c>
      <c r="P279" s="3" t="str" cm="1">
        <f t="array" ref="P279">IFERROR(mindat_longid(O279),"")</f>
        <v/>
      </c>
      <c r="Q279" s="1" t="str">
        <f>IFERROR(VLOOKUP(O279, [1]meteoriteQuery!$D$2:$E$540,2,FALSE),"")</f>
        <v/>
      </c>
      <c r="R279" s="1" t="s">
        <v>1287</v>
      </c>
      <c r="S279" s="1">
        <f>IFERROR(VLOOKUP(C279,[1]meteoriteQuery!$D$2:$F$517,1,FALSE),"")</f>
        <v>49803</v>
      </c>
    </row>
    <row r="280" spans="1:19" x14ac:dyDescent="0.25">
      <c r="A280" s="1">
        <v>256</v>
      </c>
      <c r="B280" s="1" t="s">
        <v>1290</v>
      </c>
      <c r="C280" s="1">
        <v>49804</v>
      </c>
      <c r="D280" s="1" t="s">
        <v>1288</v>
      </c>
      <c r="E280" s="1" t="s">
        <v>1289</v>
      </c>
      <c r="F280" s="1">
        <v>7</v>
      </c>
      <c r="G280" s="1" t="s">
        <v>14</v>
      </c>
      <c r="H280" s="1" t="s">
        <v>1291</v>
      </c>
      <c r="I280" s="1"/>
      <c r="J280" s="1">
        <v>49800</v>
      </c>
      <c r="K280" s="1" t="str">
        <f t="shared" si="8"/>
        <v>1:1:49800:7</v>
      </c>
      <c r="L280" s="1">
        <v>49842</v>
      </c>
      <c r="M280" s="3" t="str">
        <f t="shared" si="9"/>
        <v>1:1:49842:3</v>
      </c>
      <c r="N280" s="1">
        <v>1</v>
      </c>
      <c r="O280" s="1" t="s">
        <v>2249</v>
      </c>
      <c r="P280" s="3" t="str" cm="1">
        <f t="array" ref="P280">IFERROR(mindat_longid(O280),"")</f>
        <v/>
      </c>
      <c r="Q280" s="1" t="str">
        <f>IFERROR(VLOOKUP(O280, [1]meteoriteQuery!$D$2:$E$540,2,FALSE),"")</f>
        <v/>
      </c>
      <c r="R280" s="1" t="s">
        <v>1292</v>
      </c>
      <c r="S280" s="1">
        <f>IFERROR(VLOOKUP(C280,[1]meteoriteQuery!$D$2:$F$517,1,FALSE),"")</f>
        <v>49804</v>
      </c>
    </row>
    <row r="281" spans="1:19" x14ac:dyDescent="0.25">
      <c r="A281" s="1">
        <v>257</v>
      </c>
      <c r="B281" s="1" t="s">
        <v>1295</v>
      </c>
      <c r="C281" s="1">
        <v>49805</v>
      </c>
      <c r="D281" s="1" t="s">
        <v>1293</v>
      </c>
      <c r="E281" s="1" t="s">
        <v>1294</v>
      </c>
      <c r="F281" s="1">
        <v>7</v>
      </c>
      <c r="G281" s="1" t="s">
        <v>14</v>
      </c>
      <c r="H281" s="1" t="s">
        <v>1296</v>
      </c>
      <c r="I281" s="1"/>
      <c r="J281" s="1">
        <v>49804</v>
      </c>
      <c r="K281" s="1" t="str">
        <f t="shared" si="8"/>
        <v>1:1:49804:3</v>
      </c>
      <c r="L281" s="1">
        <v>0</v>
      </c>
      <c r="M281" s="3" t="str">
        <f t="shared" si="9"/>
        <v/>
      </c>
      <c r="N281" s="1">
        <v>0</v>
      </c>
      <c r="O281" s="1">
        <v>52390</v>
      </c>
      <c r="P281" s="3" t="str" cm="1">
        <f t="array" ref="P281">IFERROR(mindat_longid(O281),"")</f>
        <v>1:1:52390:5</v>
      </c>
      <c r="Q281" s="1" t="str">
        <f>IFERROR(VLOOKUP(O281, [1]meteoriteQuery!$D$2:$E$540,2,FALSE),"")</f>
        <v>E3-an chondrite meteorite</v>
      </c>
      <c r="R281" s="1" t="s">
        <v>1297</v>
      </c>
      <c r="S281" s="1">
        <f>IFERROR(VLOOKUP(C281,[1]meteoriteQuery!$D$2:$F$517,1,FALSE),"")</f>
        <v>49805</v>
      </c>
    </row>
    <row r="282" spans="1:19" x14ac:dyDescent="0.25">
      <c r="A282" s="1">
        <v>258</v>
      </c>
      <c r="B282" s="1" t="s">
        <v>1300</v>
      </c>
      <c r="C282" s="1">
        <v>49806</v>
      </c>
      <c r="D282" s="1" t="s">
        <v>1298</v>
      </c>
      <c r="E282" s="1" t="s">
        <v>1299</v>
      </c>
      <c r="F282" s="1">
        <v>7</v>
      </c>
      <c r="G282" s="1" t="s">
        <v>14</v>
      </c>
      <c r="H282" s="1" t="s">
        <v>1301</v>
      </c>
      <c r="I282" s="1"/>
      <c r="J282" s="1">
        <v>49800</v>
      </c>
      <c r="K282" s="1" t="str">
        <f t="shared" si="8"/>
        <v>1:1:49800:7</v>
      </c>
      <c r="L282" s="1">
        <v>49843</v>
      </c>
      <c r="M282" s="3" t="str">
        <f t="shared" si="9"/>
        <v>1:1:49843:2</v>
      </c>
      <c r="N282" s="1">
        <v>1</v>
      </c>
      <c r="O282" s="1" t="s">
        <v>2249</v>
      </c>
      <c r="P282" s="3" t="str" cm="1">
        <f t="array" ref="P282">IFERROR(mindat_longid(O282),"")</f>
        <v/>
      </c>
      <c r="Q282" s="1" t="str">
        <f>IFERROR(VLOOKUP(O282, [1]meteoriteQuery!$D$2:$E$540,2,FALSE),"")</f>
        <v/>
      </c>
      <c r="R282" s="1" t="s">
        <v>1302</v>
      </c>
      <c r="S282" s="1">
        <f>IFERROR(VLOOKUP(C282,[1]meteoriteQuery!$D$2:$F$517,1,FALSE),"")</f>
        <v>49806</v>
      </c>
    </row>
    <row r="283" spans="1:19" x14ac:dyDescent="0.25">
      <c r="A283" s="1">
        <v>259</v>
      </c>
      <c r="B283" s="1" t="s">
        <v>1305</v>
      </c>
      <c r="C283" s="1">
        <v>49807</v>
      </c>
      <c r="D283" s="1" t="s">
        <v>1303</v>
      </c>
      <c r="E283" s="1" t="s">
        <v>1304</v>
      </c>
      <c r="F283" s="1">
        <v>7</v>
      </c>
      <c r="G283" s="1" t="s">
        <v>14</v>
      </c>
      <c r="H283" s="1" t="s">
        <v>1306</v>
      </c>
      <c r="I283" s="1"/>
      <c r="J283" s="1">
        <v>49800</v>
      </c>
      <c r="K283" s="1" t="str">
        <f t="shared" si="8"/>
        <v>1:1:49800:7</v>
      </c>
      <c r="L283" s="1">
        <v>49844</v>
      </c>
      <c r="M283" s="3" t="str">
        <f t="shared" si="9"/>
        <v>1:1:49844:1</v>
      </c>
      <c r="N283" s="1">
        <v>1</v>
      </c>
      <c r="O283" s="1" t="s">
        <v>2249</v>
      </c>
      <c r="P283" s="3" t="str" cm="1">
        <f t="array" ref="P283">IFERROR(mindat_longid(O283),"")</f>
        <v/>
      </c>
      <c r="Q283" s="1" t="str">
        <f>IFERROR(VLOOKUP(O283, [1]meteoriteQuery!$D$2:$E$540,2,FALSE),"")</f>
        <v/>
      </c>
      <c r="R283" s="1" t="s">
        <v>1307</v>
      </c>
      <c r="S283" s="1">
        <f>IFERROR(VLOOKUP(C283,[1]meteoriteQuery!$D$2:$F$517,1,FALSE),"")</f>
        <v>49807</v>
      </c>
    </row>
    <row r="284" spans="1:19" x14ac:dyDescent="0.25">
      <c r="A284" s="1">
        <v>260</v>
      </c>
      <c r="B284" s="1" t="s">
        <v>1310</v>
      </c>
      <c r="C284" s="1">
        <v>49808</v>
      </c>
      <c r="D284" s="1" t="s">
        <v>1308</v>
      </c>
      <c r="E284" s="1" t="s">
        <v>1309</v>
      </c>
      <c r="F284" s="1">
        <v>7</v>
      </c>
      <c r="G284" s="1" t="s">
        <v>14</v>
      </c>
      <c r="H284" s="1" t="s">
        <v>1311</v>
      </c>
      <c r="I284" s="1"/>
      <c r="J284" s="1">
        <v>49807</v>
      </c>
      <c r="K284" s="1" t="str">
        <f t="shared" si="8"/>
        <v>1:1:49807:0</v>
      </c>
      <c r="L284" s="1">
        <v>0</v>
      </c>
      <c r="M284" s="3" t="str">
        <f t="shared" si="9"/>
        <v/>
      </c>
      <c r="N284" s="1">
        <v>0</v>
      </c>
      <c r="O284" s="1">
        <v>52391</v>
      </c>
      <c r="P284" s="3" t="str" cm="1">
        <f t="array" ref="P284">IFERROR(mindat_longid(O284),"")</f>
        <v>1:1:52391:4</v>
      </c>
      <c r="Q284" s="1" t="str">
        <f>IFERROR(VLOOKUP(O284, [1]meteoriteQuery!$D$2:$E$540,2,FALSE),"")</f>
        <v>E5-an chondrite meteorite</v>
      </c>
      <c r="R284" s="1" t="s">
        <v>1312</v>
      </c>
      <c r="S284" s="1">
        <f>IFERROR(VLOOKUP(C284,[1]meteoriteQuery!$D$2:$F$517,1,FALSE),"")</f>
        <v>49808</v>
      </c>
    </row>
    <row r="285" spans="1:19" x14ac:dyDescent="0.25">
      <c r="A285" s="1">
        <v>261</v>
      </c>
      <c r="B285" s="1" t="s">
        <v>1315</v>
      </c>
      <c r="C285" s="1">
        <v>49809</v>
      </c>
      <c r="D285" s="1" t="s">
        <v>1313</v>
      </c>
      <c r="E285" s="1" t="s">
        <v>1314</v>
      </c>
      <c r="F285" s="1">
        <v>7</v>
      </c>
      <c r="G285" s="1" t="s">
        <v>14</v>
      </c>
      <c r="H285" s="1" t="s">
        <v>1316</v>
      </c>
      <c r="I285" s="1"/>
      <c r="J285" s="1">
        <v>49800</v>
      </c>
      <c r="K285" s="1" t="str">
        <f t="shared" si="8"/>
        <v>1:1:49800:7</v>
      </c>
      <c r="L285" s="1">
        <v>49845</v>
      </c>
      <c r="M285" s="3" t="str">
        <f t="shared" si="9"/>
        <v>1:1:49845:0</v>
      </c>
      <c r="N285" s="1">
        <v>1</v>
      </c>
      <c r="O285" s="1" t="s">
        <v>2249</v>
      </c>
      <c r="P285" s="3" t="str" cm="1">
        <f t="array" ref="P285">IFERROR(mindat_longid(O285),"")</f>
        <v/>
      </c>
      <c r="Q285" s="1" t="str">
        <f>IFERROR(VLOOKUP(O285, [1]meteoriteQuery!$D$2:$E$540,2,FALSE),"")</f>
        <v/>
      </c>
      <c r="R285" s="1" t="s">
        <v>1317</v>
      </c>
      <c r="S285" s="1">
        <f>IFERROR(VLOOKUP(C285,[1]meteoriteQuery!$D$2:$F$517,1,FALSE),"")</f>
        <v>49809</v>
      </c>
    </row>
    <row r="286" spans="1:19" x14ac:dyDescent="0.25">
      <c r="A286" s="1">
        <v>262</v>
      </c>
      <c r="B286" s="1" t="s">
        <v>1320</v>
      </c>
      <c r="C286" s="1">
        <v>49810</v>
      </c>
      <c r="D286" s="1" t="s">
        <v>1318</v>
      </c>
      <c r="E286" s="1" t="s">
        <v>1319</v>
      </c>
      <c r="F286" s="1">
        <v>7</v>
      </c>
      <c r="G286" s="1" t="s">
        <v>14</v>
      </c>
      <c r="H286" s="1" t="s">
        <v>1321</v>
      </c>
      <c r="I286" s="1"/>
      <c r="J286" s="1">
        <v>49800</v>
      </c>
      <c r="K286" s="1" t="str">
        <f t="shared" si="8"/>
        <v>1:1:49800:7</v>
      </c>
      <c r="L286" s="1">
        <v>0</v>
      </c>
      <c r="M286" s="3" t="str">
        <f t="shared" si="9"/>
        <v/>
      </c>
      <c r="N286" s="1">
        <v>1</v>
      </c>
      <c r="O286" s="1" t="s">
        <v>2249</v>
      </c>
      <c r="P286" s="3" t="str" cm="1">
        <f t="array" ref="P286">IFERROR(mindat_longid(O286),"")</f>
        <v/>
      </c>
      <c r="Q286" s="1" t="str">
        <f>IFERROR(VLOOKUP(O286, [1]meteoriteQuery!$D$2:$E$540,2,FALSE),"")</f>
        <v/>
      </c>
      <c r="R286" s="1" t="s">
        <v>1322</v>
      </c>
      <c r="S286" s="1">
        <f>IFERROR(VLOOKUP(C286,[1]meteoriteQuery!$D$2:$F$517,1,FALSE),"")</f>
        <v>49810</v>
      </c>
    </row>
    <row r="287" spans="1:19" x14ac:dyDescent="0.25">
      <c r="A287" s="1">
        <v>263</v>
      </c>
      <c r="B287" s="1" t="s">
        <v>1325</v>
      </c>
      <c r="C287" s="1">
        <v>49811</v>
      </c>
      <c r="D287" s="1" t="s">
        <v>1323</v>
      </c>
      <c r="E287" s="1" t="s">
        <v>1324</v>
      </c>
      <c r="F287" s="1">
        <v>7</v>
      </c>
      <c r="G287" s="1" t="s">
        <v>14</v>
      </c>
      <c r="H287" s="1" t="s">
        <v>1326</v>
      </c>
      <c r="I287" s="1"/>
      <c r="J287" s="1">
        <v>49810</v>
      </c>
      <c r="K287" s="1" t="str">
        <f t="shared" si="8"/>
        <v>1:1:49810:4</v>
      </c>
      <c r="L287" s="1">
        <v>49842</v>
      </c>
      <c r="M287" s="3" t="str">
        <f t="shared" si="9"/>
        <v>1:1:49842:3</v>
      </c>
      <c r="N287" s="1">
        <v>1</v>
      </c>
      <c r="O287" s="1" t="s">
        <v>2249</v>
      </c>
      <c r="P287" s="3" t="str" cm="1">
        <f t="array" ref="P287">IFERROR(mindat_longid(O287),"")</f>
        <v/>
      </c>
      <c r="Q287" s="1" t="str">
        <f>IFERROR(VLOOKUP(O287, [1]meteoriteQuery!$D$2:$E$540,2,FALSE),"")</f>
        <v/>
      </c>
      <c r="R287" s="1" t="s">
        <v>1327</v>
      </c>
      <c r="S287" s="1">
        <f>IFERROR(VLOOKUP(C287,[1]meteoriteQuery!$D$2:$F$517,1,FALSE),"")</f>
        <v>49811</v>
      </c>
    </row>
    <row r="288" spans="1:19" x14ac:dyDescent="0.25">
      <c r="A288" s="1">
        <v>264</v>
      </c>
      <c r="B288" s="1" t="s">
        <v>1330</v>
      </c>
      <c r="C288" s="1">
        <v>49812</v>
      </c>
      <c r="D288" s="1" t="s">
        <v>1328</v>
      </c>
      <c r="E288" s="1" t="s">
        <v>1329</v>
      </c>
      <c r="F288" s="1">
        <v>7</v>
      </c>
      <c r="G288" s="1" t="s">
        <v>14</v>
      </c>
      <c r="H288" s="1" t="s">
        <v>1331</v>
      </c>
      <c r="I288" s="1"/>
      <c r="J288" s="1">
        <v>49811</v>
      </c>
      <c r="K288" s="1" t="str">
        <f t="shared" si="8"/>
        <v>1:1:49811:3</v>
      </c>
      <c r="L288" s="1">
        <v>49813</v>
      </c>
      <c r="M288" s="3" t="str">
        <f t="shared" si="9"/>
        <v>1:1:49813:1</v>
      </c>
      <c r="N288" s="1">
        <v>0</v>
      </c>
      <c r="O288" s="1" t="s">
        <v>2249</v>
      </c>
      <c r="P288" s="3" t="str" cm="1">
        <f t="array" ref="P288">IFERROR(mindat_longid(O288),"")</f>
        <v/>
      </c>
      <c r="Q288" s="1" t="str">
        <f>IFERROR(VLOOKUP(O288, [1]meteoriteQuery!$D$2:$E$540,2,FALSE),"")</f>
        <v/>
      </c>
      <c r="R288" s="1" t="s">
        <v>1332</v>
      </c>
      <c r="S288" s="1">
        <f>IFERROR(VLOOKUP(C288,[1]meteoriteQuery!$D$2:$F$517,1,FALSE),"")</f>
        <v>49812</v>
      </c>
    </row>
    <row r="289" spans="1:19" x14ac:dyDescent="0.25">
      <c r="A289" s="1">
        <v>265</v>
      </c>
      <c r="B289" s="1" t="s">
        <v>1335</v>
      </c>
      <c r="C289" s="1">
        <v>49813</v>
      </c>
      <c r="D289" s="1" t="s">
        <v>1333</v>
      </c>
      <c r="E289" s="2" t="s">
        <v>1334</v>
      </c>
      <c r="F289" s="1">
        <v>7</v>
      </c>
      <c r="G289" s="1" t="s">
        <v>14</v>
      </c>
      <c r="H289" s="1" t="s">
        <v>1336</v>
      </c>
      <c r="I289" s="1"/>
      <c r="J289" s="1">
        <v>49810</v>
      </c>
      <c r="K289" s="1" t="str">
        <f t="shared" si="8"/>
        <v>1:1:49810:4</v>
      </c>
      <c r="L289" s="1">
        <v>49843</v>
      </c>
      <c r="M289" s="3" t="str">
        <f t="shared" si="9"/>
        <v>1:1:49843:2</v>
      </c>
      <c r="N289" s="1">
        <v>1</v>
      </c>
      <c r="O289" s="1" t="s">
        <v>2249</v>
      </c>
      <c r="P289" s="3" t="str" cm="1">
        <f t="array" ref="P289">IFERROR(mindat_longid(O289),"")</f>
        <v/>
      </c>
      <c r="Q289" s="1" t="str">
        <f>IFERROR(VLOOKUP(O289, [1]meteoriteQuery!$D$2:$E$540,2,FALSE),"")</f>
        <v/>
      </c>
      <c r="R289" s="1" t="s">
        <v>1337</v>
      </c>
      <c r="S289" s="1">
        <f>IFERROR(VLOOKUP(C289,[1]meteoriteQuery!$D$2:$F$517,1,FALSE),"")</f>
        <v>49813</v>
      </c>
    </row>
    <row r="290" spans="1:19" x14ac:dyDescent="0.25">
      <c r="A290" s="1">
        <v>266</v>
      </c>
      <c r="B290" s="1" t="s">
        <v>1340</v>
      </c>
      <c r="C290" s="1">
        <v>49814</v>
      </c>
      <c r="D290" s="1" t="s">
        <v>1338</v>
      </c>
      <c r="E290" s="1" t="s">
        <v>1339</v>
      </c>
      <c r="F290" s="1">
        <v>7</v>
      </c>
      <c r="G290" s="1" t="s">
        <v>14</v>
      </c>
      <c r="H290" s="1" t="s">
        <v>1341</v>
      </c>
      <c r="I290" s="1"/>
      <c r="J290" s="1">
        <v>49810</v>
      </c>
      <c r="K290" s="1" t="str">
        <f t="shared" si="8"/>
        <v>1:1:49810:4</v>
      </c>
      <c r="L290" s="1">
        <v>49844</v>
      </c>
      <c r="M290" s="3" t="str">
        <f t="shared" si="9"/>
        <v>1:1:49844:1</v>
      </c>
      <c r="N290" s="1">
        <v>1</v>
      </c>
      <c r="O290" s="1" t="s">
        <v>2249</v>
      </c>
      <c r="P290" s="3" t="str" cm="1">
        <f t="array" ref="P290">IFERROR(mindat_longid(O290),"")</f>
        <v/>
      </c>
      <c r="Q290" s="1" t="str">
        <f>IFERROR(VLOOKUP(O290, [1]meteoriteQuery!$D$2:$E$540,2,FALSE),"")</f>
        <v/>
      </c>
      <c r="R290" s="1" t="s">
        <v>1342</v>
      </c>
      <c r="S290" s="1">
        <f>IFERROR(VLOOKUP(C290,[1]meteoriteQuery!$D$2:$F$517,1,FALSE),"")</f>
        <v>49814</v>
      </c>
    </row>
    <row r="291" spans="1:19" x14ac:dyDescent="0.25">
      <c r="A291" s="1">
        <v>267</v>
      </c>
      <c r="B291" s="1" t="s">
        <v>1345</v>
      </c>
      <c r="C291" s="1">
        <v>49815</v>
      </c>
      <c r="D291" s="1" t="s">
        <v>1343</v>
      </c>
      <c r="E291" s="1" t="s">
        <v>1344</v>
      </c>
      <c r="F291" s="1">
        <v>7</v>
      </c>
      <c r="G291" s="1" t="s">
        <v>14</v>
      </c>
      <c r="H291" s="1" t="s">
        <v>1346</v>
      </c>
      <c r="I291" s="1"/>
      <c r="J291" s="1">
        <v>49810</v>
      </c>
      <c r="K291" s="1" t="str">
        <f t="shared" si="8"/>
        <v>1:1:49810:4</v>
      </c>
      <c r="L291" s="1">
        <v>49845</v>
      </c>
      <c r="M291" s="3" t="str">
        <f t="shared" si="9"/>
        <v>1:1:49845:0</v>
      </c>
      <c r="N291" s="1">
        <v>1</v>
      </c>
      <c r="O291" s="1" t="s">
        <v>2249</v>
      </c>
      <c r="P291" s="3" t="str" cm="1">
        <f t="array" ref="P291">IFERROR(mindat_longid(O291),"")</f>
        <v/>
      </c>
      <c r="Q291" s="1" t="str">
        <f>IFERROR(VLOOKUP(O291, [1]meteoriteQuery!$D$2:$E$540,2,FALSE),"")</f>
        <v/>
      </c>
      <c r="R291" s="1" t="s">
        <v>1347</v>
      </c>
      <c r="S291" s="1">
        <f>IFERROR(VLOOKUP(C291,[1]meteoriteQuery!$D$2:$F$517,1,FALSE),"")</f>
        <v>49815</v>
      </c>
    </row>
    <row r="292" spans="1:19" x14ac:dyDescent="0.25">
      <c r="A292" s="1">
        <v>268</v>
      </c>
      <c r="B292" s="1" t="s">
        <v>1350</v>
      </c>
      <c r="C292" s="1">
        <v>49816</v>
      </c>
      <c r="D292" s="1" t="s">
        <v>1348</v>
      </c>
      <c r="E292" s="1" t="s">
        <v>1349</v>
      </c>
      <c r="F292" s="1">
        <v>7</v>
      </c>
      <c r="G292" s="1" t="s">
        <v>14</v>
      </c>
      <c r="H292" s="1" t="s">
        <v>1351</v>
      </c>
      <c r="I292" s="1"/>
      <c r="J292" s="1">
        <v>49815</v>
      </c>
      <c r="K292" s="1" t="str">
        <f t="shared" si="8"/>
        <v>1:1:49815:9</v>
      </c>
      <c r="L292" s="1">
        <v>0</v>
      </c>
      <c r="M292" s="3" t="str">
        <f t="shared" si="9"/>
        <v/>
      </c>
      <c r="N292" s="1">
        <v>0</v>
      </c>
      <c r="O292" s="1" t="s">
        <v>2249</v>
      </c>
      <c r="P292" s="3" t="str" cm="1">
        <f t="array" ref="P292">IFERROR(mindat_longid(O292),"")</f>
        <v/>
      </c>
      <c r="Q292" s="1" t="str">
        <f>IFERROR(VLOOKUP(O292, [1]meteoriteQuery!$D$2:$E$540,2,FALSE),"")</f>
        <v/>
      </c>
      <c r="R292" s="1" t="s">
        <v>1352</v>
      </c>
      <c r="S292" s="1">
        <f>IFERROR(VLOOKUP(C292,[1]meteoriteQuery!$D$2:$F$517,1,FALSE),"")</f>
        <v>49816</v>
      </c>
    </row>
    <row r="293" spans="1:19" x14ac:dyDescent="0.25">
      <c r="A293" s="1">
        <v>269</v>
      </c>
      <c r="B293" s="1" t="s">
        <v>1355</v>
      </c>
      <c r="C293" s="1">
        <v>49817</v>
      </c>
      <c r="D293" s="1" t="s">
        <v>1353</v>
      </c>
      <c r="E293" s="1" t="s">
        <v>1354</v>
      </c>
      <c r="F293" s="1">
        <v>7</v>
      </c>
      <c r="G293" s="1" t="s">
        <v>14</v>
      </c>
      <c r="H293" s="1" t="s">
        <v>1356</v>
      </c>
      <c r="I293" s="1"/>
      <c r="J293" s="1">
        <v>49810</v>
      </c>
      <c r="K293" s="1" t="str">
        <f t="shared" si="8"/>
        <v>1:1:49810:4</v>
      </c>
      <c r="L293" s="1">
        <v>0</v>
      </c>
      <c r="M293" s="3" t="str">
        <f t="shared" si="9"/>
        <v/>
      </c>
      <c r="N293" s="1">
        <v>0</v>
      </c>
      <c r="O293" s="1" t="s">
        <v>2249</v>
      </c>
      <c r="P293" s="3" t="str" cm="1">
        <f t="array" ref="P293">IFERROR(mindat_longid(O293),"")</f>
        <v/>
      </c>
      <c r="Q293" s="1" t="str">
        <f>IFERROR(VLOOKUP(O293, [1]meteoriteQuery!$D$2:$E$540,2,FALSE),"")</f>
        <v/>
      </c>
      <c r="R293" s="1" t="s">
        <v>1357</v>
      </c>
      <c r="S293" s="1">
        <f>IFERROR(VLOOKUP(C293,[1]meteoriteQuery!$D$2:$F$517,1,FALSE),"")</f>
        <v>49817</v>
      </c>
    </row>
    <row r="294" spans="1:19" x14ac:dyDescent="0.25">
      <c r="A294" s="1">
        <v>270</v>
      </c>
      <c r="B294" s="1" t="s">
        <v>1360</v>
      </c>
      <c r="C294" s="1">
        <v>49818</v>
      </c>
      <c r="D294" s="1" t="s">
        <v>1358</v>
      </c>
      <c r="E294" s="1" t="s">
        <v>1359</v>
      </c>
      <c r="F294" s="1">
        <v>7</v>
      </c>
      <c r="G294" s="1" t="s">
        <v>14</v>
      </c>
      <c r="H294" s="1" t="s">
        <v>1361</v>
      </c>
      <c r="I294" s="1"/>
      <c r="J294" s="1">
        <v>49810</v>
      </c>
      <c r="K294" s="1" t="str">
        <f t="shared" si="8"/>
        <v>1:1:49810:4</v>
      </c>
      <c r="L294" s="1">
        <v>0</v>
      </c>
      <c r="M294" s="3" t="str">
        <f t="shared" si="9"/>
        <v/>
      </c>
      <c r="N294" s="1">
        <v>0</v>
      </c>
      <c r="O294" s="1" t="s">
        <v>2249</v>
      </c>
      <c r="P294" s="3" t="str" cm="1">
        <f t="array" ref="P294">IFERROR(mindat_longid(O294),"")</f>
        <v/>
      </c>
      <c r="Q294" s="1" t="str">
        <f>IFERROR(VLOOKUP(O294, [1]meteoriteQuery!$D$2:$E$540,2,FALSE),"")</f>
        <v/>
      </c>
      <c r="R294" s="1" t="s">
        <v>1362</v>
      </c>
      <c r="S294" s="1">
        <f>IFERROR(VLOOKUP(C294,[1]meteoriteQuery!$D$2:$F$517,1,FALSE),"")</f>
        <v>49818</v>
      </c>
    </row>
    <row r="295" spans="1:19" x14ac:dyDescent="0.25">
      <c r="A295" s="1">
        <v>271</v>
      </c>
      <c r="B295" s="1" t="s">
        <v>1365</v>
      </c>
      <c r="C295" s="1">
        <v>49819</v>
      </c>
      <c r="D295" s="1" t="s">
        <v>1363</v>
      </c>
      <c r="E295" s="1" t="s">
        <v>1364</v>
      </c>
      <c r="F295" s="1">
        <v>7</v>
      </c>
      <c r="G295" s="1" t="s">
        <v>14</v>
      </c>
      <c r="H295" s="1" t="s">
        <v>1366</v>
      </c>
      <c r="I295" s="1"/>
      <c r="J295" s="1">
        <v>49810</v>
      </c>
      <c r="K295" s="1" t="str">
        <f t="shared" si="8"/>
        <v>1:1:49810:4</v>
      </c>
      <c r="L295" s="1">
        <v>49846</v>
      </c>
      <c r="M295" s="3" t="str">
        <f t="shared" si="9"/>
        <v>1:1:49846:9</v>
      </c>
      <c r="N295" s="1">
        <v>0</v>
      </c>
      <c r="O295" s="1" t="s">
        <v>2249</v>
      </c>
      <c r="P295" s="3" t="str" cm="1">
        <f t="array" ref="P295">IFERROR(mindat_longid(O295),"")</f>
        <v/>
      </c>
      <c r="Q295" s="1" t="str">
        <f>IFERROR(VLOOKUP(O295, [1]meteoriteQuery!$D$2:$E$540,2,FALSE),"")</f>
        <v/>
      </c>
      <c r="R295" s="1" t="s">
        <v>1367</v>
      </c>
      <c r="S295" s="1">
        <f>IFERROR(VLOOKUP(C295,[1]meteoriteQuery!$D$2:$F$517,1,FALSE),"")</f>
        <v>49819</v>
      </c>
    </row>
    <row r="296" spans="1:19" x14ac:dyDescent="0.25">
      <c r="A296" s="1">
        <v>54</v>
      </c>
      <c r="B296" s="1" t="s">
        <v>2303</v>
      </c>
      <c r="C296" s="3">
        <v>49820</v>
      </c>
      <c r="D296" s="1" t="s">
        <v>2304</v>
      </c>
      <c r="E296" s="1" t="s">
        <v>2305</v>
      </c>
      <c r="F296" s="1">
        <v>7</v>
      </c>
      <c r="G296" s="1" t="s">
        <v>14</v>
      </c>
      <c r="H296" s="1" t="s">
        <v>2306</v>
      </c>
      <c r="I296" s="1"/>
      <c r="J296" s="3">
        <v>49800</v>
      </c>
      <c r="K296" s="1" t="str">
        <f t="shared" si="8"/>
        <v>1:1:49800:7</v>
      </c>
      <c r="L296" s="1">
        <v>0</v>
      </c>
      <c r="M296" s="3" t="str">
        <f t="shared" si="9"/>
        <v/>
      </c>
      <c r="N296" s="1">
        <v>1</v>
      </c>
      <c r="O296" s="1"/>
      <c r="P296" s="3" t="str" cm="1">
        <f t="array" ref="P296">IFERROR(mindat_longid(O296),"")</f>
        <v/>
      </c>
      <c r="Q296" s="1" t="str">
        <f>IFERROR(VLOOKUP(O296, [1]meteoriteQuery!$D$2:$E$540,2,FALSE),"")</f>
        <v/>
      </c>
      <c r="R296" s="1"/>
    </row>
    <row r="297" spans="1:19" x14ac:dyDescent="0.25">
      <c r="A297" s="1">
        <v>272</v>
      </c>
      <c r="B297" s="1" t="s">
        <v>1370</v>
      </c>
      <c r="C297" s="1">
        <v>49821</v>
      </c>
      <c r="D297" s="1" t="s">
        <v>1368</v>
      </c>
      <c r="E297" s="1" t="s">
        <v>1369</v>
      </c>
      <c r="F297" s="1">
        <v>7</v>
      </c>
      <c r="G297" s="1" t="s">
        <v>14</v>
      </c>
      <c r="H297" s="1" t="s">
        <v>1371</v>
      </c>
      <c r="I297" s="1"/>
      <c r="J297" s="1">
        <v>49820</v>
      </c>
      <c r="K297" s="1" t="str">
        <f t="shared" si="8"/>
        <v>1:1:49820:1</v>
      </c>
      <c r="L297" s="1">
        <v>0</v>
      </c>
      <c r="M297" s="3" t="str">
        <f t="shared" si="9"/>
        <v/>
      </c>
      <c r="N297" s="1">
        <v>0</v>
      </c>
      <c r="O297" s="1" t="s">
        <v>2249</v>
      </c>
      <c r="P297" s="3" t="str" cm="1">
        <f t="array" ref="P297">IFERROR(mindat_longid(O297),"")</f>
        <v/>
      </c>
      <c r="Q297" s="1" t="str">
        <f>IFERROR(VLOOKUP(O297, [1]meteoriteQuery!$D$2:$E$540,2,FALSE),"")</f>
        <v/>
      </c>
      <c r="R297" s="1" t="s">
        <v>1372</v>
      </c>
      <c r="S297" s="1">
        <f>IFERROR(VLOOKUP(C297,[1]meteoriteQuery!$D$2:$F$517,1,FALSE),"")</f>
        <v>49821</v>
      </c>
    </row>
    <row r="298" spans="1:19" x14ac:dyDescent="0.25">
      <c r="A298" s="1">
        <v>273</v>
      </c>
      <c r="B298" s="1" t="s">
        <v>1375</v>
      </c>
      <c r="C298" s="1">
        <v>49822</v>
      </c>
      <c r="D298" s="1" t="s">
        <v>1373</v>
      </c>
      <c r="E298" s="1" t="s">
        <v>1374</v>
      </c>
      <c r="F298" s="1">
        <v>7</v>
      </c>
      <c r="G298" s="1" t="s">
        <v>14</v>
      </c>
      <c r="H298" s="1" t="s">
        <v>1376</v>
      </c>
      <c r="I298" s="1"/>
      <c r="J298" s="1">
        <v>49820</v>
      </c>
      <c r="K298" s="1" t="str">
        <f t="shared" si="8"/>
        <v>1:1:49820:1</v>
      </c>
      <c r="L298" s="1">
        <v>49842</v>
      </c>
      <c r="M298" s="3" t="str">
        <f t="shared" si="9"/>
        <v>1:1:49842:3</v>
      </c>
      <c r="N298" s="1">
        <v>1</v>
      </c>
      <c r="O298" s="1" t="s">
        <v>2249</v>
      </c>
      <c r="P298" s="3" t="str" cm="1">
        <f t="array" ref="P298">IFERROR(mindat_longid(O298),"")</f>
        <v/>
      </c>
      <c r="Q298" s="1" t="str">
        <f>IFERROR(VLOOKUP(O298, [1]meteoriteQuery!$D$2:$E$540,2,FALSE),"")</f>
        <v/>
      </c>
      <c r="R298" s="1" t="s">
        <v>1377</v>
      </c>
      <c r="S298" s="1">
        <f>IFERROR(VLOOKUP(C298,[1]meteoriteQuery!$D$2:$F$517,1,FALSE),"")</f>
        <v>49822</v>
      </c>
    </row>
    <row r="299" spans="1:19" x14ac:dyDescent="0.25">
      <c r="A299" s="1">
        <v>274</v>
      </c>
      <c r="B299" s="1" t="s">
        <v>1380</v>
      </c>
      <c r="C299" s="1">
        <v>49823</v>
      </c>
      <c r="D299" s="1" t="s">
        <v>1378</v>
      </c>
      <c r="E299" s="1" t="s">
        <v>1379</v>
      </c>
      <c r="F299" s="1">
        <v>7</v>
      </c>
      <c r="G299" s="1" t="s">
        <v>14</v>
      </c>
      <c r="H299" s="1" t="s">
        <v>1381</v>
      </c>
      <c r="I299" s="1"/>
      <c r="J299" s="1">
        <v>49820</v>
      </c>
      <c r="K299" s="1" t="str">
        <f t="shared" si="8"/>
        <v>1:1:49820:1</v>
      </c>
      <c r="L299" s="1">
        <v>49843</v>
      </c>
      <c r="M299" s="3" t="str">
        <f t="shared" si="9"/>
        <v>1:1:49843:2</v>
      </c>
      <c r="N299" s="1">
        <v>1</v>
      </c>
      <c r="O299" s="1" t="s">
        <v>2249</v>
      </c>
      <c r="P299" s="3" t="str" cm="1">
        <f t="array" ref="P299">IFERROR(mindat_longid(O299),"")</f>
        <v/>
      </c>
      <c r="Q299" s="1" t="str">
        <f>IFERROR(VLOOKUP(O299, [1]meteoriteQuery!$D$2:$E$540,2,FALSE),"")</f>
        <v/>
      </c>
      <c r="R299" s="1" t="s">
        <v>1382</v>
      </c>
      <c r="S299" s="1">
        <f>IFERROR(VLOOKUP(C299,[1]meteoriteQuery!$D$2:$F$517,1,FALSE),"")</f>
        <v>49823</v>
      </c>
    </row>
    <row r="300" spans="1:19" x14ac:dyDescent="0.25">
      <c r="A300" s="1">
        <v>275</v>
      </c>
      <c r="B300" s="1" t="s">
        <v>1385</v>
      </c>
      <c r="C300" s="1">
        <v>49824</v>
      </c>
      <c r="D300" s="1" t="s">
        <v>1383</v>
      </c>
      <c r="E300" s="1" t="s">
        <v>1384</v>
      </c>
      <c r="F300" s="1">
        <v>7</v>
      </c>
      <c r="G300" s="1" t="s">
        <v>14</v>
      </c>
      <c r="H300" s="1" t="s">
        <v>1386</v>
      </c>
      <c r="I300" s="1"/>
      <c r="J300" s="1">
        <v>49820</v>
      </c>
      <c r="K300" s="1" t="str">
        <f t="shared" si="8"/>
        <v>1:1:49820:1</v>
      </c>
      <c r="L300" s="1">
        <v>49844</v>
      </c>
      <c r="M300" s="3" t="str">
        <f t="shared" si="9"/>
        <v>1:1:49844:1</v>
      </c>
      <c r="N300" s="1">
        <v>1</v>
      </c>
      <c r="O300" s="1" t="s">
        <v>2249</v>
      </c>
      <c r="P300" s="3" t="str" cm="1">
        <f t="array" ref="P300">IFERROR(mindat_longid(O300),"")</f>
        <v/>
      </c>
      <c r="Q300" s="1" t="str">
        <f>IFERROR(VLOOKUP(O300, [1]meteoriteQuery!$D$2:$E$540,2,FALSE),"")</f>
        <v/>
      </c>
      <c r="R300" s="1" t="s">
        <v>1387</v>
      </c>
      <c r="S300" s="1">
        <f>IFERROR(VLOOKUP(C300,[1]meteoriteQuery!$D$2:$F$517,1,FALSE),"")</f>
        <v>49824</v>
      </c>
    </row>
    <row r="301" spans="1:19" x14ac:dyDescent="0.25">
      <c r="A301" s="1">
        <v>276</v>
      </c>
      <c r="B301" s="1" t="s">
        <v>1390</v>
      </c>
      <c r="C301" s="1">
        <v>49825</v>
      </c>
      <c r="D301" s="1" t="s">
        <v>1388</v>
      </c>
      <c r="E301" s="1" t="s">
        <v>1389</v>
      </c>
      <c r="F301" s="1">
        <v>7</v>
      </c>
      <c r="G301" s="1" t="s">
        <v>14</v>
      </c>
      <c r="H301" s="1" t="s">
        <v>1391</v>
      </c>
      <c r="I301" s="1"/>
      <c r="J301" s="1">
        <v>49824</v>
      </c>
      <c r="K301" s="1" t="str">
        <f t="shared" si="8"/>
        <v>1:1:49824:7</v>
      </c>
      <c r="L301" s="1">
        <v>0</v>
      </c>
      <c r="M301" s="3" t="str">
        <f t="shared" si="9"/>
        <v/>
      </c>
      <c r="N301" s="1">
        <v>0</v>
      </c>
      <c r="O301" s="1" t="s">
        <v>2249</v>
      </c>
      <c r="P301" s="3" t="str" cm="1">
        <f t="array" ref="P301">IFERROR(mindat_longid(O301),"")</f>
        <v/>
      </c>
      <c r="Q301" s="1" t="str">
        <f>IFERROR(VLOOKUP(O301, [1]meteoriteQuery!$D$2:$E$540,2,FALSE),"")</f>
        <v/>
      </c>
      <c r="R301" s="1" t="s">
        <v>1392</v>
      </c>
      <c r="S301" s="1">
        <f>IFERROR(VLOOKUP(C301,[1]meteoriteQuery!$D$2:$F$517,1,FALSE),"")</f>
        <v>49825</v>
      </c>
    </row>
    <row r="302" spans="1:19" x14ac:dyDescent="0.25">
      <c r="A302" s="1">
        <v>277</v>
      </c>
      <c r="B302" s="1" t="s">
        <v>1395</v>
      </c>
      <c r="C302" s="1">
        <v>49826</v>
      </c>
      <c r="D302" s="1" t="s">
        <v>1393</v>
      </c>
      <c r="E302" s="1" t="s">
        <v>1394</v>
      </c>
      <c r="F302" s="1">
        <v>7</v>
      </c>
      <c r="G302" s="1" t="s">
        <v>14</v>
      </c>
      <c r="H302" s="1" t="s">
        <v>1396</v>
      </c>
      <c r="I302" s="1"/>
      <c r="J302" s="1">
        <v>49820</v>
      </c>
      <c r="K302" s="1" t="str">
        <f t="shared" si="8"/>
        <v>1:1:49820:1</v>
      </c>
      <c r="L302" s="1">
        <v>49845</v>
      </c>
      <c r="M302" s="3" t="str">
        <f t="shared" si="9"/>
        <v>1:1:49845:0</v>
      </c>
      <c r="N302" s="1">
        <v>1</v>
      </c>
      <c r="O302" s="1" t="s">
        <v>2249</v>
      </c>
      <c r="P302" s="3" t="str" cm="1">
        <f t="array" ref="P302">IFERROR(mindat_longid(O302),"")</f>
        <v/>
      </c>
      <c r="Q302" s="1" t="str">
        <f>IFERROR(VLOOKUP(O302, [1]meteoriteQuery!$D$2:$E$540,2,FALSE),"")</f>
        <v/>
      </c>
      <c r="R302" s="1" t="s">
        <v>1397</v>
      </c>
      <c r="S302" s="1">
        <f>IFERROR(VLOOKUP(C302,[1]meteoriteQuery!$D$2:$F$517,1,FALSE),"")</f>
        <v>49826</v>
      </c>
    </row>
    <row r="303" spans="1:19" x14ac:dyDescent="0.25">
      <c r="A303" s="1">
        <v>278</v>
      </c>
      <c r="B303" s="1" t="s">
        <v>1400</v>
      </c>
      <c r="C303" s="1">
        <v>49827</v>
      </c>
      <c r="D303" s="1" t="s">
        <v>1398</v>
      </c>
      <c r="E303" s="1" t="s">
        <v>1399</v>
      </c>
      <c r="F303" s="1">
        <v>7</v>
      </c>
      <c r="G303" s="1" t="s">
        <v>14</v>
      </c>
      <c r="H303" s="1" t="s">
        <v>1401</v>
      </c>
      <c r="I303" s="1"/>
      <c r="J303" s="1">
        <v>49826</v>
      </c>
      <c r="K303" s="1" t="str">
        <f t="shared" si="8"/>
        <v>1:1:49826:5</v>
      </c>
      <c r="L303" s="1">
        <v>49828</v>
      </c>
      <c r="M303" s="3" t="str">
        <f t="shared" si="9"/>
        <v>1:1:49828:3</v>
      </c>
      <c r="N303" s="1">
        <v>0</v>
      </c>
      <c r="O303" s="1" t="s">
        <v>2249</v>
      </c>
      <c r="P303" s="3" t="str" cm="1">
        <f t="array" ref="P303">IFERROR(mindat_longid(O303),"")</f>
        <v/>
      </c>
      <c r="Q303" s="1" t="str">
        <f>IFERROR(VLOOKUP(O303, [1]meteoriteQuery!$D$2:$E$540,2,FALSE),"")</f>
        <v/>
      </c>
      <c r="R303" s="1" t="s">
        <v>1402</v>
      </c>
      <c r="S303" s="1">
        <f>IFERROR(VLOOKUP(C303,[1]meteoriteQuery!$D$2:$F$517,1,FALSE),"")</f>
        <v>49827</v>
      </c>
    </row>
    <row r="304" spans="1:19" x14ac:dyDescent="0.25">
      <c r="A304" s="1">
        <v>279</v>
      </c>
      <c r="B304" s="1" t="s">
        <v>1405</v>
      </c>
      <c r="C304" s="1">
        <v>49828</v>
      </c>
      <c r="D304" s="1" t="s">
        <v>1403</v>
      </c>
      <c r="E304" s="1" t="s">
        <v>1404</v>
      </c>
      <c r="F304" s="1">
        <v>7</v>
      </c>
      <c r="G304" s="1" t="s">
        <v>14</v>
      </c>
      <c r="H304" s="1" t="s">
        <v>1406</v>
      </c>
      <c r="I304" s="1"/>
      <c r="J304" s="1">
        <v>49820</v>
      </c>
      <c r="K304" s="1" t="str">
        <f t="shared" si="8"/>
        <v>1:1:49820:1</v>
      </c>
      <c r="L304" s="1">
        <v>49846</v>
      </c>
      <c r="M304" s="3" t="str">
        <f t="shared" si="9"/>
        <v>1:1:49846:9</v>
      </c>
      <c r="N304" s="1">
        <v>0</v>
      </c>
      <c r="O304" s="1" t="s">
        <v>2249</v>
      </c>
      <c r="P304" s="3" t="str" cm="1">
        <f t="array" ref="P304">IFERROR(mindat_longid(O304),"")</f>
        <v/>
      </c>
      <c r="Q304" s="1" t="str">
        <f>IFERROR(VLOOKUP(O304, [1]meteoriteQuery!$D$2:$E$540,2,FALSE),"")</f>
        <v/>
      </c>
      <c r="R304" s="1" t="s">
        <v>1407</v>
      </c>
      <c r="S304" s="1">
        <f>IFERROR(VLOOKUP(C304,[1]meteoriteQuery!$D$2:$F$517,1,FALSE),"")</f>
        <v>49828</v>
      </c>
    </row>
    <row r="305" spans="1:19" x14ac:dyDescent="0.25">
      <c r="A305" s="1">
        <v>280</v>
      </c>
      <c r="B305" s="1" t="s">
        <v>1410</v>
      </c>
      <c r="C305" s="1">
        <v>49829</v>
      </c>
      <c r="D305" s="1" t="s">
        <v>1408</v>
      </c>
      <c r="E305" s="1" t="s">
        <v>1409</v>
      </c>
      <c r="F305" s="1">
        <v>7</v>
      </c>
      <c r="G305" s="1" t="s">
        <v>14</v>
      </c>
      <c r="H305" s="1" t="s">
        <v>1411</v>
      </c>
      <c r="I305" s="1"/>
      <c r="J305" s="1">
        <v>49515</v>
      </c>
      <c r="K305" s="1" t="str">
        <f t="shared" si="8"/>
        <v>1:1:49515:2</v>
      </c>
      <c r="L305" s="1">
        <v>0</v>
      </c>
      <c r="M305" s="3" t="str">
        <f t="shared" si="9"/>
        <v/>
      </c>
      <c r="N305" s="1">
        <v>1</v>
      </c>
      <c r="O305" s="1">
        <v>49830</v>
      </c>
      <c r="P305" s="3" t="str" cm="1">
        <f t="array" ref="P305">IFERROR(mindat_longid(O305),"")</f>
        <v>1:1:49830:8</v>
      </c>
      <c r="Q305" s="1" t="str">
        <f>IFERROR(VLOOKUP(O305, [1]meteoriteQuery!$D$2:$E$540,2,FALSE),"")</f>
        <v>Kakangari chondrite meteorite</v>
      </c>
      <c r="R305" s="1" t="s">
        <v>1412</v>
      </c>
      <c r="S305" s="1">
        <f>IFERROR(VLOOKUP(C305,[1]meteoriteQuery!$D$2:$F$517,1,FALSE),"")</f>
        <v>49829</v>
      </c>
    </row>
    <row r="306" spans="1:19" x14ac:dyDescent="0.25">
      <c r="A306" s="1">
        <v>281</v>
      </c>
      <c r="B306" s="1" t="s">
        <v>1415</v>
      </c>
      <c r="C306" s="1">
        <v>49831</v>
      </c>
      <c r="D306" s="1" t="s">
        <v>1413</v>
      </c>
      <c r="E306" s="1" t="s">
        <v>1414</v>
      </c>
      <c r="F306" s="1">
        <v>7</v>
      </c>
      <c r="G306" s="1" t="s">
        <v>14</v>
      </c>
      <c r="H306" s="1" t="s">
        <v>1416</v>
      </c>
      <c r="I306" s="1"/>
      <c r="J306" s="1">
        <v>49829</v>
      </c>
      <c r="K306" s="1" t="str">
        <f t="shared" si="8"/>
        <v>1:1:49829:2</v>
      </c>
      <c r="L306" s="1">
        <v>49842</v>
      </c>
      <c r="M306" s="3" t="str">
        <f t="shared" si="9"/>
        <v>1:1:49842:3</v>
      </c>
      <c r="N306" s="1">
        <v>1</v>
      </c>
      <c r="O306" s="1" t="s">
        <v>2249</v>
      </c>
      <c r="P306" s="3" t="str" cm="1">
        <f t="array" ref="P306">IFERROR(mindat_longid(O306),"")</f>
        <v/>
      </c>
      <c r="Q306" s="1" t="str">
        <f>IFERROR(VLOOKUP(O306, [1]meteoriteQuery!$D$2:$E$540,2,FALSE),"")</f>
        <v/>
      </c>
      <c r="R306" s="1" t="s">
        <v>1417</v>
      </c>
      <c r="S306" s="1">
        <f>IFERROR(VLOOKUP(C306,[1]meteoriteQuery!$D$2:$F$517,1,FALSE),"")</f>
        <v>49831</v>
      </c>
    </row>
    <row r="307" spans="1:19" x14ac:dyDescent="0.25">
      <c r="A307" s="1">
        <v>282</v>
      </c>
      <c r="B307" s="1" t="s">
        <v>1420</v>
      </c>
      <c r="C307" s="1">
        <v>49832</v>
      </c>
      <c r="D307" s="1" t="s">
        <v>1418</v>
      </c>
      <c r="E307" s="1" t="s">
        <v>1419</v>
      </c>
      <c r="F307" s="1">
        <v>7</v>
      </c>
      <c r="G307" s="1" t="s">
        <v>14</v>
      </c>
      <c r="H307" s="1" t="s">
        <v>1421</v>
      </c>
      <c r="I307" s="1"/>
      <c r="J307" s="1">
        <v>49829</v>
      </c>
      <c r="K307" s="1" t="str">
        <f t="shared" si="8"/>
        <v>1:1:49829:2</v>
      </c>
      <c r="L307" s="1">
        <v>49843</v>
      </c>
      <c r="M307" s="3" t="str">
        <f t="shared" si="9"/>
        <v>1:1:49843:2</v>
      </c>
      <c r="N307" s="1">
        <v>1</v>
      </c>
      <c r="O307" s="1" t="s">
        <v>2249</v>
      </c>
      <c r="P307" s="3" t="str" cm="1">
        <f t="array" ref="P307">IFERROR(mindat_longid(O307),"")</f>
        <v/>
      </c>
      <c r="Q307" s="1" t="str">
        <f>IFERROR(VLOOKUP(O307, [1]meteoriteQuery!$D$2:$E$540,2,FALSE),"")</f>
        <v/>
      </c>
      <c r="R307" s="1" t="s">
        <v>1422</v>
      </c>
      <c r="S307" s="1">
        <f>IFERROR(VLOOKUP(C307,[1]meteoriteQuery!$D$2:$F$517,1,FALSE),"")</f>
        <v>49832</v>
      </c>
    </row>
    <row r="308" spans="1:19" x14ac:dyDescent="0.25">
      <c r="A308" s="1">
        <v>283</v>
      </c>
      <c r="B308" s="1" t="s">
        <v>1425</v>
      </c>
      <c r="C308" s="1">
        <v>49833</v>
      </c>
      <c r="D308" s="1" t="s">
        <v>1423</v>
      </c>
      <c r="E308" s="1" t="s">
        <v>1424</v>
      </c>
      <c r="F308" s="1">
        <v>7</v>
      </c>
      <c r="G308" s="1" t="s">
        <v>14</v>
      </c>
      <c r="H308" s="1" t="s">
        <v>1426</v>
      </c>
      <c r="I308" s="1"/>
      <c r="J308" s="1">
        <v>49515</v>
      </c>
      <c r="K308" s="1" t="str">
        <f t="shared" si="8"/>
        <v>1:1:49515:2</v>
      </c>
      <c r="L308" s="1">
        <v>0</v>
      </c>
      <c r="M308" s="3" t="str">
        <f t="shared" si="9"/>
        <v/>
      </c>
      <c r="N308" s="1">
        <v>1</v>
      </c>
      <c r="O308" s="1">
        <v>49834</v>
      </c>
      <c r="P308" s="3" t="str" cm="1">
        <f t="array" ref="P308">IFERROR(mindat_longid(O308),"")</f>
        <v>1:1:49834:4</v>
      </c>
      <c r="Q308" s="1" t="str">
        <f>IFERROR(VLOOKUP(O308, [1]meteoriteQuery!$D$2:$E$540,2,FALSE),"")</f>
        <v>Rumuruti chondrite meteorite</v>
      </c>
      <c r="R308" s="1" t="s">
        <v>1427</v>
      </c>
      <c r="S308" s="1">
        <f>IFERROR(VLOOKUP(C308,[1]meteoriteQuery!$D$2:$F$517,1,FALSE),"")</f>
        <v>49833</v>
      </c>
    </row>
    <row r="309" spans="1:19" x14ac:dyDescent="0.25">
      <c r="A309" s="1">
        <v>284</v>
      </c>
      <c r="B309" s="1" t="s">
        <v>1430</v>
      </c>
      <c r="C309" s="1">
        <v>49835</v>
      </c>
      <c r="D309" s="1" t="s">
        <v>1428</v>
      </c>
      <c r="E309" s="1" t="s">
        <v>1429</v>
      </c>
      <c r="F309" s="1">
        <v>7</v>
      </c>
      <c r="G309" s="1" t="s">
        <v>14</v>
      </c>
      <c r="H309" s="1" t="s">
        <v>1431</v>
      </c>
      <c r="I309" s="1"/>
      <c r="J309" s="1">
        <v>49833</v>
      </c>
      <c r="K309" s="1" t="str">
        <f t="shared" si="8"/>
        <v>1:1:49833:5</v>
      </c>
      <c r="L309" s="1">
        <v>49842</v>
      </c>
      <c r="M309" s="3" t="str">
        <f t="shared" si="9"/>
        <v>1:1:49842:3</v>
      </c>
      <c r="N309" s="1">
        <v>1</v>
      </c>
      <c r="O309" s="1" t="s">
        <v>2249</v>
      </c>
      <c r="P309" s="3" t="str" cm="1">
        <f t="array" ref="P309">IFERROR(mindat_longid(O309),"")</f>
        <v/>
      </c>
      <c r="Q309" s="1" t="str">
        <f>IFERROR(VLOOKUP(O309, [1]meteoriteQuery!$D$2:$E$540,2,FALSE),"")</f>
        <v/>
      </c>
      <c r="R309" s="1" t="s">
        <v>1432</v>
      </c>
      <c r="S309" s="1">
        <f>IFERROR(VLOOKUP(C309,[1]meteoriteQuery!$D$2:$F$517,1,FALSE),"")</f>
        <v>49835</v>
      </c>
    </row>
    <row r="310" spans="1:19" x14ac:dyDescent="0.25">
      <c r="A310" s="1">
        <v>285</v>
      </c>
      <c r="B310" s="1" t="s">
        <v>1435</v>
      </c>
      <c r="C310" s="1">
        <v>49836</v>
      </c>
      <c r="D310" s="1" t="s">
        <v>1433</v>
      </c>
      <c r="E310" s="1" t="s">
        <v>1434</v>
      </c>
      <c r="F310" s="1">
        <v>7</v>
      </c>
      <c r="G310" s="1" t="s">
        <v>14</v>
      </c>
      <c r="H310" s="1" t="s">
        <v>1436</v>
      </c>
      <c r="I310" s="1"/>
      <c r="J310" s="1">
        <v>49833</v>
      </c>
      <c r="K310" s="1" t="str">
        <f t="shared" si="8"/>
        <v>1:1:49833:5</v>
      </c>
      <c r="L310" s="1">
        <v>49843</v>
      </c>
      <c r="M310" s="3" t="str">
        <f t="shared" si="9"/>
        <v>1:1:49843:2</v>
      </c>
      <c r="N310" s="1">
        <v>1</v>
      </c>
      <c r="O310" s="1" t="s">
        <v>2249</v>
      </c>
      <c r="P310" s="3" t="str" cm="1">
        <f t="array" ref="P310">IFERROR(mindat_longid(O310),"")</f>
        <v/>
      </c>
      <c r="Q310" s="1" t="str">
        <f>IFERROR(VLOOKUP(O310, [1]meteoriteQuery!$D$2:$E$540,2,FALSE),"")</f>
        <v/>
      </c>
      <c r="R310" s="1" t="s">
        <v>1437</v>
      </c>
      <c r="S310" s="1">
        <f>IFERROR(VLOOKUP(C310,[1]meteoriteQuery!$D$2:$F$517,1,FALSE),"")</f>
        <v>49836</v>
      </c>
    </row>
    <row r="311" spans="1:19" x14ac:dyDescent="0.25">
      <c r="A311" s="1">
        <v>286</v>
      </c>
      <c r="B311" s="1" t="s">
        <v>1440</v>
      </c>
      <c r="C311" s="1">
        <v>49837</v>
      </c>
      <c r="D311" s="1" t="s">
        <v>1438</v>
      </c>
      <c r="E311" s="1" t="s">
        <v>1439</v>
      </c>
      <c r="F311" s="1">
        <v>7</v>
      </c>
      <c r="G311" s="1" t="s">
        <v>14</v>
      </c>
      <c r="H311" s="1" t="s">
        <v>1441</v>
      </c>
      <c r="I311" s="1"/>
      <c r="J311" s="1">
        <v>49833</v>
      </c>
      <c r="K311" s="1" t="str">
        <f t="shared" si="8"/>
        <v>1:1:49833:5</v>
      </c>
      <c r="L311" s="1">
        <v>49844</v>
      </c>
      <c r="M311" s="3" t="str">
        <f t="shared" si="9"/>
        <v>1:1:49844:1</v>
      </c>
      <c r="N311" s="1">
        <v>1</v>
      </c>
      <c r="O311" s="1" t="s">
        <v>2249</v>
      </c>
      <c r="P311" s="3" t="str" cm="1">
        <f t="array" ref="P311">IFERROR(mindat_longid(O311),"")</f>
        <v/>
      </c>
      <c r="Q311" s="1" t="str">
        <f>IFERROR(VLOOKUP(O311, [1]meteoriteQuery!$D$2:$E$540,2,FALSE),"")</f>
        <v/>
      </c>
      <c r="R311" s="1" t="s">
        <v>1442</v>
      </c>
      <c r="S311" s="1">
        <f>IFERROR(VLOOKUP(C311,[1]meteoriteQuery!$D$2:$F$517,1,FALSE),"")</f>
        <v>49837</v>
      </c>
    </row>
    <row r="312" spans="1:19" x14ac:dyDescent="0.25">
      <c r="A312" s="1">
        <v>287</v>
      </c>
      <c r="B312" s="1" t="s">
        <v>1445</v>
      </c>
      <c r="C312" s="1">
        <v>49838</v>
      </c>
      <c r="D312" s="1" t="s">
        <v>1443</v>
      </c>
      <c r="E312" s="1" t="s">
        <v>1444</v>
      </c>
      <c r="F312" s="1">
        <v>7</v>
      </c>
      <c r="G312" s="1" t="s">
        <v>14</v>
      </c>
      <c r="H312" s="1" t="s">
        <v>1446</v>
      </c>
      <c r="I312" s="1"/>
      <c r="J312" s="1">
        <v>49833</v>
      </c>
      <c r="K312" s="1" t="str">
        <f t="shared" si="8"/>
        <v>1:1:49833:5</v>
      </c>
      <c r="L312" s="1">
        <v>49845</v>
      </c>
      <c r="M312" s="3" t="str">
        <f t="shared" si="9"/>
        <v>1:1:49845:0</v>
      </c>
      <c r="N312" s="1">
        <v>1</v>
      </c>
      <c r="O312" s="1" t="s">
        <v>2249</v>
      </c>
      <c r="P312" s="3" t="str" cm="1">
        <f t="array" ref="P312">IFERROR(mindat_longid(O312),"")</f>
        <v/>
      </c>
      <c r="Q312" s="1" t="str">
        <f>IFERROR(VLOOKUP(O312, [1]meteoriteQuery!$D$2:$E$540,2,FALSE),"")</f>
        <v/>
      </c>
      <c r="R312" s="1" t="s">
        <v>1447</v>
      </c>
      <c r="S312" s="1">
        <f>IFERROR(VLOOKUP(C312,[1]meteoriteQuery!$D$2:$F$517,1,FALSE),"")</f>
        <v>49838</v>
      </c>
    </row>
    <row r="313" spans="1:19" x14ac:dyDescent="0.25">
      <c r="A313" s="1">
        <v>220</v>
      </c>
      <c r="B313" s="1" t="s">
        <v>2287</v>
      </c>
      <c r="C313" s="3">
        <v>49839</v>
      </c>
      <c r="D313" s="1" t="s">
        <v>2288</v>
      </c>
      <c r="E313" s="1" t="s">
        <v>2289</v>
      </c>
      <c r="F313" s="1">
        <v>7</v>
      </c>
      <c r="G313" s="1" t="s">
        <v>14</v>
      </c>
      <c r="H313" s="1" t="s">
        <v>2290</v>
      </c>
      <c r="I313" s="1"/>
      <c r="J313" s="3">
        <v>49515</v>
      </c>
      <c r="K313" s="1" t="str">
        <f t="shared" si="8"/>
        <v>1:1:49515:2</v>
      </c>
      <c r="L313" s="1">
        <v>0</v>
      </c>
      <c r="M313" s="3" t="str">
        <f t="shared" si="9"/>
        <v/>
      </c>
      <c r="N313" s="1">
        <v>1</v>
      </c>
      <c r="O313" s="1"/>
      <c r="P313" s="3" t="str" cm="1">
        <f t="array" ref="P313">IFERROR(mindat_longid(O313),"")</f>
        <v/>
      </c>
      <c r="Q313" s="1" t="str">
        <f>IFERROR(VLOOKUP(O313, [1]meteoriteQuery!$D$2:$E$540,2,FALSE),"")</f>
        <v/>
      </c>
      <c r="R313" s="1"/>
    </row>
    <row r="314" spans="1:19" x14ac:dyDescent="0.25">
      <c r="A314" s="1">
        <v>211</v>
      </c>
      <c r="B314" s="1" t="s">
        <v>2392</v>
      </c>
      <c r="C314" s="3">
        <v>49840</v>
      </c>
      <c r="D314" s="1" t="s">
        <v>2273</v>
      </c>
      <c r="E314" s="1" t="s">
        <v>2393</v>
      </c>
      <c r="F314" s="1">
        <v>7</v>
      </c>
      <c r="G314" s="1" t="s">
        <v>14</v>
      </c>
      <c r="H314" s="1" t="s">
        <v>2394</v>
      </c>
      <c r="I314" s="1"/>
      <c r="J314" s="3">
        <v>49839</v>
      </c>
      <c r="K314" s="1" t="str">
        <f t="shared" si="8"/>
        <v>1:1:49839:9</v>
      </c>
      <c r="L314" s="1">
        <v>0</v>
      </c>
      <c r="M314" s="3" t="str">
        <f t="shared" si="9"/>
        <v/>
      </c>
      <c r="N314" s="1">
        <v>1</v>
      </c>
      <c r="O314" s="1"/>
      <c r="P314" s="3" t="str" cm="1">
        <f t="array" ref="P314">IFERROR(mindat_longid(O314),"")</f>
        <v/>
      </c>
      <c r="Q314" s="1" t="str">
        <f>IFERROR(VLOOKUP(O314, [1]meteoriteQuery!$D$2:$E$540,2,FALSE),"")</f>
        <v/>
      </c>
      <c r="R314" s="1"/>
    </row>
    <row r="315" spans="1:19" x14ac:dyDescent="0.25">
      <c r="A315" s="1">
        <v>235</v>
      </c>
      <c r="B315" s="1" t="s">
        <v>2395</v>
      </c>
      <c r="C315" s="3">
        <v>49841</v>
      </c>
      <c r="D315" s="1" t="s">
        <v>2396</v>
      </c>
      <c r="E315" s="1" t="s">
        <v>2397</v>
      </c>
      <c r="F315" s="1">
        <v>7</v>
      </c>
      <c r="G315" s="1" t="s">
        <v>14</v>
      </c>
      <c r="H315" s="1" t="s">
        <v>2398</v>
      </c>
      <c r="I315" s="1"/>
      <c r="J315" s="3">
        <v>49839</v>
      </c>
      <c r="K315" s="1" t="str">
        <f t="shared" si="8"/>
        <v>1:1:49839:9</v>
      </c>
      <c r="L315" s="1">
        <v>0</v>
      </c>
      <c r="M315" s="3" t="str">
        <f t="shared" si="9"/>
        <v/>
      </c>
      <c r="N315" s="1">
        <v>1</v>
      </c>
      <c r="O315" s="1"/>
      <c r="P315" s="3" t="str" cm="1">
        <f t="array" ref="P315">IFERROR(mindat_longid(O315),"")</f>
        <v/>
      </c>
      <c r="Q315" s="1" t="str">
        <f>IFERROR(VLOOKUP(O315, [1]meteoriteQuery!$D$2:$E$540,2,FALSE),"")</f>
        <v/>
      </c>
      <c r="R315" s="1"/>
    </row>
    <row r="316" spans="1:19" x14ac:dyDescent="0.25">
      <c r="A316" s="1">
        <v>9</v>
      </c>
      <c r="B316" s="1" t="s">
        <v>2399</v>
      </c>
      <c r="C316" s="3">
        <v>49842</v>
      </c>
      <c r="D316" s="1" t="s">
        <v>2400</v>
      </c>
      <c r="E316" s="1" t="s">
        <v>2401</v>
      </c>
      <c r="F316" s="1">
        <v>7</v>
      </c>
      <c r="G316" s="1" t="s">
        <v>14</v>
      </c>
      <c r="H316" s="1" t="s">
        <v>2402</v>
      </c>
      <c r="I316" s="1"/>
      <c r="J316" s="3">
        <v>49839</v>
      </c>
      <c r="K316" s="1" t="str">
        <f t="shared" si="8"/>
        <v>1:1:49839:9</v>
      </c>
      <c r="L316" s="1">
        <v>0</v>
      </c>
      <c r="M316" s="3" t="str">
        <f t="shared" si="9"/>
        <v/>
      </c>
      <c r="N316" s="1">
        <v>1</v>
      </c>
      <c r="O316" s="1"/>
      <c r="P316" s="3" t="str" cm="1">
        <f t="array" ref="P316">IFERROR(mindat_longid(O316),"")</f>
        <v/>
      </c>
      <c r="Q316" s="1" t="str">
        <f>IFERROR(VLOOKUP(O316, [1]meteoriteQuery!$D$2:$E$540,2,FALSE),"")</f>
        <v/>
      </c>
      <c r="R316" s="1"/>
    </row>
    <row r="317" spans="1:19" x14ac:dyDescent="0.25">
      <c r="A317" s="1">
        <v>34</v>
      </c>
      <c r="B317" s="1" t="s">
        <v>2403</v>
      </c>
      <c r="C317" s="3">
        <v>49843</v>
      </c>
      <c r="D317" s="1" t="s">
        <v>2404</v>
      </c>
      <c r="E317" s="1" t="s">
        <v>2405</v>
      </c>
      <c r="F317" s="1">
        <v>7</v>
      </c>
      <c r="G317" s="1" t="s">
        <v>14</v>
      </c>
      <c r="H317" s="1" t="s">
        <v>2406</v>
      </c>
      <c r="I317" s="1"/>
      <c r="J317" s="3">
        <v>49839</v>
      </c>
      <c r="K317" s="1" t="str">
        <f t="shared" si="8"/>
        <v>1:1:49839:9</v>
      </c>
      <c r="L317" s="1">
        <v>0</v>
      </c>
      <c r="M317" s="3" t="str">
        <f t="shared" si="9"/>
        <v/>
      </c>
      <c r="N317" s="1">
        <v>1</v>
      </c>
      <c r="O317" s="1"/>
      <c r="P317" s="3" t="str" cm="1">
        <f t="array" ref="P317">IFERROR(mindat_longid(O317),"")</f>
        <v/>
      </c>
      <c r="Q317" s="1" t="str">
        <f>IFERROR(VLOOKUP(O317, [1]meteoriteQuery!$D$2:$E$540,2,FALSE),"")</f>
        <v/>
      </c>
      <c r="R317" s="1"/>
    </row>
    <row r="318" spans="1:19" x14ac:dyDescent="0.25">
      <c r="A318" s="1">
        <v>59</v>
      </c>
      <c r="B318" s="1" t="s">
        <v>2407</v>
      </c>
      <c r="C318" s="3">
        <v>49844</v>
      </c>
      <c r="D318" s="1" t="s">
        <v>2278</v>
      </c>
      <c r="E318" s="1" t="s">
        <v>2408</v>
      </c>
      <c r="F318" s="1">
        <v>7</v>
      </c>
      <c r="G318" s="1" t="s">
        <v>14</v>
      </c>
      <c r="H318" s="1" t="s">
        <v>2409</v>
      </c>
      <c r="I318" s="1"/>
      <c r="J318" s="3">
        <v>49839</v>
      </c>
      <c r="K318" s="1" t="str">
        <f t="shared" si="8"/>
        <v>1:1:49839:9</v>
      </c>
      <c r="L318" s="1">
        <v>0</v>
      </c>
      <c r="M318" s="3" t="str">
        <f t="shared" si="9"/>
        <v/>
      </c>
      <c r="N318" s="1">
        <v>1</v>
      </c>
      <c r="O318" s="1"/>
      <c r="P318" s="3" t="str" cm="1">
        <f t="array" ref="P318">IFERROR(mindat_longid(O318),"")</f>
        <v/>
      </c>
      <c r="Q318" s="1" t="str">
        <f>IFERROR(VLOOKUP(O318, [1]meteoriteQuery!$D$2:$E$540,2,FALSE),"")</f>
        <v/>
      </c>
      <c r="R318" s="1"/>
    </row>
    <row r="319" spans="1:19" x14ac:dyDescent="0.25">
      <c r="A319" s="1">
        <v>85</v>
      </c>
      <c r="B319" s="1" t="s">
        <v>2410</v>
      </c>
      <c r="C319" s="3">
        <v>49845</v>
      </c>
      <c r="D319" s="1" t="s">
        <v>2411</v>
      </c>
      <c r="E319" s="1" t="s">
        <v>2412</v>
      </c>
      <c r="F319" s="1">
        <v>7</v>
      </c>
      <c r="G319" s="1" t="s">
        <v>14</v>
      </c>
      <c r="H319" s="1" t="s">
        <v>2413</v>
      </c>
      <c r="I319" s="1"/>
      <c r="J319" s="3">
        <v>49839</v>
      </c>
      <c r="K319" s="1" t="str">
        <f t="shared" si="8"/>
        <v>1:1:49839:9</v>
      </c>
      <c r="L319" s="1">
        <v>0</v>
      </c>
      <c r="M319" s="3" t="str">
        <f t="shared" si="9"/>
        <v/>
      </c>
      <c r="N319" s="1">
        <v>1</v>
      </c>
      <c r="O319" s="1"/>
      <c r="P319" s="3" t="str" cm="1">
        <f t="array" ref="P319">IFERROR(mindat_longid(O319),"")</f>
        <v/>
      </c>
      <c r="Q319" s="1" t="str">
        <f>IFERROR(VLOOKUP(O319, [1]meteoriteQuery!$D$2:$E$540,2,FALSE),"")</f>
        <v/>
      </c>
      <c r="R319" s="1"/>
    </row>
    <row r="320" spans="1:19" x14ac:dyDescent="0.25">
      <c r="A320" s="1">
        <v>111</v>
      </c>
      <c r="B320" s="1" t="s">
        <v>2414</v>
      </c>
      <c r="C320" s="3">
        <v>49846</v>
      </c>
      <c r="D320" s="1" t="s">
        <v>2415</v>
      </c>
      <c r="E320" s="1" t="s">
        <v>2416</v>
      </c>
      <c r="F320" s="1">
        <v>7</v>
      </c>
      <c r="G320" s="1" t="s">
        <v>14</v>
      </c>
      <c r="H320" s="1" t="s">
        <v>2417</v>
      </c>
      <c r="I320" s="1"/>
      <c r="J320" s="3">
        <v>49839</v>
      </c>
      <c r="K320" s="1" t="str">
        <f t="shared" si="8"/>
        <v>1:1:49839:9</v>
      </c>
      <c r="L320" s="1">
        <v>0</v>
      </c>
      <c r="M320" s="3" t="str">
        <f t="shared" si="9"/>
        <v/>
      </c>
      <c r="N320" s="1">
        <v>0</v>
      </c>
      <c r="O320" s="1"/>
      <c r="P320" s="3" t="str" cm="1">
        <f t="array" ref="P320">IFERROR(mindat_longid(O320),"")</f>
        <v/>
      </c>
      <c r="Q320" s="1" t="str">
        <f>IFERROR(VLOOKUP(O320, [1]meteoriteQuery!$D$2:$E$540,2,FALSE),"")</f>
        <v/>
      </c>
      <c r="R320" s="1"/>
    </row>
    <row r="321" spans="1:19" x14ac:dyDescent="0.25">
      <c r="A321" s="1">
        <v>288</v>
      </c>
      <c r="B321" s="1" t="s">
        <v>1450</v>
      </c>
      <c r="C321" s="1">
        <v>49847</v>
      </c>
      <c r="D321" s="1" t="s">
        <v>1448</v>
      </c>
      <c r="E321" s="1" t="s">
        <v>1449</v>
      </c>
      <c r="F321" s="1">
        <v>7</v>
      </c>
      <c r="G321" s="1" t="s">
        <v>14</v>
      </c>
      <c r="H321" s="1" t="s">
        <v>1451</v>
      </c>
      <c r="I321" s="1"/>
      <c r="J321" s="1">
        <v>49514</v>
      </c>
      <c r="K321" s="1" t="str">
        <f t="shared" si="8"/>
        <v>1:1:49514:3</v>
      </c>
      <c r="L321" s="1">
        <v>0</v>
      </c>
      <c r="M321" s="3" t="str">
        <f t="shared" si="9"/>
        <v/>
      </c>
      <c r="N321" s="1">
        <v>1</v>
      </c>
      <c r="O321" s="1" t="s">
        <v>2249</v>
      </c>
      <c r="P321" s="3" t="str" cm="1">
        <f t="array" ref="P321">IFERROR(mindat_longid(O321),"")</f>
        <v/>
      </c>
      <c r="Q321" s="1" t="str">
        <f>IFERROR(VLOOKUP(O321, [1]meteoriteQuery!$D$2:$E$540,2,FALSE),"")</f>
        <v/>
      </c>
      <c r="R321" s="1" t="s">
        <v>1452</v>
      </c>
      <c r="S321" s="1">
        <f>IFERROR(VLOOKUP(C321,[1]meteoriteQuery!$D$2:$F$517,1,FALSE),"")</f>
        <v>49847</v>
      </c>
    </row>
    <row r="322" spans="1:19" x14ac:dyDescent="0.25">
      <c r="A322" s="1">
        <v>289</v>
      </c>
      <c r="B322" s="1" t="s">
        <v>1455</v>
      </c>
      <c r="C322" s="1">
        <v>49848</v>
      </c>
      <c r="D322" s="1" t="s">
        <v>1453</v>
      </c>
      <c r="E322" s="1" t="s">
        <v>1454</v>
      </c>
      <c r="F322" s="1">
        <v>7</v>
      </c>
      <c r="G322" s="1" t="s">
        <v>14</v>
      </c>
      <c r="H322" s="1" t="s">
        <v>1456</v>
      </c>
      <c r="I322" s="1"/>
      <c r="J322" s="1">
        <v>49847</v>
      </c>
      <c r="K322" s="1" t="str">
        <f t="shared" si="8"/>
        <v>1:1:49847:8</v>
      </c>
      <c r="L322" s="1">
        <v>0</v>
      </c>
      <c r="M322" s="3" t="str">
        <f t="shared" si="9"/>
        <v/>
      </c>
      <c r="N322" s="1">
        <v>1</v>
      </c>
      <c r="O322" s="1" t="s">
        <v>2249</v>
      </c>
      <c r="P322" s="3" t="str" cm="1">
        <f t="array" ref="P322">IFERROR(mindat_longid(O322),"")</f>
        <v/>
      </c>
      <c r="Q322" s="1" t="str">
        <f>IFERROR(VLOOKUP(O322, [1]meteoriteQuery!$D$2:$E$540,2,FALSE),"")</f>
        <v/>
      </c>
      <c r="R322" s="1" t="s">
        <v>1457</v>
      </c>
      <c r="S322" s="1">
        <f>IFERROR(VLOOKUP(C322,[1]meteoriteQuery!$D$2:$F$517,1,FALSE),"")</f>
        <v>49848</v>
      </c>
    </row>
    <row r="323" spans="1:19" x14ac:dyDescent="0.25">
      <c r="A323" s="1">
        <v>290</v>
      </c>
      <c r="B323" s="1" t="s">
        <v>1460</v>
      </c>
      <c r="C323" s="1">
        <v>49849</v>
      </c>
      <c r="D323" s="1" t="s">
        <v>1458</v>
      </c>
      <c r="E323" s="1" t="s">
        <v>1459</v>
      </c>
      <c r="F323" s="1">
        <v>7</v>
      </c>
      <c r="G323" s="1" t="s">
        <v>14</v>
      </c>
      <c r="H323" s="1" t="s">
        <v>1461</v>
      </c>
      <c r="I323" s="1"/>
      <c r="J323" s="1">
        <v>49848</v>
      </c>
      <c r="K323" s="1" t="str">
        <f t="shared" si="8"/>
        <v>1:1:49848:7</v>
      </c>
      <c r="L323" s="1">
        <v>11263</v>
      </c>
      <c r="M323" s="3" t="str">
        <f t="shared" si="9"/>
        <v>1:1:11263:9</v>
      </c>
      <c r="N323" s="1">
        <v>0</v>
      </c>
      <c r="O323" s="1" t="s">
        <v>2249</v>
      </c>
      <c r="P323" s="3" t="str" cm="1">
        <f t="array" ref="P323">IFERROR(mindat_longid(O323),"")</f>
        <v/>
      </c>
      <c r="Q323" s="1" t="str">
        <f>IFERROR(VLOOKUP(O323, [1]meteoriteQuery!$D$2:$E$540,2,FALSE),"")</f>
        <v/>
      </c>
      <c r="R323" s="1" t="s">
        <v>1462</v>
      </c>
      <c r="S323" s="1">
        <f>IFERROR(VLOOKUP(C323,[1]meteoriteQuery!$D$2:$F$517,1,FALSE),"")</f>
        <v>49849</v>
      </c>
    </row>
    <row r="324" spans="1:19" x14ac:dyDescent="0.25">
      <c r="A324" s="1">
        <v>291</v>
      </c>
      <c r="B324" s="1" t="s">
        <v>1465</v>
      </c>
      <c r="C324" s="1">
        <v>49850</v>
      </c>
      <c r="D324" s="1" t="s">
        <v>1463</v>
      </c>
      <c r="E324" s="1" t="s">
        <v>1464</v>
      </c>
      <c r="F324" s="1">
        <v>7</v>
      </c>
      <c r="G324" s="1" t="s">
        <v>14</v>
      </c>
      <c r="H324" s="1" t="s">
        <v>1466</v>
      </c>
      <c r="I324" s="1"/>
      <c r="J324" s="1">
        <v>49847</v>
      </c>
      <c r="K324" s="1" t="str">
        <f t="shared" ref="K324:K387" si="10">IFERROR(VLOOKUP(J324,$C$2:$D$502,2,FALSE),"")</f>
        <v>1:1:49847:8</v>
      </c>
      <c r="L324" s="1">
        <v>50270</v>
      </c>
      <c r="M324" s="3" t="str">
        <f t="shared" ref="M324:M387" si="11">IFERROR(VLOOKUP(L324,$C$2:$D$502,2,FALSE),"")</f>
        <v>1:1:50270:8</v>
      </c>
      <c r="N324" s="1">
        <v>1</v>
      </c>
      <c r="O324" s="1" t="s">
        <v>2249</v>
      </c>
      <c r="P324" s="3" t="str" cm="1">
        <f t="array" ref="P324">IFERROR(mindat_longid(O324),"")</f>
        <v/>
      </c>
      <c r="Q324" s="1" t="str">
        <f>IFERROR(VLOOKUP(O324, [1]meteoriteQuery!$D$2:$E$540,2,FALSE),"")</f>
        <v/>
      </c>
      <c r="R324" s="1" t="s">
        <v>1467</v>
      </c>
      <c r="S324" s="1">
        <f>IFERROR(VLOOKUP(C324,[1]meteoriteQuery!$D$2:$F$517,1,FALSE),"")</f>
        <v>49850</v>
      </c>
    </row>
    <row r="325" spans="1:19" x14ac:dyDescent="0.25">
      <c r="A325" s="1">
        <v>292</v>
      </c>
      <c r="B325" s="1" t="s">
        <v>1470</v>
      </c>
      <c r="C325" s="1">
        <v>49851</v>
      </c>
      <c r="D325" s="1" t="s">
        <v>1468</v>
      </c>
      <c r="E325" s="1" t="s">
        <v>1469</v>
      </c>
      <c r="F325" s="1">
        <v>7</v>
      </c>
      <c r="G325" s="1" t="s">
        <v>14</v>
      </c>
      <c r="H325" s="1" t="s">
        <v>1471</v>
      </c>
      <c r="I325" s="1"/>
      <c r="J325" s="1">
        <v>49847</v>
      </c>
      <c r="K325" s="1" t="str">
        <f t="shared" si="10"/>
        <v>1:1:49847:8</v>
      </c>
      <c r="L325" s="1">
        <v>49962</v>
      </c>
      <c r="M325" s="3" t="str">
        <f t="shared" si="11"/>
        <v>1:1:49962:6</v>
      </c>
      <c r="N325" s="1">
        <v>1</v>
      </c>
      <c r="O325" s="1" t="s">
        <v>2249</v>
      </c>
      <c r="P325" s="3" t="str" cm="1">
        <f t="array" ref="P325">IFERROR(mindat_longid(O325),"")</f>
        <v/>
      </c>
      <c r="Q325" s="1" t="str">
        <f>IFERROR(VLOOKUP(O325, [1]meteoriteQuery!$D$2:$E$540,2,FALSE),"")</f>
        <v/>
      </c>
      <c r="R325" s="1" t="s">
        <v>1472</v>
      </c>
      <c r="S325" s="1">
        <f>IFERROR(VLOOKUP(C325,[1]meteoriteQuery!$D$2:$F$517,1,FALSE),"")</f>
        <v>49851</v>
      </c>
    </row>
    <row r="326" spans="1:19" x14ac:dyDescent="0.25">
      <c r="A326" s="1">
        <v>293</v>
      </c>
      <c r="B326" s="1" t="s">
        <v>1475</v>
      </c>
      <c r="C326" s="1">
        <v>49852</v>
      </c>
      <c r="D326" s="1" t="s">
        <v>1473</v>
      </c>
      <c r="E326" s="1" t="s">
        <v>1474</v>
      </c>
      <c r="F326" s="1">
        <v>7</v>
      </c>
      <c r="G326" s="1" t="s">
        <v>14</v>
      </c>
      <c r="H326" s="1" t="s">
        <v>1476</v>
      </c>
      <c r="I326" s="1"/>
      <c r="J326" s="1">
        <v>49851</v>
      </c>
      <c r="K326" s="1" t="str">
        <f t="shared" si="10"/>
        <v>1:1:49851:1</v>
      </c>
      <c r="L326" s="1">
        <v>0</v>
      </c>
      <c r="M326" s="3" t="str">
        <f t="shared" si="11"/>
        <v/>
      </c>
      <c r="N326" s="1">
        <v>1</v>
      </c>
      <c r="O326" s="1" t="s">
        <v>2249</v>
      </c>
      <c r="P326" s="3" t="str" cm="1">
        <f t="array" ref="P326">IFERROR(mindat_longid(O326),"")</f>
        <v/>
      </c>
      <c r="Q326" s="1" t="str">
        <f>IFERROR(VLOOKUP(O326, [1]meteoriteQuery!$D$2:$E$540,2,FALSE),"")</f>
        <v/>
      </c>
      <c r="R326" s="1" t="s">
        <v>1477</v>
      </c>
      <c r="S326" s="1">
        <f>IFERROR(VLOOKUP(C326,[1]meteoriteQuery!$D$2:$F$517,1,FALSE),"")</f>
        <v>49852</v>
      </c>
    </row>
    <row r="327" spans="1:19" x14ac:dyDescent="0.25">
      <c r="A327" s="1">
        <v>294</v>
      </c>
      <c r="B327" s="1" t="s">
        <v>1480</v>
      </c>
      <c r="C327" s="1">
        <v>49853</v>
      </c>
      <c r="D327" s="1" t="s">
        <v>1478</v>
      </c>
      <c r="E327" s="1" t="s">
        <v>1479</v>
      </c>
      <c r="F327" s="1">
        <v>7</v>
      </c>
      <c r="G327" s="1" t="s">
        <v>14</v>
      </c>
      <c r="H327" s="1" t="s">
        <v>1481</v>
      </c>
      <c r="I327" s="1"/>
      <c r="J327" s="1">
        <v>49851</v>
      </c>
      <c r="K327" s="1" t="str">
        <f t="shared" si="10"/>
        <v>1:1:49851:1</v>
      </c>
      <c r="L327" s="1">
        <v>0</v>
      </c>
      <c r="M327" s="3" t="str">
        <f t="shared" si="11"/>
        <v/>
      </c>
      <c r="N327" s="1">
        <v>1</v>
      </c>
      <c r="O327" s="1" t="s">
        <v>2249</v>
      </c>
      <c r="P327" s="3" t="str" cm="1">
        <f t="array" ref="P327">IFERROR(mindat_longid(O327),"")</f>
        <v/>
      </c>
      <c r="Q327" s="1" t="str">
        <f>IFERROR(VLOOKUP(O327, [1]meteoriteQuery!$D$2:$E$540,2,FALSE),"")</f>
        <v/>
      </c>
      <c r="R327" s="1" t="s">
        <v>1482</v>
      </c>
      <c r="S327" s="1">
        <f>IFERROR(VLOOKUP(C327,[1]meteoriteQuery!$D$2:$F$517,1,FALSE),"")</f>
        <v>49853</v>
      </c>
    </row>
    <row r="328" spans="1:19" x14ac:dyDescent="0.25">
      <c r="A328" s="1">
        <v>295</v>
      </c>
      <c r="B328" s="1" t="s">
        <v>1485</v>
      </c>
      <c r="C328" s="1">
        <v>49854</v>
      </c>
      <c r="D328" s="1" t="s">
        <v>1483</v>
      </c>
      <c r="E328" s="1" t="s">
        <v>1484</v>
      </c>
      <c r="F328" s="1">
        <v>7</v>
      </c>
      <c r="G328" s="1" t="s">
        <v>14</v>
      </c>
      <c r="H328" s="1" t="s">
        <v>1486</v>
      </c>
      <c r="I328" s="1"/>
      <c r="J328" s="1">
        <v>49851</v>
      </c>
      <c r="K328" s="1" t="str">
        <f t="shared" si="10"/>
        <v>1:1:49851:1</v>
      </c>
      <c r="L328" s="1">
        <v>0</v>
      </c>
      <c r="M328" s="3" t="str">
        <f t="shared" si="11"/>
        <v/>
      </c>
      <c r="N328" s="1">
        <v>1</v>
      </c>
      <c r="O328" s="1" t="s">
        <v>2249</v>
      </c>
      <c r="P328" s="3" t="str" cm="1">
        <f t="array" ref="P328">IFERROR(mindat_longid(O328),"")</f>
        <v/>
      </c>
      <c r="Q328" s="1" t="str">
        <f>IFERROR(VLOOKUP(O328, [1]meteoriteQuery!$D$2:$E$540,2,FALSE),"")</f>
        <v/>
      </c>
      <c r="R328" s="1" t="s">
        <v>1487</v>
      </c>
      <c r="S328" s="1">
        <f>IFERROR(VLOOKUP(C328,[1]meteoriteQuery!$D$2:$F$517,1,FALSE),"")</f>
        <v>49854</v>
      </c>
    </row>
    <row r="329" spans="1:19" x14ac:dyDescent="0.25">
      <c r="A329" s="1">
        <v>296</v>
      </c>
      <c r="B329" s="1" t="s">
        <v>1490</v>
      </c>
      <c r="C329" s="1">
        <v>49856</v>
      </c>
      <c r="D329" s="1" t="s">
        <v>1488</v>
      </c>
      <c r="E329" s="1" t="s">
        <v>1489</v>
      </c>
      <c r="F329" s="1">
        <v>7</v>
      </c>
      <c r="G329" s="1" t="s">
        <v>14</v>
      </c>
      <c r="H329" s="1" t="s">
        <v>1491</v>
      </c>
      <c r="I329" s="1"/>
      <c r="J329" s="1">
        <v>49854</v>
      </c>
      <c r="K329" s="1" t="str">
        <f t="shared" si="10"/>
        <v>1:1:49854:8</v>
      </c>
      <c r="L329" s="1">
        <v>0</v>
      </c>
      <c r="M329" s="3" t="str">
        <f t="shared" si="11"/>
        <v/>
      </c>
      <c r="N329" s="1">
        <v>0</v>
      </c>
      <c r="O329" s="1" t="s">
        <v>2249</v>
      </c>
      <c r="P329" s="3" t="str" cm="1">
        <f t="array" ref="P329">IFERROR(mindat_longid(O329),"")</f>
        <v/>
      </c>
      <c r="Q329" s="1" t="str">
        <f>IFERROR(VLOOKUP(O329, [1]meteoriteQuery!$D$2:$E$540,2,FALSE),"")</f>
        <v/>
      </c>
      <c r="R329" s="1" t="s">
        <v>1492</v>
      </c>
      <c r="S329" s="1">
        <f>IFERROR(VLOOKUP(C329,[1]meteoriteQuery!$D$2:$F$517,1,FALSE),"")</f>
        <v>49856</v>
      </c>
    </row>
    <row r="330" spans="1:19" x14ac:dyDescent="0.25">
      <c r="A330" s="1">
        <v>297</v>
      </c>
      <c r="B330" s="1" t="s">
        <v>1495</v>
      </c>
      <c r="C330" s="1">
        <v>49857</v>
      </c>
      <c r="D330" s="1" t="s">
        <v>1493</v>
      </c>
      <c r="E330" s="1" t="s">
        <v>1494</v>
      </c>
      <c r="F330" s="1">
        <v>7</v>
      </c>
      <c r="G330" s="1" t="s">
        <v>14</v>
      </c>
      <c r="H330" s="1" t="s">
        <v>1496</v>
      </c>
      <c r="I330" s="1"/>
      <c r="J330" s="1">
        <v>49851</v>
      </c>
      <c r="K330" s="1" t="str">
        <f t="shared" si="10"/>
        <v>1:1:49851:1</v>
      </c>
      <c r="L330" s="1">
        <v>0</v>
      </c>
      <c r="M330" s="3" t="str">
        <f t="shared" si="11"/>
        <v/>
      </c>
      <c r="N330" s="1">
        <v>1</v>
      </c>
      <c r="O330" s="1" t="s">
        <v>2249</v>
      </c>
      <c r="P330" s="3" t="str" cm="1">
        <f t="array" ref="P330">IFERROR(mindat_longid(O330),"")</f>
        <v/>
      </c>
      <c r="Q330" s="1" t="str">
        <f>IFERROR(VLOOKUP(O330, [1]meteoriteQuery!$D$2:$E$540,2,FALSE),"")</f>
        <v/>
      </c>
      <c r="R330" s="1" t="s">
        <v>1497</v>
      </c>
      <c r="S330" s="1">
        <f>IFERROR(VLOOKUP(C330,[1]meteoriteQuery!$D$2:$F$517,1,FALSE),"")</f>
        <v>49857</v>
      </c>
    </row>
    <row r="331" spans="1:19" x14ac:dyDescent="0.25">
      <c r="A331" s="1">
        <v>298</v>
      </c>
      <c r="B331" s="1" t="s">
        <v>1500</v>
      </c>
      <c r="C331" s="1">
        <v>49859</v>
      </c>
      <c r="D331" s="1" t="s">
        <v>1498</v>
      </c>
      <c r="E331" s="1" t="s">
        <v>1499</v>
      </c>
      <c r="F331" s="1">
        <v>7</v>
      </c>
      <c r="G331" s="1" t="s">
        <v>14</v>
      </c>
      <c r="H331" s="1" t="s">
        <v>1501</v>
      </c>
      <c r="I331" s="1"/>
      <c r="J331" s="1">
        <v>49851</v>
      </c>
      <c r="K331" s="1" t="str">
        <f t="shared" si="10"/>
        <v>1:1:49851:1</v>
      </c>
      <c r="L331" s="1">
        <v>0</v>
      </c>
      <c r="M331" s="3" t="str">
        <f t="shared" si="11"/>
        <v/>
      </c>
      <c r="N331" s="1">
        <v>1</v>
      </c>
      <c r="O331" s="1" t="s">
        <v>2249</v>
      </c>
      <c r="P331" s="3" t="str" cm="1">
        <f t="array" ref="P331">IFERROR(mindat_longid(O331),"")</f>
        <v/>
      </c>
      <c r="Q331" s="1" t="str">
        <f>IFERROR(VLOOKUP(O331, [1]meteoriteQuery!$D$2:$E$540,2,FALSE),"")</f>
        <v/>
      </c>
      <c r="R331" s="1" t="s">
        <v>1502</v>
      </c>
      <c r="S331" s="1">
        <f>IFERROR(VLOOKUP(C331,[1]meteoriteQuery!$D$2:$F$517,1,FALSE),"")</f>
        <v>49859</v>
      </c>
    </row>
    <row r="332" spans="1:19" x14ac:dyDescent="0.25">
      <c r="A332" s="1">
        <v>299</v>
      </c>
      <c r="B332" s="1" t="s">
        <v>1505</v>
      </c>
      <c r="C332" s="1">
        <v>49860</v>
      </c>
      <c r="D332" s="1" t="s">
        <v>1503</v>
      </c>
      <c r="E332" s="1" t="s">
        <v>1504</v>
      </c>
      <c r="F332" s="1">
        <v>7</v>
      </c>
      <c r="G332" s="1" t="s">
        <v>14</v>
      </c>
      <c r="H332" s="1" t="s">
        <v>1506</v>
      </c>
      <c r="I332" s="1"/>
      <c r="J332" s="1">
        <v>49859</v>
      </c>
      <c r="K332" s="1" t="str">
        <f t="shared" si="10"/>
        <v>1:1:49859:3</v>
      </c>
      <c r="L332" s="1">
        <v>0</v>
      </c>
      <c r="M332" s="3" t="str">
        <f t="shared" si="11"/>
        <v/>
      </c>
      <c r="N332" s="1">
        <v>0</v>
      </c>
      <c r="O332" s="1">
        <v>52380</v>
      </c>
      <c r="P332" s="3" t="str" cm="1">
        <f t="array" ref="P332">IFERROR(mindat_longid(O332),"")</f>
        <v>1:1:52380:8</v>
      </c>
      <c r="Q332" s="1" t="str">
        <f>IFERROR(VLOOKUP(O332, [1]meteoriteQuery!$D$2:$E$540,2,FALSE),"")</f>
        <v>IAB-sHL-an iron meteorite</v>
      </c>
      <c r="R332" s="1" t="s">
        <v>1507</v>
      </c>
      <c r="S332" s="1">
        <f>IFERROR(VLOOKUP(C332,[1]meteoriteQuery!$D$2:$F$517,1,FALSE),"")</f>
        <v>49860</v>
      </c>
    </row>
    <row r="333" spans="1:19" x14ac:dyDescent="0.25">
      <c r="A333" s="1">
        <v>300</v>
      </c>
      <c r="B333" s="1" t="s">
        <v>1510</v>
      </c>
      <c r="C333" s="1">
        <v>49861</v>
      </c>
      <c r="D333" s="1" t="s">
        <v>1508</v>
      </c>
      <c r="E333" s="1" t="s">
        <v>1509</v>
      </c>
      <c r="F333" s="1">
        <v>7</v>
      </c>
      <c r="G333" s="1" t="s">
        <v>14</v>
      </c>
      <c r="H333" s="1" t="s">
        <v>1511</v>
      </c>
      <c r="I333" s="1"/>
      <c r="J333" s="1">
        <v>49851</v>
      </c>
      <c r="K333" s="1" t="str">
        <f t="shared" si="10"/>
        <v>1:1:49851:1</v>
      </c>
      <c r="L333" s="1">
        <v>0</v>
      </c>
      <c r="M333" s="3" t="str">
        <f t="shared" si="11"/>
        <v/>
      </c>
      <c r="N333" s="1">
        <v>1</v>
      </c>
      <c r="O333" s="1" t="s">
        <v>2249</v>
      </c>
      <c r="P333" s="3" t="str" cm="1">
        <f t="array" ref="P333">IFERROR(mindat_longid(O333),"")</f>
        <v/>
      </c>
      <c r="Q333" s="1" t="str">
        <f>IFERROR(VLOOKUP(O333, [1]meteoriteQuery!$D$2:$E$540,2,FALSE),"")</f>
        <v/>
      </c>
      <c r="R333" s="1" t="s">
        <v>1512</v>
      </c>
      <c r="S333" s="1">
        <f>IFERROR(VLOOKUP(C333,[1]meteoriteQuery!$D$2:$F$517,1,FALSE),"")</f>
        <v>49861</v>
      </c>
    </row>
    <row r="334" spans="1:19" x14ac:dyDescent="0.25">
      <c r="A334" s="1">
        <v>301</v>
      </c>
      <c r="B334" s="1" t="s">
        <v>1515</v>
      </c>
      <c r="C334" s="1">
        <v>49862</v>
      </c>
      <c r="D334" s="1" t="s">
        <v>1513</v>
      </c>
      <c r="E334" s="1" t="s">
        <v>1514</v>
      </c>
      <c r="F334" s="1">
        <v>7</v>
      </c>
      <c r="G334" s="1" t="s">
        <v>14</v>
      </c>
      <c r="H334" s="1" t="s">
        <v>1516</v>
      </c>
      <c r="I334" s="1"/>
      <c r="J334" s="1">
        <v>49851</v>
      </c>
      <c r="K334" s="1" t="str">
        <f t="shared" si="10"/>
        <v>1:1:49851:1</v>
      </c>
      <c r="L334" s="1">
        <v>0</v>
      </c>
      <c r="M334" s="3" t="str">
        <f t="shared" si="11"/>
        <v/>
      </c>
      <c r="N334" s="1">
        <v>0</v>
      </c>
      <c r="O334" s="1">
        <v>52392</v>
      </c>
      <c r="P334" s="3" t="str" cm="1">
        <f t="array" ref="P334">IFERROR(mindat_longid(O334),"")</f>
        <v>1:1:52392:3</v>
      </c>
      <c r="Q334" s="1" t="str">
        <f>IFERROR(VLOOKUP(O334, [1]meteoriteQuery!$D$2:$E$540,2,FALSE),"")</f>
        <v>IAB-ung iron meteorite</v>
      </c>
      <c r="R334" s="1" t="s">
        <v>1517</v>
      </c>
      <c r="S334" s="1">
        <f>IFERROR(VLOOKUP(C334,[1]meteoriteQuery!$D$2:$F$517,1,FALSE),"")</f>
        <v>49862</v>
      </c>
    </row>
    <row r="335" spans="1:19" x14ac:dyDescent="0.25">
      <c r="A335" s="1">
        <v>302</v>
      </c>
      <c r="B335" s="1" t="s">
        <v>1520</v>
      </c>
      <c r="C335" s="1">
        <v>49863</v>
      </c>
      <c r="D335" s="1" t="s">
        <v>1518</v>
      </c>
      <c r="E335" s="1" t="s">
        <v>1519</v>
      </c>
      <c r="F335" s="1">
        <v>7</v>
      </c>
      <c r="G335" s="1" t="s">
        <v>14</v>
      </c>
      <c r="H335" s="1" t="s">
        <v>1521</v>
      </c>
      <c r="I335" s="1"/>
      <c r="J335" s="1">
        <v>49851</v>
      </c>
      <c r="K335" s="1" t="str">
        <f t="shared" si="10"/>
        <v>1:1:49851:1</v>
      </c>
      <c r="L335" s="1">
        <v>0</v>
      </c>
      <c r="M335" s="3" t="str">
        <f t="shared" si="11"/>
        <v/>
      </c>
      <c r="N335" s="1">
        <v>0</v>
      </c>
      <c r="O335" s="1" t="s">
        <v>2249</v>
      </c>
      <c r="P335" s="3" t="str" cm="1">
        <f t="array" ref="P335">IFERROR(mindat_longid(O335),"")</f>
        <v/>
      </c>
      <c r="Q335" s="1" t="str">
        <f>IFERROR(VLOOKUP(O335, [1]meteoriteQuery!$D$2:$E$540,2,FALSE),"")</f>
        <v/>
      </c>
      <c r="R335" s="1" t="s">
        <v>1522</v>
      </c>
      <c r="S335" s="1">
        <f>IFERROR(VLOOKUP(C335,[1]meteoriteQuery!$D$2:$F$517,1,FALSE),"")</f>
        <v>49863</v>
      </c>
    </row>
    <row r="336" spans="1:19" x14ac:dyDescent="0.25">
      <c r="A336" s="1">
        <v>40</v>
      </c>
      <c r="B336" s="1" t="s">
        <v>2329</v>
      </c>
      <c r="C336" s="3">
        <v>49864</v>
      </c>
      <c r="D336" s="1" t="s">
        <v>2330</v>
      </c>
      <c r="E336" s="1" t="s">
        <v>2331</v>
      </c>
      <c r="F336" s="1">
        <v>7</v>
      </c>
      <c r="G336" s="1" t="s">
        <v>14</v>
      </c>
      <c r="H336" s="1" t="s">
        <v>2332</v>
      </c>
      <c r="I336" s="1"/>
      <c r="J336" s="3">
        <v>49847</v>
      </c>
      <c r="K336" s="1" t="str">
        <f t="shared" si="10"/>
        <v>1:1:49847:8</v>
      </c>
      <c r="L336" s="1">
        <v>49962</v>
      </c>
      <c r="M336" s="3" t="str">
        <f t="shared" si="11"/>
        <v>1:1:49962:6</v>
      </c>
      <c r="N336" s="1">
        <v>1</v>
      </c>
      <c r="O336" s="1"/>
      <c r="P336" s="3" t="str" cm="1">
        <f t="array" ref="P336">IFERROR(mindat_longid(O336),"")</f>
        <v/>
      </c>
      <c r="Q336" s="1" t="str">
        <f>IFERROR(VLOOKUP(O336, [1]meteoriteQuery!$D$2:$E$540,2,FALSE),"")</f>
        <v/>
      </c>
      <c r="R336" s="1"/>
    </row>
    <row r="337" spans="1:19" x14ac:dyDescent="0.25">
      <c r="A337" s="1">
        <v>303</v>
      </c>
      <c r="B337" s="1" t="s">
        <v>1525</v>
      </c>
      <c r="C337" s="1">
        <v>49865</v>
      </c>
      <c r="D337" s="1" t="s">
        <v>1523</v>
      </c>
      <c r="E337" s="1" t="s">
        <v>1524</v>
      </c>
      <c r="F337" s="1">
        <v>7</v>
      </c>
      <c r="G337" s="1" t="s">
        <v>14</v>
      </c>
      <c r="H337" s="1" t="s">
        <v>1526</v>
      </c>
      <c r="I337" s="1"/>
      <c r="J337" s="1">
        <v>11263</v>
      </c>
      <c r="K337" s="1" t="str">
        <f t="shared" si="10"/>
        <v>1:1:11263:9</v>
      </c>
      <c r="L337" s="1">
        <v>0</v>
      </c>
      <c r="M337" s="3" t="str">
        <f t="shared" si="11"/>
        <v/>
      </c>
      <c r="N337" s="1">
        <v>0</v>
      </c>
      <c r="O337" s="1" t="s">
        <v>2249</v>
      </c>
      <c r="P337" s="3" t="str" cm="1">
        <f t="array" ref="P337">IFERROR(mindat_longid(O337),"")</f>
        <v/>
      </c>
      <c r="Q337" s="1" t="str">
        <f>IFERROR(VLOOKUP(O337, [1]meteoriteQuery!$D$2:$E$540,2,FALSE),"")</f>
        <v/>
      </c>
      <c r="R337" s="1" t="s">
        <v>1527</v>
      </c>
      <c r="S337" s="1">
        <f>IFERROR(VLOOKUP(C337,[1]meteoriteQuery!$D$2:$F$517,1,FALSE),"")</f>
        <v>49865</v>
      </c>
    </row>
    <row r="338" spans="1:19" x14ac:dyDescent="0.25">
      <c r="A338" s="1">
        <v>304</v>
      </c>
      <c r="B338" s="1" t="s">
        <v>1530</v>
      </c>
      <c r="C338" s="1">
        <v>49866</v>
      </c>
      <c r="D338" s="1" t="s">
        <v>1528</v>
      </c>
      <c r="E338" s="1" t="s">
        <v>1529</v>
      </c>
      <c r="F338" s="1">
        <v>7</v>
      </c>
      <c r="G338" s="1" t="s">
        <v>14</v>
      </c>
      <c r="H338" s="1" t="s">
        <v>1531</v>
      </c>
      <c r="I338" s="1"/>
      <c r="J338" s="1">
        <v>49847</v>
      </c>
      <c r="K338" s="1" t="str">
        <f t="shared" si="10"/>
        <v>1:1:49847:8</v>
      </c>
      <c r="L338" s="1">
        <v>0</v>
      </c>
      <c r="M338" s="3" t="str">
        <f t="shared" si="11"/>
        <v/>
      </c>
      <c r="N338" s="1">
        <v>1</v>
      </c>
      <c r="O338" s="1" t="s">
        <v>2249</v>
      </c>
      <c r="P338" s="3" t="str" cm="1">
        <f t="array" ref="P338">IFERROR(mindat_longid(O338),"")</f>
        <v/>
      </c>
      <c r="Q338" s="1" t="str">
        <f>IFERROR(VLOOKUP(O338, [1]meteoriteQuery!$D$2:$E$540,2,FALSE),"")</f>
        <v/>
      </c>
      <c r="R338" s="1" t="s">
        <v>1532</v>
      </c>
      <c r="S338" s="1">
        <f>IFERROR(VLOOKUP(C338,[1]meteoriteQuery!$D$2:$F$517,1,FALSE),"")</f>
        <v>49866</v>
      </c>
    </row>
    <row r="339" spans="1:19" x14ac:dyDescent="0.25">
      <c r="A339" s="1">
        <v>305</v>
      </c>
      <c r="B339" s="1" t="s">
        <v>1535</v>
      </c>
      <c r="C339" s="1">
        <v>49867</v>
      </c>
      <c r="D339" s="1" t="s">
        <v>1533</v>
      </c>
      <c r="E339" s="1" t="s">
        <v>1534</v>
      </c>
      <c r="F339" s="1">
        <v>7</v>
      </c>
      <c r="G339" s="1" t="s">
        <v>14</v>
      </c>
      <c r="H339" s="1" t="s">
        <v>1536</v>
      </c>
      <c r="I339" s="1"/>
      <c r="J339" s="1">
        <v>49866</v>
      </c>
      <c r="K339" s="1" t="str">
        <f t="shared" si="10"/>
        <v>1:1:49866:3</v>
      </c>
      <c r="L339" s="1">
        <v>0</v>
      </c>
      <c r="M339" s="3" t="str">
        <f t="shared" si="11"/>
        <v/>
      </c>
      <c r="N339" s="1">
        <v>0</v>
      </c>
      <c r="O339" s="1" t="s">
        <v>2249</v>
      </c>
      <c r="P339" s="3" t="str" cm="1">
        <f t="array" ref="P339">IFERROR(mindat_longid(O339),"")</f>
        <v/>
      </c>
      <c r="Q339" s="1" t="str">
        <f>IFERROR(VLOOKUP(O339, [1]meteoriteQuery!$D$2:$E$540,2,FALSE),"")</f>
        <v/>
      </c>
      <c r="R339" s="1" t="s">
        <v>1537</v>
      </c>
      <c r="S339" s="1">
        <f>IFERROR(VLOOKUP(C339,[1]meteoriteQuery!$D$2:$F$517,1,FALSE),"")</f>
        <v>49867</v>
      </c>
    </row>
    <row r="340" spans="1:19" x14ac:dyDescent="0.25">
      <c r="A340" s="1">
        <v>306</v>
      </c>
      <c r="B340" s="1" t="s">
        <v>1540</v>
      </c>
      <c r="C340" s="1">
        <v>49868</v>
      </c>
      <c r="D340" s="1" t="s">
        <v>1538</v>
      </c>
      <c r="E340" s="1" t="s">
        <v>1539</v>
      </c>
      <c r="F340" s="1">
        <v>7</v>
      </c>
      <c r="G340" s="1" t="s">
        <v>14</v>
      </c>
      <c r="H340" s="1" t="s">
        <v>2473</v>
      </c>
      <c r="I340" s="1" t="s">
        <v>2474</v>
      </c>
      <c r="J340" s="1">
        <v>49866</v>
      </c>
      <c r="K340" s="1" t="str">
        <f t="shared" si="10"/>
        <v>1:1:49866:3</v>
      </c>
      <c r="L340" s="1">
        <v>0</v>
      </c>
      <c r="M340" s="3" t="str">
        <f t="shared" si="11"/>
        <v/>
      </c>
      <c r="N340" s="1">
        <v>0</v>
      </c>
      <c r="O340" s="1">
        <v>52338</v>
      </c>
      <c r="P340" s="3" t="str" cm="1">
        <f t="array" ref="P340">IFERROR(mindat_longid(O340),"")</f>
        <v>1:1:52338:5</v>
      </c>
      <c r="Q340" s="1" t="str">
        <f>IFERROR(VLOOKUP(O340, [1]meteoriteQuery!$D$2:$E$540,2,FALSE),"")</f>
        <v>Ureilite-pmict meteorite</v>
      </c>
      <c r="R340" s="1" t="s">
        <v>1541</v>
      </c>
      <c r="S340" s="1">
        <f>IFERROR(VLOOKUP(C340,[1]meteoriteQuery!$D$2:$F$517,1,FALSE),"")</f>
        <v>49868</v>
      </c>
    </row>
    <row r="341" spans="1:19" x14ac:dyDescent="0.25">
      <c r="A341" s="1">
        <v>307</v>
      </c>
      <c r="B341" s="1" t="s">
        <v>1544</v>
      </c>
      <c r="C341" s="1">
        <v>49869</v>
      </c>
      <c r="D341" s="1" t="s">
        <v>1542</v>
      </c>
      <c r="E341" s="1" t="s">
        <v>1543</v>
      </c>
      <c r="F341" s="1">
        <v>7</v>
      </c>
      <c r="G341" s="1" t="s">
        <v>14</v>
      </c>
      <c r="H341" s="1" t="s">
        <v>1545</v>
      </c>
      <c r="I341" s="1"/>
      <c r="J341" s="1">
        <v>49847</v>
      </c>
      <c r="K341" s="1" t="str">
        <f t="shared" si="10"/>
        <v>1:1:49847:8</v>
      </c>
      <c r="L341" s="1">
        <v>0</v>
      </c>
      <c r="M341" s="3" t="str">
        <f t="shared" si="11"/>
        <v/>
      </c>
      <c r="N341" s="1">
        <v>1</v>
      </c>
      <c r="O341" s="1" t="s">
        <v>2249</v>
      </c>
      <c r="P341" s="3" t="str" cm="1">
        <f t="array" ref="P341">IFERROR(mindat_longid(O341),"")</f>
        <v/>
      </c>
      <c r="Q341" s="1" t="str">
        <f>IFERROR(VLOOKUP(O341, [1]meteoriteQuery!$D$2:$E$540,2,FALSE),"")</f>
        <v/>
      </c>
      <c r="R341" s="1" t="s">
        <v>1546</v>
      </c>
      <c r="S341" s="1">
        <f>IFERROR(VLOOKUP(C341,[1]meteoriteQuery!$D$2:$F$517,1,FALSE),"")</f>
        <v>49869</v>
      </c>
    </row>
    <row r="342" spans="1:19" x14ac:dyDescent="0.25">
      <c r="A342" s="1">
        <v>308</v>
      </c>
      <c r="B342" s="1" t="s">
        <v>1549</v>
      </c>
      <c r="C342" s="1">
        <v>49872</v>
      </c>
      <c r="D342" s="1" t="s">
        <v>1547</v>
      </c>
      <c r="E342" s="1" t="s">
        <v>1548</v>
      </c>
      <c r="F342" s="1">
        <v>7</v>
      </c>
      <c r="G342" s="1" t="s">
        <v>14</v>
      </c>
      <c r="H342" s="1" t="s">
        <v>1550</v>
      </c>
      <c r="I342" s="1"/>
      <c r="J342" s="1">
        <v>50270</v>
      </c>
      <c r="K342" s="1" t="str">
        <f t="shared" si="10"/>
        <v>1:1:50270:8</v>
      </c>
      <c r="L342" s="1">
        <v>0</v>
      </c>
      <c r="M342" s="3" t="str">
        <f t="shared" si="11"/>
        <v/>
      </c>
      <c r="N342" s="1">
        <v>1</v>
      </c>
      <c r="O342" s="1" t="s">
        <v>2249</v>
      </c>
      <c r="P342" s="3" t="str" cm="1">
        <f t="array" ref="P342">IFERROR(mindat_longid(O342),"")</f>
        <v/>
      </c>
      <c r="Q342" s="1" t="str">
        <f>IFERROR(VLOOKUP(O342, [1]meteoriteQuery!$D$2:$E$540,2,FALSE),"")</f>
        <v/>
      </c>
      <c r="R342" s="1" t="s">
        <v>1551</v>
      </c>
      <c r="S342" s="1">
        <f>IFERROR(VLOOKUP(C342,[1]meteoriteQuery!$D$2:$F$517,1,FALSE),"")</f>
        <v>49872</v>
      </c>
    </row>
    <row r="343" spans="1:19" x14ac:dyDescent="0.25">
      <c r="A343" s="1">
        <v>309</v>
      </c>
      <c r="B343" s="1" t="s">
        <v>1554</v>
      </c>
      <c r="C343" s="1">
        <v>49873</v>
      </c>
      <c r="D343" s="1" t="s">
        <v>1552</v>
      </c>
      <c r="E343" s="1" t="s">
        <v>1553</v>
      </c>
      <c r="F343" s="1">
        <v>7</v>
      </c>
      <c r="G343" s="1" t="s">
        <v>14</v>
      </c>
      <c r="H343" s="1" t="s">
        <v>1555</v>
      </c>
      <c r="I343" s="1"/>
      <c r="J343" s="1">
        <v>50270</v>
      </c>
      <c r="K343" s="1" t="str">
        <f t="shared" si="10"/>
        <v>1:1:50270:8</v>
      </c>
      <c r="L343" s="1">
        <v>0</v>
      </c>
      <c r="M343" s="3" t="str">
        <f t="shared" si="11"/>
        <v/>
      </c>
      <c r="N343" s="1">
        <v>1</v>
      </c>
      <c r="O343" s="1" t="s">
        <v>2249</v>
      </c>
      <c r="P343" s="3" t="str" cm="1">
        <f t="array" ref="P343">IFERROR(mindat_longid(O343),"")</f>
        <v/>
      </c>
      <c r="Q343" s="1" t="str">
        <f>IFERROR(VLOOKUP(O343, [1]meteoriteQuery!$D$2:$E$540,2,FALSE),"")</f>
        <v/>
      </c>
      <c r="R343" s="1" t="s">
        <v>1556</v>
      </c>
      <c r="S343" s="1">
        <f>IFERROR(VLOOKUP(C343,[1]meteoriteQuery!$D$2:$F$517,1,FALSE),"")</f>
        <v>49873</v>
      </c>
    </row>
    <row r="344" spans="1:19" x14ac:dyDescent="0.25">
      <c r="A344" s="1">
        <v>310</v>
      </c>
      <c r="B344" s="1" t="s">
        <v>1559</v>
      </c>
      <c r="C344" s="1">
        <v>49876</v>
      </c>
      <c r="D344" s="1" t="s">
        <v>1557</v>
      </c>
      <c r="E344" s="1" t="s">
        <v>1558</v>
      </c>
      <c r="F344" s="1">
        <v>7</v>
      </c>
      <c r="G344" s="1" t="s">
        <v>14</v>
      </c>
      <c r="H344" s="1" t="s">
        <v>1560</v>
      </c>
      <c r="I344" s="1"/>
      <c r="J344" s="1">
        <v>50269</v>
      </c>
      <c r="K344" s="1" t="str">
        <f t="shared" si="10"/>
        <v>1:1:50269:2</v>
      </c>
      <c r="L344" s="1">
        <v>0</v>
      </c>
      <c r="M344" s="3" t="str">
        <f t="shared" si="11"/>
        <v/>
      </c>
      <c r="N344" s="1">
        <v>1</v>
      </c>
      <c r="O344" s="1" t="s">
        <v>2249</v>
      </c>
      <c r="P344" s="3" t="str" cm="1">
        <f t="array" ref="P344">IFERROR(mindat_longid(O344),"")</f>
        <v/>
      </c>
      <c r="Q344" s="1" t="str">
        <f>IFERROR(VLOOKUP(O344, [1]meteoriteQuery!$D$2:$E$540,2,FALSE),"")</f>
        <v/>
      </c>
      <c r="R344" s="1" t="s">
        <v>1561</v>
      </c>
      <c r="S344" s="1">
        <f>IFERROR(VLOOKUP(C344,[1]meteoriteQuery!$D$2:$F$517,1,FALSE),"")</f>
        <v>49876</v>
      </c>
    </row>
    <row r="345" spans="1:19" x14ac:dyDescent="0.25">
      <c r="A345" s="1">
        <v>238</v>
      </c>
      <c r="B345" s="1" t="s">
        <v>2316</v>
      </c>
      <c r="C345" s="3">
        <v>49877</v>
      </c>
      <c r="D345" s="1" t="s">
        <v>2317</v>
      </c>
      <c r="E345" s="2" t="s">
        <v>2318</v>
      </c>
      <c r="F345" s="1">
        <v>7</v>
      </c>
      <c r="G345" s="1" t="s">
        <v>14</v>
      </c>
      <c r="H345" s="1" t="s">
        <v>2319</v>
      </c>
      <c r="I345" s="1"/>
      <c r="J345" s="3">
        <v>50270</v>
      </c>
      <c r="K345" s="1" t="str">
        <f t="shared" si="10"/>
        <v>1:1:50270:8</v>
      </c>
      <c r="L345" s="1">
        <v>0</v>
      </c>
      <c r="M345" s="3" t="str">
        <f t="shared" si="11"/>
        <v/>
      </c>
      <c r="N345" s="1">
        <v>1</v>
      </c>
      <c r="O345" s="1"/>
      <c r="P345" s="3" t="str" cm="1">
        <f t="array" ref="P345">IFERROR(mindat_longid(O345),"")</f>
        <v/>
      </c>
      <c r="Q345" s="1" t="str">
        <f>IFERROR(VLOOKUP(O345, [1]meteoriteQuery!$D$2:$E$540,2,FALSE),"")</f>
        <v/>
      </c>
      <c r="R345" s="1"/>
    </row>
    <row r="346" spans="1:19" x14ac:dyDescent="0.25">
      <c r="A346" s="1">
        <v>311</v>
      </c>
      <c r="B346" s="1" t="s">
        <v>1564</v>
      </c>
      <c r="C346" s="1">
        <v>49878</v>
      </c>
      <c r="D346" s="1" t="s">
        <v>1562</v>
      </c>
      <c r="E346" s="1" t="s">
        <v>1563</v>
      </c>
      <c r="F346" s="1">
        <v>7</v>
      </c>
      <c r="G346" s="1" t="s">
        <v>14</v>
      </c>
      <c r="H346" s="1" t="s">
        <v>1565</v>
      </c>
      <c r="I346" s="1"/>
      <c r="J346" s="1">
        <v>49877</v>
      </c>
      <c r="K346" s="1" t="str">
        <f t="shared" si="10"/>
        <v>1:1:49877:9</v>
      </c>
      <c r="L346" s="1">
        <v>0</v>
      </c>
      <c r="M346" s="3" t="str">
        <f t="shared" si="11"/>
        <v/>
      </c>
      <c r="N346" s="1">
        <v>1</v>
      </c>
      <c r="O346" s="1" t="s">
        <v>2249</v>
      </c>
      <c r="P346" s="3" t="str" cm="1">
        <f t="array" ref="P346">IFERROR(mindat_longid(O346),"")</f>
        <v/>
      </c>
      <c r="Q346" s="1" t="str">
        <f>IFERROR(VLOOKUP(O346, [1]meteoriteQuery!$D$2:$E$540,2,FALSE),"")</f>
        <v/>
      </c>
      <c r="R346" s="1" t="s">
        <v>1566</v>
      </c>
      <c r="S346" s="1">
        <f>IFERROR(VLOOKUP(C346,[1]meteoriteQuery!$D$2:$F$517,1,FALSE),"")</f>
        <v>49878</v>
      </c>
    </row>
    <row r="347" spans="1:19" x14ac:dyDescent="0.25">
      <c r="A347" s="1">
        <v>312</v>
      </c>
      <c r="B347" s="1" t="s">
        <v>1569</v>
      </c>
      <c r="C347" s="1">
        <v>49879</v>
      </c>
      <c r="D347" s="1" t="s">
        <v>1567</v>
      </c>
      <c r="E347" s="1" t="s">
        <v>1568</v>
      </c>
      <c r="F347" s="1">
        <v>7</v>
      </c>
      <c r="G347" s="1" t="s">
        <v>14</v>
      </c>
      <c r="H347" s="1" t="s">
        <v>1570</v>
      </c>
      <c r="I347" s="1"/>
      <c r="J347" s="1">
        <v>49878</v>
      </c>
      <c r="K347" s="1" t="str">
        <f t="shared" si="10"/>
        <v>1:1:49878:8</v>
      </c>
      <c r="L347" s="1">
        <v>0</v>
      </c>
      <c r="M347" s="3" t="str">
        <f t="shared" si="11"/>
        <v/>
      </c>
      <c r="N347" s="1">
        <v>0</v>
      </c>
      <c r="O347" s="1" t="s">
        <v>2249</v>
      </c>
      <c r="P347" s="3" t="str" cm="1">
        <f t="array" ref="P347">IFERROR(mindat_longid(O347),"")</f>
        <v/>
      </c>
      <c r="Q347" s="1" t="str">
        <f>IFERROR(VLOOKUP(O347, [1]meteoriteQuery!$D$2:$E$540,2,FALSE),"")</f>
        <v/>
      </c>
      <c r="R347" s="1" t="s">
        <v>1571</v>
      </c>
      <c r="S347" s="1">
        <f>IFERROR(VLOOKUP(C347,[1]meteoriteQuery!$D$2:$F$517,1,FALSE),"")</f>
        <v>49879</v>
      </c>
    </row>
    <row r="348" spans="1:19" x14ac:dyDescent="0.25">
      <c r="A348" s="1">
        <v>313</v>
      </c>
      <c r="B348" s="1" t="s">
        <v>1574</v>
      </c>
      <c r="C348" s="1">
        <v>49880</v>
      </c>
      <c r="D348" s="1" t="s">
        <v>1572</v>
      </c>
      <c r="E348" s="1" t="s">
        <v>1573</v>
      </c>
      <c r="F348" s="1">
        <v>7</v>
      </c>
      <c r="G348" s="1" t="s">
        <v>14</v>
      </c>
      <c r="H348" s="1" t="s">
        <v>1575</v>
      </c>
      <c r="I348" s="1"/>
      <c r="J348" s="1">
        <v>49877</v>
      </c>
      <c r="K348" s="1" t="str">
        <f t="shared" si="10"/>
        <v>1:1:49877:9</v>
      </c>
      <c r="L348" s="1">
        <v>0</v>
      </c>
      <c r="M348" s="3" t="str">
        <f t="shared" si="11"/>
        <v/>
      </c>
      <c r="N348" s="1">
        <v>1</v>
      </c>
      <c r="O348" s="1" t="s">
        <v>2249</v>
      </c>
      <c r="P348" s="3" t="str" cm="1">
        <f t="array" ref="P348">IFERROR(mindat_longid(O348),"")</f>
        <v/>
      </c>
      <c r="Q348" s="1" t="str">
        <f>IFERROR(VLOOKUP(O348, [1]meteoriteQuery!$D$2:$E$540,2,FALSE),"")</f>
        <v/>
      </c>
      <c r="R348" s="1" t="s">
        <v>1576</v>
      </c>
      <c r="S348" s="1">
        <f>IFERROR(VLOOKUP(C348,[1]meteoriteQuery!$D$2:$F$517,1,FALSE),"")</f>
        <v>49880</v>
      </c>
    </row>
    <row r="349" spans="1:19" x14ac:dyDescent="0.25">
      <c r="A349" s="1">
        <v>314</v>
      </c>
      <c r="B349" s="1" t="s">
        <v>1579</v>
      </c>
      <c r="C349" s="1">
        <v>49881</v>
      </c>
      <c r="D349" s="1" t="s">
        <v>1577</v>
      </c>
      <c r="E349" s="1" t="s">
        <v>1578</v>
      </c>
      <c r="F349" s="1">
        <v>7</v>
      </c>
      <c r="G349" s="1" t="s">
        <v>14</v>
      </c>
      <c r="H349" s="1" t="s">
        <v>1580</v>
      </c>
      <c r="I349" s="1"/>
      <c r="J349" s="1">
        <v>49880</v>
      </c>
      <c r="K349" s="1" t="str">
        <f t="shared" si="10"/>
        <v>1:1:49880:3</v>
      </c>
      <c r="L349" s="1">
        <v>0</v>
      </c>
      <c r="M349" s="3" t="str">
        <f t="shared" si="11"/>
        <v/>
      </c>
      <c r="N349" s="1">
        <v>0</v>
      </c>
      <c r="O349" s="1" t="s">
        <v>2249</v>
      </c>
      <c r="P349" s="3" t="str" cm="1">
        <f t="array" ref="P349">IFERROR(mindat_longid(O349),"")</f>
        <v/>
      </c>
      <c r="Q349" s="1" t="str">
        <f>IFERROR(VLOOKUP(O349, [1]meteoriteQuery!$D$2:$E$540,2,FALSE),"")</f>
        <v/>
      </c>
      <c r="R349" s="1" t="s">
        <v>1581</v>
      </c>
      <c r="S349" s="1">
        <f>IFERROR(VLOOKUP(C349,[1]meteoriteQuery!$D$2:$F$517,1,FALSE),"")</f>
        <v>49881</v>
      </c>
    </row>
    <row r="350" spans="1:19" x14ac:dyDescent="0.25">
      <c r="A350" s="1">
        <v>315</v>
      </c>
      <c r="B350" s="1" t="s">
        <v>1584</v>
      </c>
      <c r="C350" s="1">
        <v>49882</v>
      </c>
      <c r="D350" s="1" t="s">
        <v>1582</v>
      </c>
      <c r="E350" s="1" t="s">
        <v>1583</v>
      </c>
      <c r="F350" s="1">
        <v>7</v>
      </c>
      <c r="G350" s="1" t="s">
        <v>14</v>
      </c>
      <c r="H350" s="1" t="s">
        <v>1585</v>
      </c>
      <c r="I350" s="1"/>
      <c r="J350" s="1">
        <v>49880</v>
      </c>
      <c r="K350" s="1" t="str">
        <f t="shared" si="10"/>
        <v>1:1:49880:3</v>
      </c>
      <c r="L350" s="1">
        <v>0</v>
      </c>
      <c r="M350" s="3" t="str">
        <f t="shared" si="11"/>
        <v/>
      </c>
      <c r="N350" s="1">
        <v>0</v>
      </c>
      <c r="O350" s="1" t="s">
        <v>2249</v>
      </c>
      <c r="P350" s="3" t="str" cm="1">
        <f t="array" ref="P350">IFERROR(mindat_longid(O350),"")</f>
        <v/>
      </c>
      <c r="Q350" s="1" t="str">
        <f>IFERROR(VLOOKUP(O350, [1]meteoriteQuery!$D$2:$E$540,2,FALSE),"")</f>
        <v/>
      </c>
      <c r="R350" s="1" t="s">
        <v>1586</v>
      </c>
      <c r="S350" s="1">
        <f>IFERROR(VLOOKUP(C350,[1]meteoriteQuery!$D$2:$F$517,1,FALSE),"")</f>
        <v>49882</v>
      </c>
    </row>
    <row r="351" spans="1:19" x14ac:dyDescent="0.25">
      <c r="A351" s="1">
        <v>316</v>
      </c>
      <c r="B351" s="1" t="s">
        <v>1589</v>
      </c>
      <c r="C351" s="1">
        <v>49883</v>
      </c>
      <c r="D351" s="1" t="s">
        <v>1587</v>
      </c>
      <c r="E351" s="1" t="s">
        <v>1588</v>
      </c>
      <c r="F351" s="1">
        <v>7</v>
      </c>
      <c r="G351" s="1" t="s">
        <v>14</v>
      </c>
      <c r="H351" s="1" t="s">
        <v>1590</v>
      </c>
      <c r="I351" s="1"/>
      <c r="J351" s="1">
        <v>49880</v>
      </c>
      <c r="K351" s="1" t="str">
        <f t="shared" si="10"/>
        <v>1:1:49880:3</v>
      </c>
      <c r="L351" s="1">
        <v>0</v>
      </c>
      <c r="M351" s="3" t="str">
        <f t="shared" si="11"/>
        <v/>
      </c>
      <c r="N351" s="1">
        <v>0</v>
      </c>
      <c r="O351" s="1" t="s">
        <v>2249</v>
      </c>
      <c r="P351" s="3" t="str" cm="1">
        <f t="array" ref="P351">IFERROR(mindat_longid(O351),"")</f>
        <v/>
      </c>
      <c r="Q351" s="1" t="str">
        <f>IFERROR(VLOOKUP(O351, [1]meteoriteQuery!$D$2:$E$540,2,FALSE),"")</f>
        <v/>
      </c>
      <c r="R351" s="1" t="s">
        <v>1591</v>
      </c>
      <c r="S351" s="1">
        <f>IFERROR(VLOOKUP(C351,[1]meteoriteQuery!$D$2:$F$517,1,FALSE),"")</f>
        <v>49883</v>
      </c>
    </row>
    <row r="352" spans="1:19" x14ac:dyDescent="0.25">
      <c r="A352" s="1">
        <v>317</v>
      </c>
      <c r="B352" s="1" t="s">
        <v>1594</v>
      </c>
      <c r="C352" s="1">
        <v>49884</v>
      </c>
      <c r="D352" s="1" t="s">
        <v>1592</v>
      </c>
      <c r="E352" s="1" t="s">
        <v>1593</v>
      </c>
      <c r="F352" s="1">
        <v>7</v>
      </c>
      <c r="G352" s="1" t="s">
        <v>14</v>
      </c>
      <c r="H352" s="1" t="s">
        <v>1595</v>
      </c>
      <c r="I352" s="1"/>
      <c r="J352" s="1">
        <v>49880</v>
      </c>
      <c r="K352" s="1" t="str">
        <f t="shared" si="10"/>
        <v>1:1:49880:3</v>
      </c>
      <c r="L352" s="1">
        <v>0</v>
      </c>
      <c r="M352" s="3" t="str">
        <f t="shared" si="11"/>
        <v/>
      </c>
      <c r="N352" s="1">
        <v>0</v>
      </c>
      <c r="O352" s="1" t="s">
        <v>2249</v>
      </c>
      <c r="P352" s="3" t="str" cm="1">
        <f t="array" ref="P352">IFERROR(mindat_longid(O352),"")</f>
        <v/>
      </c>
      <c r="Q352" s="1" t="str">
        <f>IFERROR(VLOOKUP(O352, [1]meteoriteQuery!$D$2:$E$540,2,FALSE),"")</f>
        <v/>
      </c>
      <c r="R352" s="1" t="s">
        <v>1596</v>
      </c>
      <c r="S352" s="1">
        <f>IFERROR(VLOOKUP(C352,[1]meteoriteQuery!$D$2:$F$517,1,FALSE),"")</f>
        <v>49884</v>
      </c>
    </row>
    <row r="353" spans="1:19" x14ac:dyDescent="0.25">
      <c r="A353" s="1">
        <v>318</v>
      </c>
      <c r="B353" s="1" t="s">
        <v>1599</v>
      </c>
      <c r="C353" s="1">
        <v>49885</v>
      </c>
      <c r="D353" s="1" t="s">
        <v>1597</v>
      </c>
      <c r="E353" s="2" t="s">
        <v>1598</v>
      </c>
      <c r="F353" s="1">
        <v>7</v>
      </c>
      <c r="G353" s="1" t="s">
        <v>14</v>
      </c>
      <c r="H353" s="1" t="s">
        <v>1600</v>
      </c>
      <c r="I353" s="1"/>
      <c r="J353" s="1">
        <v>49880</v>
      </c>
      <c r="K353" s="1" t="str">
        <f t="shared" si="10"/>
        <v>1:1:49880:3</v>
      </c>
      <c r="L353" s="1">
        <v>0</v>
      </c>
      <c r="M353" s="3" t="str">
        <f t="shared" si="11"/>
        <v/>
      </c>
      <c r="N353" s="1">
        <v>0</v>
      </c>
      <c r="O353" s="1" t="s">
        <v>2249</v>
      </c>
      <c r="P353" s="3" t="str" cm="1">
        <f t="array" ref="P353">IFERROR(mindat_longid(O353),"")</f>
        <v/>
      </c>
      <c r="Q353" s="1" t="str">
        <f>IFERROR(VLOOKUP(O353, [1]meteoriteQuery!$D$2:$E$540,2,FALSE),"")</f>
        <v/>
      </c>
      <c r="R353" s="1" t="s">
        <v>1601</v>
      </c>
      <c r="S353" s="1">
        <f>IFERROR(VLOOKUP(C353,[1]meteoriteQuery!$D$2:$F$517,1,FALSE),"")</f>
        <v>49885</v>
      </c>
    </row>
    <row r="354" spans="1:19" x14ac:dyDescent="0.25">
      <c r="A354" s="1">
        <v>319</v>
      </c>
      <c r="B354" s="1" t="s">
        <v>1604</v>
      </c>
      <c r="C354" s="1">
        <v>49886</v>
      </c>
      <c r="D354" s="1" t="s">
        <v>1602</v>
      </c>
      <c r="E354" s="1" t="s">
        <v>1603</v>
      </c>
      <c r="F354" s="1">
        <v>7</v>
      </c>
      <c r="G354" s="1" t="s">
        <v>14</v>
      </c>
      <c r="H354" s="1" t="s">
        <v>1605</v>
      </c>
      <c r="I354" s="1"/>
      <c r="J354" s="1">
        <v>49882</v>
      </c>
      <c r="K354" s="1" t="str">
        <f t="shared" si="10"/>
        <v>1:1:49882:1</v>
      </c>
      <c r="L354" s="1">
        <v>0</v>
      </c>
      <c r="M354" s="3" t="str">
        <f t="shared" si="11"/>
        <v/>
      </c>
      <c r="N354" s="1">
        <v>0</v>
      </c>
      <c r="O354" s="1" t="s">
        <v>2249</v>
      </c>
      <c r="P354" s="3" t="str" cm="1">
        <f t="array" ref="P354">IFERROR(mindat_longid(O354),"")</f>
        <v/>
      </c>
      <c r="Q354" s="1" t="str">
        <f>IFERROR(VLOOKUP(O354, [1]meteoriteQuery!$D$2:$E$540,2,FALSE),"")</f>
        <v/>
      </c>
      <c r="R354" s="1" t="s">
        <v>1606</v>
      </c>
      <c r="S354" s="1">
        <f>IFERROR(VLOOKUP(C354,[1]meteoriteQuery!$D$2:$F$517,1,FALSE),"")</f>
        <v>49886</v>
      </c>
    </row>
    <row r="355" spans="1:19" x14ac:dyDescent="0.25">
      <c r="A355" s="1">
        <v>320</v>
      </c>
      <c r="B355" s="1" t="s">
        <v>1609</v>
      </c>
      <c r="C355" s="1">
        <v>49887</v>
      </c>
      <c r="D355" s="1" t="s">
        <v>1607</v>
      </c>
      <c r="E355" s="1" t="s">
        <v>1608</v>
      </c>
      <c r="F355" s="1">
        <v>7</v>
      </c>
      <c r="G355" s="1" t="s">
        <v>14</v>
      </c>
      <c r="H355" s="1" t="s">
        <v>1610</v>
      </c>
      <c r="I355" s="1"/>
      <c r="J355" s="1">
        <v>49882</v>
      </c>
      <c r="K355" s="1" t="str">
        <f t="shared" si="10"/>
        <v>1:1:49882:1</v>
      </c>
      <c r="L355" s="1">
        <v>0</v>
      </c>
      <c r="M355" s="3" t="str">
        <f t="shared" si="11"/>
        <v/>
      </c>
      <c r="N355" s="1">
        <v>0</v>
      </c>
      <c r="O355" s="1" t="s">
        <v>2249</v>
      </c>
      <c r="P355" s="3" t="str" cm="1">
        <f t="array" ref="P355">IFERROR(mindat_longid(O355),"")</f>
        <v/>
      </c>
      <c r="Q355" s="1" t="str">
        <f>IFERROR(VLOOKUP(O355, [1]meteoriteQuery!$D$2:$E$540,2,FALSE),"")</f>
        <v/>
      </c>
      <c r="R355" s="1" t="s">
        <v>1611</v>
      </c>
      <c r="S355" s="1">
        <f>IFERROR(VLOOKUP(C355,[1]meteoriteQuery!$D$2:$F$517,1,FALSE),"")</f>
        <v>49887</v>
      </c>
    </row>
    <row r="356" spans="1:19" x14ac:dyDescent="0.25">
      <c r="A356" s="1">
        <v>321</v>
      </c>
      <c r="B356" s="1" t="s">
        <v>1614</v>
      </c>
      <c r="C356" s="1">
        <v>49888</v>
      </c>
      <c r="D356" s="1" t="s">
        <v>1612</v>
      </c>
      <c r="E356" s="1" t="s">
        <v>1613</v>
      </c>
      <c r="F356" s="1">
        <v>7</v>
      </c>
      <c r="G356" s="1" t="s">
        <v>14</v>
      </c>
      <c r="H356" s="1" t="s">
        <v>1615</v>
      </c>
      <c r="I356" s="1"/>
      <c r="J356" s="1">
        <v>49880</v>
      </c>
      <c r="K356" s="1" t="str">
        <f t="shared" si="10"/>
        <v>1:1:49880:3</v>
      </c>
      <c r="L356" s="1">
        <v>0</v>
      </c>
      <c r="M356" s="3" t="str">
        <f t="shared" si="11"/>
        <v/>
      </c>
      <c r="N356" s="1">
        <v>1</v>
      </c>
      <c r="O356" s="1" t="s">
        <v>2249</v>
      </c>
      <c r="P356" s="3" t="str" cm="1">
        <f t="array" ref="P356">IFERROR(mindat_longid(O356),"")</f>
        <v/>
      </c>
      <c r="Q356" s="1" t="str">
        <f>IFERROR(VLOOKUP(O356, [1]meteoriteQuery!$D$2:$E$540,2,FALSE),"")</f>
        <v/>
      </c>
      <c r="R356" s="1" t="s">
        <v>1616</v>
      </c>
      <c r="S356" s="1">
        <f>IFERROR(VLOOKUP(C356,[1]meteoriteQuery!$D$2:$F$517,1,FALSE),"")</f>
        <v>49888</v>
      </c>
    </row>
    <row r="357" spans="1:19" x14ac:dyDescent="0.25">
      <c r="A357" s="1">
        <v>322</v>
      </c>
      <c r="B357" s="1" t="s">
        <v>1619</v>
      </c>
      <c r="C357" s="1">
        <v>49889</v>
      </c>
      <c r="D357" s="1" t="s">
        <v>1617</v>
      </c>
      <c r="E357" s="1" t="s">
        <v>1618</v>
      </c>
      <c r="F357" s="1">
        <v>7</v>
      </c>
      <c r="G357" s="1" t="s">
        <v>14</v>
      </c>
      <c r="H357" s="1" t="s">
        <v>1620</v>
      </c>
      <c r="I357" s="1"/>
      <c r="J357" s="1">
        <v>49877</v>
      </c>
      <c r="K357" s="1" t="str">
        <f t="shared" si="10"/>
        <v>1:1:49877:9</v>
      </c>
      <c r="L357" s="1">
        <v>0</v>
      </c>
      <c r="M357" s="3" t="str">
        <f t="shared" si="11"/>
        <v/>
      </c>
      <c r="N357" s="1">
        <v>1</v>
      </c>
      <c r="O357" s="1" t="s">
        <v>2249</v>
      </c>
      <c r="P357" s="3" t="str" cm="1">
        <f t="array" ref="P357">IFERROR(mindat_longid(O357),"")</f>
        <v/>
      </c>
      <c r="Q357" s="1" t="str">
        <f>IFERROR(VLOOKUP(O357, [1]meteoriteQuery!$D$2:$E$540,2,FALSE),"")</f>
        <v/>
      </c>
      <c r="R357" s="1" t="s">
        <v>1621</v>
      </c>
      <c r="S357" s="1">
        <f>IFERROR(VLOOKUP(C357,[1]meteoriteQuery!$D$2:$F$517,1,FALSE),"")</f>
        <v>49889</v>
      </c>
    </row>
    <row r="358" spans="1:19" x14ac:dyDescent="0.25">
      <c r="A358" s="1">
        <v>323</v>
      </c>
      <c r="B358" s="1" t="s">
        <v>1624</v>
      </c>
      <c r="C358" s="1">
        <v>49890</v>
      </c>
      <c r="D358" s="1" t="s">
        <v>1622</v>
      </c>
      <c r="E358" s="1" t="s">
        <v>1623</v>
      </c>
      <c r="F358" s="1">
        <v>7</v>
      </c>
      <c r="G358" s="1" t="s">
        <v>14</v>
      </c>
      <c r="H358" s="1" t="s">
        <v>1625</v>
      </c>
      <c r="I358" s="1"/>
      <c r="J358" s="1">
        <v>49889</v>
      </c>
      <c r="K358" s="1" t="str">
        <f t="shared" si="10"/>
        <v>1:1:49889:4</v>
      </c>
      <c r="L358" s="1">
        <v>0</v>
      </c>
      <c r="M358" s="3" t="str">
        <f t="shared" si="11"/>
        <v/>
      </c>
      <c r="N358" s="1">
        <v>0</v>
      </c>
      <c r="O358" s="1" t="s">
        <v>2249</v>
      </c>
      <c r="P358" s="3" t="str" cm="1">
        <f t="array" ref="P358">IFERROR(mindat_longid(O358),"")</f>
        <v/>
      </c>
      <c r="Q358" s="1" t="str">
        <f>IFERROR(VLOOKUP(O358, [1]meteoriteQuery!$D$2:$E$540,2,FALSE),"")</f>
        <v/>
      </c>
      <c r="R358" s="1" t="s">
        <v>1626</v>
      </c>
      <c r="S358" s="1">
        <f>IFERROR(VLOOKUP(C358,[1]meteoriteQuery!$D$2:$F$517,1,FALSE),"")</f>
        <v>49890</v>
      </c>
    </row>
    <row r="359" spans="1:19" x14ac:dyDescent="0.25">
      <c r="A359" s="1">
        <v>324</v>
      </c>
      <c r="B359" s="1" t="s">
        <v>1629</v>
      </c>
      <c r="C359" s="1">
        <v>49891</v>
      </c>
      <c r="D359" s="1" t="s">
        <v>1627</v>
      </c>
      <c r="E359" s="1" t="s">
        <v>1628</v>
      </c>
      <c r="F359" s="1">
        <v>7</v>
      </c>
      <c r="G359" s="1" t="s">
        <v>14</v>
      </c>
      <c r="H359" s="1" t="s">
        <v>1630</v>
      </c>
      <c r="I359" s="1"/>
      <c r="J359" s="1">
        <v>49889</v>
      </c>
      <c r="K359" s="1" t="str">
        <f t="shared" si="10"/>
        <v>1:1:49889:4</v>
      </c>
      <c r="L359" s="1">
        <v>0</v>
      </c>
      <c r="M359" s="3" t="str">
        <f t="shared" si="11"/>
        <v/>
      </c>
      <c r="N359" s="1">
        <v>0</v>
      </c>
      <c r="O359" s="1" t="s">
        <v>2249</v>
      </c>
      <c r="P359" s="3" t="str" cm="1">
        <f t="array" ref="P359">IFERROR(mindat_longid(O359),"")</f>
        <v/>
      </c>
      <c r="Q359" s="1" t="str">
        <f>IFERROR(VLOOKUP(O359, [1]meteoriteQuery!$D$2:$E$540,2,FALSE),"")</f>
        <v/>
      </c>
      <c r="R359" s="1" t="s">
        <v>1631</v>
      </c>
      <c r="S359" s="1">
        <f>IFERROR(VLOOKUP(C359,[1]meteoriteQuery!$D$2:$F$517,1,FALSE),"")</f>
        <v>49891</v>
      </c>
    </row>
    <row r="360" spans="1:19" ht="15.75" x14ac:dyDescent="0.3">
      <c r="A360">
        <v>450</v>
      </c>
      <c r="B360" t="s">
        <v>2438</v>
      </c>
      <c r="C360">
        <v>49892</v>
      </c>
      <c r="D360" t="s">
        <v>2446</v>
      </c>
      <c r="E360" s="5" t="s">
        <v>2463</v>
      </c>
      <c r="H360" t="s">
        <v>2462</v>
      </c>
      <c r="J360">
        <v>49889</v>
      </c>
      <c r="K360" s="5" t="s">
        <v>1617</v>
      </c>
      <c r="M360" s="3" t="str">
        <f t="shared" si="11"/>
        <v/>
      </c>
      <c r="P360" s="3" t="str" cm="1">
        <f t="array" ref="P360">IFERROR(mindat_longid(O360),"")</f>
        <v/>
      </c>
      <c r="Q360" s="1" t="str">
        <f>IFERROR(VLOOKUP(O360, [1]meteoriteQuery!$D$2:$E$540,2,FALSE),"")</f>
        <v/>
      </c>
    </row>
    <row r="361" spans="1:19" ht="15.75" x14ac:dyDescent="0.3">
      <c r="A361">
        <v>446</v>
      </c>
      <c r="B361" t="s">
        <v>2439</v>
      </c>
      <c r="C361">
        <v>49893</v>
      </c>
      <c r="D361" t="s">
        <v>2445</v>
      </c>
      <c r="E361" s="5" t="s">
        <v>2465</v>
      </c>
      <c r="H361" t="s">
        <v>2464</v>
      </c>
      <c r="J361">
        <v>49889</v>
      </c>
      <c r="K361" s="5" t="s">
        <v>1617</v>
      </c>
      <c r="M361" s="3" t="str">
        <f t="shared" si="11"/>
        <v/>
      </c>
      <c r="P361" s="3" t="str" cm="1">
        <f t="array" ref="P361">IFERROR(mindat_longid(O361),"")</f>
        <v/>
      </c>
      <c r="Q361" s="1" t="str">
        <f>IFERROR(VLOOKUP(O361, [1]meteoriteQuery!$D$2:$E$540,2,FALSE),"")</f>
        <v/>
      </c>
    </row>
    <row r="362" spans="1:19" ht="15.75" x14ac:dyDescent="0.3">
      <c r="A362">
        <v>208</v>
      </c>
      <c r="B362" t="s">
        <v>2440</v>
      </c>
      <c r="C362">
        <v>49894</v>
      </c>
      <c r="D362" t="s">
        <v>2443</v>
      </c>
      <c r="E362" s="5" t="s">
        <v>2467</v>
      </c>
      <c r="H362" s="5" t="s">
        <v>2466</v>
      </c>
      <c r="I362" s="5"/>
      <c r="J362">
        <v>49889</v>
      </c>
      <c r="K362" s="5" t="s">
        <v>1617</v>
      </c>
      <c r="M362" s="3" t="str">
        <f t="shared" si="11"/>
        <v/>
      </c>
      <c r="P362" s="3" t="str" cm="1">
        <f t="array" ref="P362">IFERROR(mindat_longid(O362),"")</f>
        <v/>
      </c>
      <c r="Q362" s="1" t="str">
        <f>IFERROR(VLOOKUP(O362, [1]meteoriteQuery!$D$2:$E$540,2,FALSE),"")</f>
        <v/>
      </c>
    </row>
    <row r="363" spans="1:19" ht="15.75" x14ac:dyDescent="0.3">
      <c r="A363">
        <v>440</v>
      </c>
      <c r="B363" t="s">
        <v>2441</v>
      </c>
      <c r="C363">
        <v>49895</v>
      </c>
      <c r="D363" t="s">
        <v>2444</v>
      </c>
      <c r="E363" s="5" t="s">
        <v>2469</v>
      </c>
      <c r="H363" s="5" t="s">
        <v>2468</v>
      </c>
      <c r="I363" s="5"/>
      <c r="J363">
        <v>49889</v>
      </c>
      <c r="K363" s="5" t="s">
        <v>1617</v>
      </c>
      <c r="M363" s="3" t="str">
        <f t="shared" si="11"/>
        <v/>
      </c>
      <c r="P363" s="3" t="str" cm="1">
        <f t="array" ref="P363">IFERROR(mindat_longid(O363),"")</f>
        <v/>
      </c>
      <c r="Q363" s="1" t="str">
        <f>IFERROR(VLOOKUP(O363, [1]meteoriteQuery!$D$2:$E$540,2,FALSE),"")</f>
        <v/>
      </c>
    </row>
    <row r="364" spans="1:19" x14ac:dyDescent="0.25">
      <c r="A364" s="1">
        <v>325</v>
      </c>
      <c r="B364" s="1" t="s">
        <v>1634</v>
      </c>
      <c r="C364" s="1">
        <v>49896</v>
      </c>
      <c r="D364" s="1" t="s">
        <v>1632</v>
      </c>
      <c r="E364" s="1" t="s">
        <v>1633</v>
      </c>
      <c r="F364" s="1">
        <v>7</v>
      </c>
      <c r="G364" s="1" t="s">
        <v>14</v>
      </c>
      <c r="H364" s="1" t="s">
        <v>1635</v>
      </c>
      <c r="I364" s="1"/>
      <c r="J364" s="1">
        <v>49889</v>
      </c>
      <c r="K364" s="1" t="str">
        <f t="shared" si="10"/>
        <v>1:1:49889:4</v>
      </c>
      <c r="L364" s="1">
        <v>0</v>
      </c>
      <c r="M364" s="3" t="str">
        <f t="shared" si="11"/>
        <v/>
      </c>
      <c r="N364" s="1">
        <v>0</v>
      </c>
      <c r="O364" s="1" t="s">
        <v>2249</v>
      </c>
      <c r="P364" s="3" t="str" cm="1">
        <f t="array" ref="P364">IFERROR(mindat_longid(O364),"")</f>
        <v/>
      </c>
      <c r="Q364" s="1" t="str">
        <f>IFERROR(VLOOKUP(O364, [1]meteoriteQuery!$D$2:$E$540,2,FALSE),"")</f>
        <v/>
      </c>
      <c r="R364" s="1" t="s">
        <v>1636</v>
      </c>
      <c r="S364" s="1">
        <f>IFERROR(VLOOKUP(C364,[1]meteoriteQuery!$D$2:$F$517,1,FALSE),"")</f>
        <v>49896</v>
      </c>
    </row>
    <row r="365" spans="1:19" x14ac:dyDescent="0.25">
      <c r="A365" s="1">
        <v>326</v>
      </c>
      <c r="B365" s="1" t="s">
        <v>1639</v>
      </c>
      <c r="C365" s="1">
        <v>49898</v>
      </c>
      <c r="D365" s="1" t="s">
        <v>1637</v>
      </c>
      <c r="E365" s="1" t="s">
        <v>1638</v>
      </c>
      <c r="F365" s="1">
        <v>7</v>
      </c>
      <c r="G365" s="1" t="s">
        <v>14</v>
      </c>
      <c r="H365" s="1" t="s">
        <v>1640</v>
      </c>
      <c r="I365" s="1"/>
      <c r="J365" s="1">
        <v>50269</v>
      </c>
      <c r="K365" s="1" t="str">
        <f t="shared" si="10"/>
        <v>1:1:50269:2</v>
      </c>
      <c r="L365" s="1">
        <v>49963</v>
      </c>
      <c r="M365" s="3" t="str">
        <f t="shared" si="11"/>
        <v>1:1:49963:5</v>
      </c>
      <c r="N365" s="1">
        <v>1</v>
      </c>
      <c r="O365" s="1" t="s">
        <v>2249</v>
      </c>
      <c r="P365" s="3" t="str" cm="1">
        <f t="array" ref="P365">IFERROR(mindat_longid(O365),"")</f>
        <v/>
      </c>
      <c r="Q365" s="1" t="str">
        <f>IFERROR(VLOOKUP(O365, [1]meteoriteQuery!$D$2:$E$540,2,FALSE),"")</f>
        <v/>
      </c>
      <c r="R365" s="1" t="s">
        <v>1641</v>
      </c>
      <c r="S365" s="1">
        <f>IFERROR(VLOOKUP(C365,[1]meteoriteQuery!$D$2:$F$517,1,FALSE),"")</f>
        <v>49898</v>
      </c>
    </row>
    <row r="366" spans="1:19" x14ac:dyDescent="0.25">
      <c r="A366" s="1">
        <v>327</v>
      </c>
      <c r="B366" s="1" t="s">
        <v>1644</v>
      </c>
      <c r="C366" s="1">
        <v>49899</v>
      </c>
      <c r="D366" s="1" t="s">
        <v>1642</v>
      </c>
      <c r="E366" s="1" t="s">
        <v>1643</v>
      </c>
      <c r="F366" s="1">
        <v>7</v>
      </c>
      <c r="G366" s="1" t="s">
        <v>14</v>
      </c>
      <c r="H366" s="1" t="s">
        <v>1645</v>
      </c>
      <c r="I366" s="1"/>
      <c r="J366" s="1">
        <v>49898</v>
      </c>
      <c r="K366" s="1" t="str">
        <f t="shared" si="10"/>
        <v>1:1:49898:2</v>
      </c>
      <c r="L366" s="1">
        <v>0</v>
      </c>
      <c r="M366" s="3" t="str">
        <f t="shared" si="11"/>
        <v/>
      </c>
      <c r="N366" s="1">
        <v>1</v>
      </c>
      <c r="O366" s="1" t="s">
        <v>2249</v>
      </c>
      <c r="P366" s="3" t="str" cm="1">
        <f t="array" ref="P366">IFERROR(mindat_longid(O366),"")</f>
        <v/>
      </c>
      <c r="Q366" s="1" t="str">
        <f>IFERROR(VLOOKUP(O366, [1]meteoriteQuery!$D$2:$E$540,2,FALSE),"")</f>
        <v/>
      </c>
      <c r="R366" s="1" t="s">
        <v>1646</v>
      </c>
      <c r="S366" s="1">
        <f>IFERROR(VLOOKUP(C366,[1]meteoriteQuery!$D$2:$F$517,1,FALSE),"")</f>
        <v>49899</v>
      </c>
    </row>
    <row r="367" spans="1:19" x14ac:dyDescent="0.25">
      <c r="A367" s="1">
        <v>328</v>
      </c>
      <c r="B367" s="1" t="s">
        <v>1649</v>
      </c>
      <c r="C367" s="1">
        <v>49901</v>
      </c>
      <c r="D367" s="1" t="s">
        <v>1647</v>
      </c>
      <c r="E367" s="1" t="s">
        <v>1648</v>
      </c>
      <c r="F367" s="1">
        <v>7</v>
      </c>
      <c r="G367" s="1" t="s">
        <v>14</v>
      </c>
      <c r="H367" s="1" t="s">
        <v>1650</v>
      </c>
      <c r="I367" s="1"/>
      <c r="J367" s="1">
        <v>49899</v>
      </c>
      <c r="K367" s="1" t="str">
        <f t="shared" si="10"/>
        <v>1:1:49899:1</v>
      </c>
      <c r="L367" s="1">
        <v>0</v>
      </c>
      <c r="M367" s="3" t="str">
        <f t="shared" si="11"/>
        <v/>
      </c>
      <c r="N367" s="1">
        <v>0</v>
      </c>
      <c r="O367" s="1" t="s">
        <v>2249</v>
      </c>
      <c r="P367" s="3" t="str" cm="1">
        <f t="array" ref="P367">IFERROR(mindat_longid(O367),"")</f>
        <v/>
      </c>
      <c r="Q367" s="1" t="str">
        <f>IFERROR(VLOOKUP(O367, [1]meteoriteQuery!$D$2:$E$540,2,FALSE),"")</f>
        <v/>
      </c>
      <c r="R367" s="1" t="s">
        <v>1651</v>
      </c>
      <c r="S367" s="1">
        <f>IFERROR(VLOOKUP(C367,[1]meteoriteQuery!$D$2:$F$517,1,FALSE),"")</f>
        <v>49901</v>
      </c>
    </row>
    <row r="368" spans="1:19" x14ac:dyDescent="0.25">
      <c r="A368" s="1">
        <v>329</v>
      </c>
      <c r="B368" s="1" t="s">
        <v>1654</v>
      </c>
      <c r="C368" s="1">
        <v>49902</v>
      </c>
      <c r="D368" s="1" t="s">
        <v>1652</v>
      </c>
      <c r="E368" s="1" t="s">
        <v>1653</v>
      </c>
      <c r="F368" s="1">
        <v>7</v>
      </c>
      <c r="G368" s="1" t="s">
        <v>14</v>
      </c>
      <c r="H368" s="1" t="s">
        <v>1655</v>
      </c>
      <c r="I368" s="1"/>
      <c r="J368" s="1">
        <v>49898</v>
      </c>
      <c r="K368" s="1" t="str">
        <f t="shared" si="10"/>
        <v>1:1:49898:2</v>
      </c>
      <c r="L368" s="1">
        <v>0</v>
      </c>
      <c r="M368" s="3" t="str">
        <f t="shared" si="11"/>
        <v/>
      </c>
      <c r="N368" s="1">
        <v>1</v>
      </c>
      <c r="O368" s="1" t="s">
        <v>2249</v>
      </c>
      <c r="P368" s="3" t="str" cm="1">
        <f t="array" ref="P368">IFERROR(mindat_longid(O368),"")</f>
        <v/>
      </c>
      <c r="Q368" s="1" t="str">
        <f>IFERROR(VLOOKUP(O368, [1]meteoriteQuery!$D$2:$E$540,2,FALSE),"")</f>
        <v/>
      </c>
      <c r="R368" s="1" t="s">
        <v>1656</v>
      </c>
      <c r="S368" s="1">
        <f>IFERROR(VLOOKUP(C368,[1]meteoriteQuery!$D$2:$F$517,1,FALSE),"")</f>
        <v>49902</v>
      </c>
    </row>
    <row r="369" spans="1:19" x14ac:dyDescent="0.25">
      <c r="A369" s="1">
        <v>23</v>
      </c>
      <c r="B369" s="1" t="s">
        <v>2420</v>
      </c>
      <c r="C369" s="3">
        <v>49904</v>
      </c>
      <c r="D369" s="1" t="s">
        <v>2421</v>
      </c>
      <c r="E369" s="1" t="s">
        <v>2422</v>
      </c>
      <c r="F369" s="1">
        <v>7</v>
      </c>
      <c r="G369" s="1" t="s">
        <v>14</v>
      </c>
      <c r="H369" s="1" t="s">
        <v>2423</v>
      </c>
      <c r="I369" s="1"/>
      <c r="J369" s="3">
        <v>49898</v>
      </c>
      <c r="K369" s="1" t="str">
        <f t="shared" si="10"/>
        <v>1:1:49898:2</v>
      </c>
      <c r="L369" s="1">
        <v>0</v>
      </c>
      <c r="M369" s="3" t="str">
        <f t="shared" si="11"/>
        <v/>
      </c>
      <c r="N369" s="1">
        <v>1</v>
      </c>
      <c r="O369" s="1"/>
      <c r="P369" s="3" t="str" cm="1">
        <f t="array" ref="P369">IFERROR(mindat_longid(O369),"")</f>
        <v/>
      </c>
      <c r="Q369" s="1" t="str">
        <f>IFERROR(VLOOKUP(O369, [1]meteoriteQuery!$D$2:$E$540,2,FALSE),"")</f>
        <v/>
      </c>
      <c r="R369" s="1"/>
    </row>
    <row r="370" spans="1:19" x14ac:dyDescent="0.25">
      <c r="A370" s="1">
        <v>330</v>
      </c>
      <c r="B370" s="1" t="s">
        <v>1659</v>
      </c>
      <c r="C370" s="1">
        <v>49905</v>
      </c>
      <c r="D370" s="1" t="s">
        <v>1657</v>
      </c>
      <c r="E370" s="1" t="s">
        <v>1658</v>
      </c>
      <c r="F370" s="1">
        <v>7</v>
      </c>
      <c r="G370" s="1" t="s">
        <v>14</v>
      </c>
      <c r="H370" s="1" t="s">
        <v>1660</v>
      </c>
      <c r="I370" s="1"/>
      <c r="J370" s="1">
        <v>50269</v>
      </c>
      <c r="K370" s="1" t="str">
        <f t="shared" si="10"/>
        <v>1:1:50269:2</v>
      </c>
      <c r="L370" s="1">
        <v>49960</v>
      </c>
      <c r="M370" s="3" t="str">
        <f t="shared" si="11"/>
        <v>1:1:49960:8</v>
      </c>
      <c r="N370" s="1">
        <v>1</v>
      </c>
      <c r="O370" s="1" t="s">
        <v>2249</v>
      </c>
      <c r="P370" s="3" t="str" cm="1">
        <f t="array" ref="P370">IFERROR(mindat_longid(O370),"")</f>
        <v/>
      </c>
      <c r="Q370" s="1" t="str">
        <f>IFERROR(VLOOKUP(O370, [1]meteoriteQuery!$D$2:$E$540,2,FALSE),"")</f>
        <v/>
      </c>
      <c r="R370" s="1" t="s">
        <v>1661</v>
      </c>
      <c r="S370" s="1">
        <f>IFERROR(VLOOKUP(C370,[1]meteoriteQuery!$D$2:$F$517,1,FALSE),"")</f>
        <v>49905</v>
      </c>
    </row>
    <row r="371" spans="1:19" x14ac:dyDescent="0.25">
      <c r="A371" s="1">
        <v>331</v>
      </c>
      <c r="B371" s="1" t="s">
        <v>1664</v>
      </c>
      <c r="C371" s="1">
        <v>49906</v>
      </c>
      <c r="D371" s="1" t="s">
        <v>1662</v>
      </c>
      <c r="E371" s="1" t="s">
        <v>1663</v>
      </c>
      <c r="F371" s="1">
        <v>7</v>
      </c>
      <c r="G371" s="1" t="s">
        <v>14</v>
      </c>
      <c r="H371" s="1" t="s">
        <v>1665</v>
      </c>
      <c r="I371" s="1"/>
      <c r="J371" s="1">
        <v>49905</v>
      </c>
      <c r="K371" s="1" t="str">
        <f t="shared" si="10"/>
        <v>1:1:49905:1</v>
      </c>
      <c r="L371" s="1">
        <v>0</v>
      </c>
      <c r="M371" s="3" t="str">
        <f t="shared" si="11"/>
        <v/>
      </c>
      <c r="N371" s="1">
        <v>1</v>
      </c>
      <c r="O371" s="1" t="s">
        <v>2249</v>
      </c>
      <c r="P371" s="3" t="str" cm="1">
        <f t="array" ref="P371">IFERROR(mindat_longid(O371),"")</f>
        <v/>
      </c>
      <c r="Q371" s="1" t="str">
        <f>IFERROR(VLOOKUP(O371, [1]meteoriteQuery!$D$2:$E$540,2,FALSE),"")</f>
        <v/>
      </c>
      <c r="R371" s="1" t="s">
        <v>1666</v>
      </c>
      <c r="S371" s="1">
        <f>IFERROR(VLOOKUP(C371,[1]meteoriteQuery!$D$2:$F$517,1,FALSE),"")</f>
        <v>49906</v>
      </c>
    </row>
    <row r="372" spans="1:19" x14ac:dyDescent="0.25">
      <c r="A372" s="1">
        <v>332</v>
      </c>
      <c r="B372" s="1" t="s">
        <v>1669</v>
      </c>
      <c r="C372" s="1">
        <v>49907</v>
      </c>
      <c r="D372" s="1" t="s">
        <v>1667</v>
      </c>
      <c r="E372" s="1" t="s">
        <v>1668</v>
      </c>
      <c r="F372" s="1">
        <v>7</v>
      </c>
      <c r="G372" s="1" t="s">
        <v>14</v>
      </c>
      <c r="H372" s="1" t="s">
        <v>1670</v>
      </c>
      <c r="I372" s="1"/>
      <c r="J372" s="1">
        <v>49906</v>
      </c>
      <c r="K372" s="1" t="str">
        <f t="shared" si="10"/>
        <v>1:1:49906:0</v>
      </c>
      <c r="L372" s="1">
        <v>0</v>
      </c>
      <c r="M372" s="3" t="str">
        <f t="shared" si="11"/>
        <v/>
      </c>
      <c r="N372" s="1">
        <v>1</v>
      </c>
      <c r="O372" s="1" t="s">
        <v>2249</v>
      </c>
      <c r="P372" s="3" t="str" cm="1">
        <f t="array" ref="P372">IFERROR(mindat_longid(O372),"")</f>
        <v/>
      </c>
      <c r="Q372" s="1" t="str">
        <f>IFERROR(VLOOKUP(O372, [1]meteoriteQuery!$D$2:$E$540,2,FALSE),"")</f>
        <v/>
      </c>
      <c r="R372" s="1" t="s">
        <v>1671</v>
      </c>
      <c r="S372" s="1">
        <f>IFERROR(VLOOKUP(C372,[1]meteoriteQuery!$D$2:$F$517,1,FALSE),"")</f>
        <v>49907</v>
      </c>
    </row>
    <row r="373" spans="1:19" x14ac:dyDescent="0.25">
      <c r="A373" s="1">
        <v>333</v>
      </c>
      <c r="B373" s="1" t="s">
        <v>1674</v>
      </c>
      <c r="C373" s="1">
        <v>49908</v>
      </c>
      <c r="D373" s="1" t="s">
        <v>1672</v>
      </c>
      <c r="E373" s="1" t="s">
        <v>1673</v>
      </c>
      <c r="F373" s="1">
        <v>7</v>
      </c>
      <c r="G373" s="1" t="s">
        <v>14</v>
      </c>
      <c r="H373" s="1" t="s">
        <v>1675</v>
      </c>
      <c r="I373" s="1"/>
      <c r="J373" s="1">
        <v>49906</v>
      </c>
      <c r="K373" s="1" t="str">
        <f t="shared" si="10"/>
        <v>1:1:49906:0</v>
      </c>
      <c r="L373" s="1">
        <v>0</v>
      </c>
      <c r="M373" s="3" t="str">
        <f t="shared" si="11"/>
        <v/>
      </c>
      <c r="N373" s="1">
        <v>1</v>
      </c>
      <c r="O373" s="1" t="s">
        <v>2249</v>
      </c>
      <c r="P373" s="3" t="str" cm="1">
        <f t="array" ref="P373">IFERROR(mindat_longid(O373),"")</f>
        <v/>
      </c>
      <c r="Q373" s="1" t="str">
        <f>IFERROR(VLOOKUP(O373, [1]meteoriteQuery!$D$2:$E$540,2,FALSE),"")</f>
        <v/>
      </c>
      <c r="R373" s="1" t="s">
        <v>1676</v>
      </c>
      <c r="S373" s="1">
        <f>IFERROR(VLOOKUP(C373,[1]meteoriteQuery!$D$2:$F$517,1,FALSE),"")</f>
        <v>49908</v>
      </c>
    </row>
    <row r="374" spans="1:19" x14ac:dyDescent="0.25">
      <c r="A374" s="1">
        <v>334</v>
      </c>
      <c r="B374" s="1" t="s">
        <v>1679</v>
      </c>
      <c r="C374" s="1">
        <v>49909</v>
      </c>
      <c r="D374" s="1" t="s">
        <v>1677</v>
      </c>
      <c r="E374" s="1" t="s">
        <v>1678</v>
      </c>
      <c r="F374" s="1">
        <v>7</v>
      </c>
      <c r="G374" s="1" t="s">
        <v>14</v>
      </c>
      <c r="H374" s="1" t="s">
        <v>1680</v>
      </c>
      <c r="I374" s="1"/>
      <c r="J374" s="1">
        <v>49906</v>
      </c>
      <c r="K374" s="1" t="str">
        <f t="shared" si="10"/>
        <v>1:1:49906:0</v>
      </c>
      <c r="L374" s="1">
        <v>0</v>
      </c>
      <c r="M374" s="3" t="str">
        <f t="shared" si="11"/>
        <v/>
      </c>
      <c r="N374" s="1">
        <v>1</v>
      </c>
      <c r="O374" s="1" t="s">
        <v>2249</v>
      </c>
      <c r="P374" s="3" t="str" cm="1">
        <f t="array" ref="P374">IFERROR(mindat_longid(O374),"")</f>
        <v/>
      </c>
      <c r="Q374" s="1" t="str">
        <f>IFERROR(VLOOKUP(O374, [1]meteoriteQuery!$D$2:$E$540,2,FALSE),"")</f>
        <v/>
      </c>
      <c r="R374" s="1" t="s">
        <v>1681</v>
      </c>
      <c r="S374" s="1">
        <f>IFERROR(VLOOKUP(C374,[1]meteoriteQuery!$D$2:$F$517,1,FALSE),"")</f>
        <v>49909</v>
      </c>
    </row>
    <row r="375" spans="1:19" x14ac:dyDescent="0.25">
      <c r="A375" s="1">
        <v>335</v>
      </c>
      <c r="B375" s="1" t="s">
        <v>1684</v>
      </c>
      <c r="C375" s="1">
        <v>49910</v>
      </c>
      <c r="D375" s="1" t="s">
        <v>1682</v>
      </c>
      <c r="E375" s="1" t="s">
        <v>1683</v>
      </c>
      <c r="F375" s="1">
        <v>7</v>
      </c>
      <c r="G375" s="1" t="s">
        <v>14</v>
      </c>
      <c r="H375" s="1" t="s">
        <v>1685</v>
      </c>
      <c r="I375" s="1"/>
      <c r="J375" s="1">
        <v>49906</v>
      </c>
      <c r="K375" s="1" t="str">
        <f t="shared" si="10"/>
        <v>1:1:49906:0</v>
      </c>
      <c r="L375" s="1">
        <v>0</v>
      </c>
      <c r="M375" s="3" t="str">
        <f t="shared" si="11"/>
        <v/>
      </c>
      <c r="N375" s="1">
        <v>1</v>
      </c>
      <c r="O375" s="1" t="s">
        <v>2249</v>
      </c>
      <c r="P375" s="3" t="str" cm="1">
        <f t="array" ref="P375">IFERROR(mindat_longid(O375),"")</f>
        <v/>
      </c>
      <c r="Q375" s="1" t="str">
        <f>IFERROR(VLOOKUP(O375, [1]meteoriteQuery!$D$2:$E$540,2,FALSE),"")</f>
        <v/>
      </c>
      <c r="R375" s="1" t="s">
        <v>1686</v>
      </c>
      <c r="S375" s="1">
        <f>IFERROR(VLOOKUP(C375,[1]meteoriteQuery!$D$2:$F$517,1,FALSE),"")</f>
        <v>49910</v>
      </c>
    </row>
    <row r="376" spans="1:19" x14ac:dyDescent="0.25">
      <c r="A376" s="1">
        <v>336</v>
      </c>
      <c r="B376" s="1" t="s">
        <v>1689</v>
      </c>
      <c r="C376" s="1">
        <v>49911</v>
      </c>
      <c r="D376" s="1" t="s">
        <v>1687</v>
      </c>
      <c r="E376" s="1" t="s">
        <v>1688</v>
      </c>
      <c r="F376" s="1">
        <v>7</v>
      </c>
      <c r="G376" s="1" t="s">
        <v>14</v>
      </c>
      <c r="H376" s="1" t="s">
        <v>1690</v>
      </c>
      <c r="I376" s="1"/>
      <c r="J376" s="1">
        <v>49906</v>
      </c>
      <c r="K376" s="1" t="str">
        <f t="shared" si="10"/>
        <v>1:1:49906:0</v>
      </c>
      <c r="L376" s="1">
        <v>0</v>
      </c>
      <c r="M376" s="3" t="str">
        <f t="shared" si="11"/>
        <v/>
      </c>
      <c r="N376" s="1">
        <v>0</v>
      </c>
      <c r="O376" s="1" t="s">
        <v>2249</v>
      </c>
      <c r="P376" s="3" t="str" cm="1">
        <f t="array" ref="P376">IFERROR(mindat_longid(O376),"")</f>
        <v/>
      </c>
      <c r="Q376" s="1" t="str">
        <f>IFERROR(VLOOKUP(O376, [1]meteoriteQuery!$D$2:$E$540,2,FALSE),"")</f>
        <v/>
      </c>
      <c r="R376" s="1" t="s">
        <v>1691</v>
      </c>
      <c r="S376" s="1">
        <f>IFERROR(VLOOKUP(C376,[1]meteoriteQuery!$D$2:$F$517,1,FALSE),"")</f>
        <v>49911</v>
      </c>
    </row>
    <row r="377" spans="1:19" x14ac:dyDescent="0.25">
      <c r="A377" s="1">
        <v>337</v>
      </c>
      <c r="B377" s="1" t="s">
        <v>1694</v>
      </c>
      <c r="C377" s="1">
        <v>49912</v>
      </c>
      <c r="D377" s="1" t="s">
        <v>1692</v>
      </c>
      <c r="E377" s="1" t="s">
        <v>1693</v>
      </c>
      <c r="F377" s="1">
        <v>7</v>
      </c>
      <c r="G377" s="1" t="s">
        <v>14</v>
      </c>
      <c r="H377" s="1" t="s">
        <v>1695</v>
      </c>
      <c r="I377" s="1"/>
      <c r="J377" s="1">
        <v>49905</v>
      </c>
      <c r="K377" s="1" t="str">
        <f t="shared" si="10"/>
        <v>1:1:49905:1</v>
      </c>
      <c r="L377" s="1">
        <v>0</v>
      </c>
      <c r="M377" s="3" t="str">
        <f t="shared" si="11"/>
        <v/>
      </c>
      <c r="N377" s="1">
        <v>1</v>
      </c>
      <c r="O377" s="1" t="s">
        <v>2249</v>
      </c>
      <c r="P377" s="3" t="str" cm="1">
        <f t="array" ref="P377">IFERROR(mindat_longid(O377),"")</f>
        <v/>
      </c>
      <c r="Q377" s="1" t="str">
        <f>IFERROR(VLOOKUP(O377, [1]meteoriteQuery!$D$2:$E$540,2,FALSE),"")</f>
        <v/>
      </c>
      <c r="R377" s="1" t="s">
        <v>1696</v>
      </c>
      <c r="S377" s="1">
        <f>IFERROR(VLOOKUP(C377,[1]meteoriteQuery!$D$2:$F$517,1,FALSE),"")</f>
        <v>49912</v>
      </c>
    </row>
    <row r="378" spans="1:19" x14ac:dyDescent="0.25">
      <c r="A378" s="1">
        <v>338</v>
      </c>
      <c r="B378" s="1" t="s">
        <v>1699</v>
      </c>
      <c r="C378" s="1">
        <v>49913</v>
      </c>
      <c r="D378" s="1" t="s">
        <v>1697</v>
      </c>
      <c r="E378" s="1" t="s">
        <v>1698</v>
      </c>
      <c r="F378" s="1">
        <v>7</v>
      </c>
      <c r="G378" s="1" t="s">
        <v>14</v>
      </c>
      <c r="H378" s="1" t="s">
        <v>1700</v>
      </c>
      <c r="I378" s="1"/>
      <c r="J378" s="1">
        <v>49912</v>
      </c>
      <c r="K378" s="1" t="str">
        <f t="shared" si="10"/>
        <v>1:1:49912:1</v>
      </c>
      <c r="L378" s="1">
        <v>0</v>
      </c>
      <c r="M378" s="3" t="str">
        <f t="shared" si="11"/>
        <v/>
      </c>
      <c r="N378" s="1">
        <v>1</v>
      </c>
      <c r="O378" s="1" t="s">
        <v>2249</v>
      </c>
      <c r="P378" s="3" t="str" cm="1">
        <f t="array" ref="P378">IFERROR(mindat_longid(O378),"")</f>
        <v/>
      </c>
      <c r="Q378" s="1" t="str">
        <f>IFERROR(VLOOKUP(O378, [1]meteoriteQuery!$D$2:$E$540,2,FALSE),"")</f>
        <v/>
      </c>
      <c r="R378" s="1" t="s">
        <v>1701</v>
      </c>
      <c r="S378" s="1">
        <f>IFERROR(VLOOKUP(C378,[1]meteoriteQuery!$D$2:$F$517,1,FALSE),"")</f>
        <v>49913</v>
      </c>
    </row>
    <row r="379" spans="1:19" x14ac:dyDescent="0.25">
      <c r="A379" s="1">
        <v>339</v>
      </c>
      <c r="B379" s="1" t="s">
        <v>1704</v>
      </c>
      <c r="C379" s="1">
        <v>49914</v>
      </c>
      <c r="D379" s="1" t="s">
        <v>1702</v>
      </c>
      <c r="E379" s="1" t="s">
        <v>1703</v>
      </c>
      <c r="F379" s="1">
        <v>7</v>
      </c>
      <c r="G379" s="1" t="s">
        <v>14</v>
      </c>
      <c r="H379" s="1" t="s">
        <v>1705</v>
      </c>
      <c r="I379" s="1"/>
      <c r="J379" s="1">
        <v>49912</v>
      </c>
      <c r="K379" s="1" t="str">
        <f t="shared" si="10"/>
        <v>1:1:49912:1</v>
      </c>
      <c r="L379" s="1">
        <v>0</v>
      </c>
      <c r="M379" s="3" t="str">
        <f t="shared" si="11"/>
        <v/>
      </c>
      <c r="N379" s="1">
        <v>1</v>
      </c>
      <c r="O379" s="1" t="s">
        <v>2249</v>
      </c>
      <c r="P379" s="3" t="str" cm="1">
        <f t="array" ref="P379">IFERROR(mindat_longid(O379),"")</f>
        <v/>
      </c>
      <c r="Q379" s="1" t="str">
        <f>IFERROR(VLOOKUP(O379, [1]meteoriteQuery!$D$2:$E$540,2,FALSE),"")</f>
        <v/>
      </c>
      <c r="R379" s="1" t="s">
        <v>1706</v>
      </c>
      <c r="S379" s="1">
        <f>IFERROR(VLOOKUP(C379,[1]meteoriteQuery!$D$2:$F$517,1,FALSE),"")</f>
        <v>49914</v>
      </c>
    </row>
    <row r="380" spans="1:19" x14ac:dyDescent="0.25">
      <c r="A380" s="1">
        <v>340</v>
      </c>
      <c r="B380" s="1" t="s">
        <v>1709</v>
      </c>
      <c r="C380" s="1">
        <v>49915</v>
      </c>
      <c r="D380" s="1" t="s">
        <v>1707</v>
      </c>
      <c r="E380" s="1" t="s">
        <v>1708</v>
      </c>
      <c r="F380" s="1">
        <v>7</v>
      </c>
      <c r="G380" s="1" t="s">
        <v>14</v>
      </c>
      <c r="H380" s="1" t="s">
        <v>1710</v>
      </c>
      <c r="I380" s="1"/>
      <c r="J380" s="1">
        <v>49912</v>
      </c>
      <c r="K380" s="1" t="str">
        <f t="shared" si="10"/>
        <v>1:1:49912:1</v>
      </c>
      <c r="L380" s="1">
        <v>0</v>
      </c>
      <c r="M380" s="3" t="str">
        <f t="shared" si="11"/>
        <v/>
      </c>
      <c r="N380" s="1">
        <v>1</v>
      </c>
      <c r="O380" s="1" t="s">
        <v>2249</v>
      </c>
      <c r="P380" s="3" t="str" cm="1">
        <f t="array" ref="P380">IFERROR(mindat_longid(O380),"")</f>
        <v/>
      </c>
      <c r="Q380" s="1" t="str">
        <f>IFERROR(VLOOKUP(O380, [1]meteoriteQuery!$D$2:$E$540,2,FALSE),"")</f>
        <v/>
      </c>
      <c r="R380" s="1" t="s">
        <v>1711</v>
      </c>
      <c r="S380" s="1">
        <f>IFERROR(VLOOKUP(C380,[1]meteoriteQuery!$D$2:$F$517,1,FALSE),"")</f>
        <v>49915</v>
      </c>
    </row>
    <row r="381" spans="1:19" x14ac:dyDescent="0.25">
      <c r="A381" s="1">
        <v>341</v>
      </c>
      <c r="B381" s="1" t="s">
        <v>1714</v>
      </c>
      <c r="C381" s="1">
        <v>49916</v>
      </c>
      <c r="D381" s="1" t="s">
        <v>1712</v>
      </c>
      <c r="E381" s="1" t="s">
        <v>1713</v>
      </c>
      <c r="F381" s="1">
        <v>7</v>
      </c>
      <c r="G381" s="1" t="s">
        <v>14</v>
      </c>
      <c r="H381" s="1" t="s">
        <v>1715</v>
      </c>
      <c r="I381" s="1"/>
      <c r="J381" s="1">
        <v>49912</v>
      </c>
      <c r="K381" s="1" t="str">
        <f t="shared" si="10"/>
        <v>1:1:49912:1</v>
      </c>
      <c r="L381" s="1">
        <v>0</v>
      </c>
      <c r="M381" s="3" t="str">
        <f t="shared" si="11"/>
        <v/>
      </c>
      <c r="N381" s="1">
        <v>1</v>
      </c>
      <c r="O381" s="1" t="s">
        <v>2249</v>
      </c>
      <c r="P381" s="3" t="str" cm="1">
        <f t="array" ref="P381">IFERROR(mindat_longid(O381),"")</f>
        <v/>
      </c>
      <c r="Q381" s="1" t="str">
        <f>IFERROR(VLOOKUP(O381, [1]meteoriteQuery!$D$2:$E$540,2,FALSE),"")</f>
        <v/>
      </c>
      <c r="R381" s="1" t="s">
        <v>1716</v>
      </c>
      <c r="S381" s="1">
        <f>IFERROR(VLOOKUP(C381,[1]meteoriteQuery!$D$2:$F$517,1,FALSE),"")</f>
        <v>49916</v>
      </c>
    </row>
    <row r="382" spans="1:19" x14ac:dyDescent="0.25">
      <c r="A382" s="1">
        <v>342</v>
      </c>
      <c r="B382" s="1" t="s">
        <v>1719</v>
      </c>
      <c r="C382" s="1">
        <v>49917</v>
      </c>
      <c r="D382" s="1" t="s">
        <v>1717</v>
      </c>
      <c r="E382" s="1" t="s">
        <v>1718</v>
      </c>
      <c r="F382" s="1">
        <v>7</v>
      </c>
      <c r="G382" s="1" t="s">
        <v>14</v>
      </c>
      <c r="H382" s="1" t="s">
        <v>1720</v>
      </c>
      <c r="I382" s="1"/>
      <c r="J382" s="1">
        <v>49905</v>
      </c>
      <c r="K382" s="1" t="str">
        <f t="shared" si="10"/>
        <v>1:1:49905:1</v>
      </c>
      <c r="L382" s="1">
        <v>0</v>
      </c>
      <c r="M382" s="3" t="str">
        <f t="shared" si="11"/>
        <v/>
      </c>
      <c r="N382" s="1">
        <v>1</v>
      </c>
      <c r="O382" s="1" t="s">
        <v>2249</v>
      </c>
      <c r="P382" s="3" t="str" cm="1">
        <f t="array" ref="P382">IFERROR(mindat_longid(O382),"")</f>
        <v/>
      </c>
      <c r="Q382" s="1" t="str">
        <f>IFERROR(VLOOKUP(O382, [1]meteoriteQuery!$D$2:$E$540,2,FALSE),"")</f>
        <v/>
      </c>
      <c r="R382" s="1" t="s">
        <v>1721</v>
      </c>
      <c r="S382" s="1">
        <f>IFERROR(VLOOKUP(C382,[1]meteoriteQuery!$D$2:$F$517,1,FALSE),"")</f>
        <v>49917</v>
      </c>
    </row>
    <row r="383" spans="1:19" x14ac:dyDescent="0.25">
      <c r="A383" s="1">
        <v>343</v>
      </c>
      <c r="B383" s="1" t="s">
        <v>1724</v>
      </c>
      <c r="C383" s="1">
        <v>49918</v>
      </c>
      <c r="D383" s="1" t="s">
        <v>1722</v>
      </c>
      <c r="E383" s="1" t="s">
        <v>1723</v>
      </c>
      <c r="F383" s="1">
        <v>7</v>
      </c>
      <c r="G383" s="1" t="s">
        <v>14</v>
      </c>
      <c r="H383" s="1" t="s">
        <v>1725</v>
      </c>
      <c r="I383" s="1"/>
      <c r="J383" s="1">
        <v>49917</v>
      </c>
      <c r="K383" s="1" t="str">
        <f t="shared" si="10"/>
        <v>1:1:49917:6</v>
      </c>
      <c r="L383" s="1">
        <v>0</v>
      </c>
      <c r="M383" s="3" t="str">
        <f t="shared" si="11"/>
        <v/>
      </c>
      <c r="N383" s="1">
        <v>1</v>
      </c>
      <c r="O383" s="1" t="s">
        <v>2249</v>
      </c>
      <c r="P383" s="3" t="str" cm="1">
        <f t="array" ref="P383">IFERROR(mindat_longid(O383),"")</f>
        <v/>
      </c>
      <c r="Q383" s="1" t="str">
        <f>IFERROR(VLOOKUP(O383, [1]meteoriteQuery!$D$2:$E$540,2,FALSE),"")</f>
        <v/>
      </c>
      <c r="R383" s="1" t="s">
        <v>1726</v>
      </c>
      <c r="S383" s="1">
        <f>IFERROR(VLOOKUP(C383,[1]meteoriteQuery!$D$2:$F$517,1,FALSE),"")</f>
        <v>49918</v>
      </c>
    </row>
    <row r="384" spans="1:19" x14ac:dyDescent="0.25">
      <c r="A384" s="1">
        <v>133</v>
      </c>
      <c r="B384" s="1" t="s">
        <v>2334</v>
      </c>
      <c r="C384" s="3">
        <v>49919</v>
      </c>
      <c r="D384" s="1" t="s">
        <v>2335</v>
      </c>
      <c r="E384" s="1" t="s">
        <v>2336</v>
      </c>
      <c r="F384" s="1">
        <v>7</v>
      </c>
      <c r="G384" s="1" t="s">
        <v>14</v>
      </c>
      <c r="H384" s="1" t="s">
        <v>2337</v>
      </c>
      <c r="I384" s="1"/>
      <c r="J384" s="3">
        <v>50269</v>
      </c>
      <c r="K384" s="1" t="str">
        <f t="shared" si="10"/>
        <v>1:1:50269:2</v>
      </c>
      <c r="L384" s="1">
        <v>49960</v>
      </c>
      <c r="M384" s="3" t="str">
        <f t="shared" si="11"/>
        <v>1:1:49960:8</v>
      </c>
      <c r="N384" s="1">
        <v>1</v>
      </c>
      <c r="O384" s="1"/>
      <c r="P384" s="3" t="str" cm="1">
        <f t="array" ref="P384">IFERROR(mindat_longid(O384),"")</f>
        <v/>
      </c>
      <c r="Q384" s="1" t="str">
        <f>IFERROR(VLOOKUP(O384, [1]meteoriteQuery!$D$2:$E$540,2,FALSE),"")</f>
        <v/>
      </c>
      <c r="R384" s="1"/>
    </row>
    <row r="385" spans="1:19" x14ac:dyDescent="0.25">
      <c r="A385" s="1">
        <v>344</v>
      </c>
      <c r="B385" s="1" t="s">
        <v>1729</v>
      </c>
      <c r="C385" s="1">
        <v>49920</v>
      </c>
      <c r="D385" s="1" t="s">
        <v>1727</v>
      </c>
      <c r="E385" s="1" t="s">
        <v>1728</v>
      </c>
      <c r="F385" s="1">
        <v>7</v>
      </c>
      <c r="G385" s="1" t="s">
        <v>14</v>
      </c>
      <c r="H385" s="1" t="s">
        <v>1730</v>
      </c>
      <c r="I385" s="1"/>
      <c r="J385" s="1">
        <v>49919</v>
      </c>
      <c r="K385" s="1" t="str">
        <f t="shared" si="10"/>
        <v>1:1:49919:4</v>
      </c>
      <c r="L385" s="1">
        <v>49961</v>
      </c>
      <c r="M385" s="3" t="str">
        <f t="shared" si="11"/>
        <v>1:1:49961:7</v>
      </c>
      <c r="N385" s="1">
        <v>1</v>
      </c>
      <c r="O385" s="1" t="s">
        <v>2249</v>
      </c>
      <c r="P385" s="3" t="str" cm="1">
        <f t="array" ref="P385">IFERROR(mindat_longid(O385),"")</f>
        <v/>
      </c>
      <c r="Q385" s="1" t="str">
        <f>IFERROR(VLOOKUP(O385, [1]meteoriteQuery!$D$2:$E$540,2,FALSE),"")</f>
        <v/>
      </c>
      <c r="R385" s="1" t="s">
        <v>1731</v>
      </c>
      <c r="S385" s="1">
        <f>IFERROR(VLOOKUP(C385,[1]meteoriteQuery!$D$2:$F$517,1,FALSE),"")</f>
        <v>49920</v>
      </c>
    </row>
    <row r="386" spans="1:19" x14ac:dyDescent="0.25">
      <c r="A386" s="1">
        <v>345</v>
      </c>
      <c r="B386" s="1" t="s">
        <v>1734</v>
      </c>
      <c r="C386" s="1">
        <v>49921</v>
      </c>
      <c r="D386" s="1" t="s">
        <v>1732</v>
      </c>
      <c r="E386" s="1" t="s">
        <v>1733</v>
      </c>
      <c r="F386" s="1">
        <v>7</v>
      </c>
      <c r="G386" s="1" t="s">
        <v>14</v>
      </c>
      <c r="H386" s="1" t="s">
        <v>1735</v>
      </c>
      <c r="I386" s="1"/>
      <c r="J386" s="1">
        <v>49920</v>
      </c>
      <c r="K386" s="1" t="str">
        <f t="shared" si="10"/>
        <v>1:1:49920:0</v>
      </c>
      <c r="L386" s="1">
        <v>0</v>
      </c>
      <c r="M386" s="3" t="str">
        <f t="shared" si="11"/>
        <v/>
      </c>
      <c r="N386" s="1">
        <v>0</v>
      </c>
      <c r="O386" s="1">
        <v>52381</v>
      </c>
      <c r="P386" s="3" t="str" cm="1">
        <f t="array" ref="P386">IFERROR(mindat_longid(O386),"")</f>
        <v>1:1:52381:7</v>
      </c>
      <c r="Q386" s="1" t="str">
        <f>IFERROR(VLOOKUP(O386, [1]meteoriteQuery!$D$2:$E$540,2,FALSE),"")</f>
        <v>IC-an iron meteorite</v>
      </c>
      <c r="R386" s="1" t="s">
        <v>1736</v>
      </c>
      <c r="S386" s="1">
        <f>IFERROR(VLOOKUP(C386,[1]meteoriteQuery!$D$2:$F$517,1,FALSE),"")</f>
        <v>49921</v>
      </c>
    </row>
    <row r="387" spans="1:19" x14ac:dyDescent="0.25">
      <c r="A387" s="1">
        <v>346</v>
      </c>
      <c r="B387" s="1" t="s">
        <v>1739</v>
      </c>
      <c r="C387" s="1">
        <v>49922</v>
      </c>
      <c r="D387" s="1" t="s">
        <v>1737</v>
      </c>
      <c r="E387" s="1" t="s">
        <v>1738</v>
      </c>
      <c r="F387" s="1">
        <v>7</v>
      </c>
      <c r="G387" s="1" t="s">
        <v>14</v>
      </c>
      <c r="H387" s="1" t="s">
        <v>1740</v>
      </c>
      <c r="I387" s="1"/>
      <c r="J387" s="1">
        <v>49919</v>
      </c>
      <c r="K387" s="1" t="str">
        <f t="shared" si="10"/>
        <v>1:1:49919:4</v>
      </c>
      <c r="L387" s="1">
        <v>49961</v>
      </c>
      <c r="M387" s="3" t="str">
        <f t="shared" si="11"/>
        <v>1:1:49961:7</v>
      </c>
      <c r="N387" s="1">
        <v>1</v>
      </c>
      <c r="O387" s="1" t="s">
        <v>2249</v>
      </c>
      <c r="P387" s="3" t="str" cm="1">
        <f t="array" ref="P387">IFERROR(mindat_longid(O387),"")</f>
        <v/>
      </c>
      <c r="Q387" s="1" t="str">
        <f>IFERROR(VLOOKUP(O387, [1]meteoriteQuery!$D$2:$E$540,2,FALSE),"")</f>
        <v/>
      </c>
      <c r="R387" s="1" t="s">
        <v>1741</v>
      </c>
      <c r="S387" s="1">
        <f>IFERROR(VLOOKUP(C387,[1]meteoriteQuery!$D$2:$F$517,1,FALSE),"")</f>
        <v>49922</v>
      </c>
    </row>
    <row r="388" spans="1:19" x14ac:dyDescent="0.25">
      <c r="A388" s="1">
        <v>347</v>
      </c>
      <c r="B388" s="1" t="s">
        <v>1744</v>
      </c>
      <c r="C388" s="1">
        <v>49923</v>
      </c>
      <c r="D388" s="1" t="s">
        <v>1742</v>
      </c>
      <c r="E388" s="1" t="s">
        <v>1743</v>
      </c>
      <c r="F388" s="1">
        <v>7</v>
      </c>
      <c r="G388" s="1" t="s">
        <v>14</v>
      </c>
      <c r="H388" s="1" t="s">
        <v>1745</v>
      </c>
      <c r="I388" s="1"/>
      <c r="J388" s="1">
        <v>49922</v>
      </c>
      <c r="K388" s="1" t="str">
        <f t="shared" ref="K388:K451" si="12">IFERROR(VLOOKUP(J388,$C$2:$D$502,2,FALSE),"")</f>
        <v>1:1:49922:8</v>
      </c>
      <c r="L388" s="1">
        <v>0</v>
      </c>
      <c r="M388" s="3" t="str">
        <f t="shared" ref="M388:M451" si="13">IFERROR(VLOOKUP(L388,$C$2:$D$502,2,FALSE),"")</f>
        <v/>
      </c>
      <c r="N388" s="1">
        <v>0</v>
      </c>
      <c r="O388" s="1">
        <v>52382</v>
      </c>
      <c r="P388" s="3" t="str" cm="1">
        <f t="array" ref="P388">IFERROR(mindat_longid(O388),"")</f>
        <v>1:1:52382:6</v>
      </c>
      <c r="Q388" s="1" t="str">
        <f>IFERROR(VLOOKUP(O388, [1]meteoriteQuery!$D$2:$E$540,2,FALSE),"")</f>
        <v>IIAB-an iron meteorite</v>
      </c>
      <c r="R388" s="1" t="s">
        <v>1746</v>
      </c>
      <c r="S388" s="1">
        <f>IFERROR(VLOOKUP(C388,[1]meteoriteQuery!$D$2:$F$517,1,FALSE),"")</f>
        <v>49923</v>
      </c>
    </row>
    <row r="389" spans="1:19" x14ac:dyDescent="0.25">
      <c r="A389" s="1">
        <v>348</v>
      </c>
      <c r="B389" s="1" t="s">
        <v>1749</v>
      </c>
      <c r="C389" s="1">
        <v>49924</v>
      </c>
      <c r="D389" s="1" t="s">
        <v>1747</v>
      </c>
      <c r="E389" s="1" t="s">
        <v>1748</v>
      </c>
      <c r="F389" s="1">
        <v>7</v>
      </c>
      <c r="G389" s="1" t="s">
        <v>14</v>
      </c>
      <c r="H389" s="1" t="s">
        <v>1750</v>
      </c>
      <c r="I389" s="1"/>
      <c r="J389" s="1">
        <v>49919</v>
      </c>
      <c r="K389" s="1" t="str">
        <f t="shared" si="12"/>
        <v>1:1:49919:4</v>
      </c>
      <c r="L389" s="1">
        <v>49961</v>
      </c>
      <c r="M389" s="3" t="str">
        <f t="shared" si="13"/>
        <v>1:1:49961:7</v>
      </c>
      <c r="N389" s="1">
        <v>1</v>
      </c>
      <c r="O389" s="1" t="s">
        <v>2249</v>
      </c>
      <c r="P389" s="3" t="str" cm="1">
        <f t="array" ref="P389">IFERROR(mindat_longid(O389),"")</f>
        <v/>
      </c>
      <c r="Q389" s="1" t="str">
        <f>IFERROR(VLOOKUP(O389, [1]meteoriteQuery!$D$2:$E$540,2,FALSE),"")</f>
        <v/>
      </c>
      <c r="R389" s="1" t="s">
        <v>1751</v>
      </c>
      <c r="S389" s="1">
        <f>IFERROR(VLOOKUP(C389,[1]meteoriteQuery!$D$2:$F$517,1,FALSE),"")</f>
        <v>49924</v>
      </c>
    </row>
    <row r="390" spans="1:19" x14ac:dyDescent="0.25">
      <c r="A390" s="1">
        <v>349</v>
      </c>
      <c r="B390" s="1" t="s">
        <v>1754</v>
      </c>
      <c r="C390" s="1">
        <v>49925</v>
      </c>
      <c r="D390" s="1" t="s">
        <v>1752</v>
      </c>
      <c r="E390" s="1" t="s">
        <v>1753</v>
      </c>
      <c r="F390" s="1">
        <v>7</v>
      </c>
      <c r="G390" s="1" t="s">
        <v>14</v>
      </c>
      <c r="H390" s="1" t="s">
        <v>1755</v>
      </c>
      <c r="I390" s="1"/>
      <c r="J390" s="1">
        <v>49919</v>
      </c>
      <c r="K390" s="1" t="str">
        <f t="shared" si="12"/>
        <v>1:1:49919:4</v>
      </c>
      <c r="L390" s="1">
        <v>49961</v>
      </c>
      <c r="M390" s="3" t="str">
        <f t="shared" si="13"/>
        <v>1:1:49961:7</v>
      </c>
      <c r="N390" s="1">
        <v>1</v>
      </c>
      <c r="O390" s="1" t="s">
        <v>2249</v>
      </c>
      <c r="P390" s="3" t="str" cm="1">
        <f t="array" ref="P390">IFERROR(mindat_longid(O390),"")</f>
        <v/>
      </c>
      <c r="Q390" s="1" t="str">
        <f>IFERROR(VLOOKUP(O390, [1]meteoriteQuery!$D$2:$E$540,2,FALSE),"")</f>
        <v/>
      </c>
      <c r="R390" s="1" t="s">
        <v>1756</v>
      </c>
      <c r="S390" s="1">
        <f>IFERROR(VLOOKUP(C390,[1]meteoriteQuery!$D$2:$F$517,1,FALSE),"")</f>
        <v>49925</v>
      </c>
    </row>
    <row r="391" spans="1:19" x14ac:dyDescent="0.25">
      <c r="A391" s="1">
        <v>350</v>
      </c>
      <c r="B391" s="1" t="s">
        <v>1759</v>
      </c>
      <c r="C391" s="1">
        <v>49926</v>
      </c>
      <c r="D391" s="1" t="s">
        <v>1757</v>
      </c>
      <c r="E391" s="1" t="s">
        <v>1758</v>
      </c>
      <c r="F391" s="1">
        <v>7</v>
      </c>
      <c r="G391" s="1" t="s">
        <v>14</v>
      </c>
      <c r="H391" s="1" t="s">
        <v>1760</v>
      </c>
      <c r="I391" s="1"/>
      <c r="J391" s="1">
        <v>49925</v>
      </c>
      <c r="K391" s="1" t="str">
        <f t="shared" si="12"/>
        <v>1:1:49925:5</v>
      </c>
      <c r="L391" s="1">
        <v>0</v>
      </c>
      <c r="M391" s="3" t="str">
        <f t="shared" si="13"/>
        <v/>
      </c>
      <c r="N391" s="1">
        <v>0</v>
      </c>
      <c r="O391" s="1" t="s">
        <v>2249</v>
      </c>
      <c r="P391" s="3" t="str" cm="1">
        <f t="array" ref="P391">IFERROR(mindat_longid(O391),"")</f>
        <v/>
      </c>
      <c r="Q391" s="1" t="str">
        <f>IFERROR(VLOOKUP(O391, [1]meteoriteQuery!$D$2:$E$540,2,FALSE),"")</f>
        <v/>
      </c>
      <c r="R391" s="1" t="s">
        <v>1761</v>
      </c>
      <c r="S391" s="1">
        <f>IFERROR(VLOOKUP(C391,[1]meteoriteQuery!$D$2:$F$517,1,FALSE),"")</f>
        <v>49926</v>
      </c>
    </row>
    <row r="392" spans="1:19" x14ac:dyDescent="0.25">
      <c r="A392" s="1">
        <v>351</v>
      </c>
      <c r="B392" s="1" t="s">
        <v>1764</v>
      </c>
      <c r="C392" s="1">
        <v>49927</v>
      </c>
      <c r="D392" s="1" t="s">
        <v>1762</v>
      </c>
      <c r="E392" s="1" t="s">
        <v>1763</v>
      </c>
      <c r="F392" s="1">
        <v>7</v>
      </c>
      <c r="G392" s="1" t="s">
        <v>14</v>
      </c>
      <c r="H392" s="1" t="s">
        <v>1765</v>
      </c>
      <c r="I392" s="1"/>
      <c r="J392" s="1">
        <v>49919</v>
      </c>
      <c r="K392" s="1" t="str">
        <f t="shared" si="12"/>
        <v>1:1:49919:4</v>
      </c>
      <c r="L392" s="1">
        <v>49962</v>
      </c>
      <c r="M392" s="3" t="str">
        <f t="shared" si="13"/>
        <v>1:1:49962:6</v>
      </c>
      <c r="N392" s="1">
        <v>1</v>
      </c>
      <c r="O392" s="1" t="s">
        <v>2249</v>
      </c>
      <c r="P392" s="3" t="str" cm="1">
        <f t="array" ref="P392">IFERROR(mindat_longid(O392),"")</f>
        <v/>
      </c>
      <c r="Q392" s="1" t="str">
        <f>IFERROR(VLOOKUP(O392, [1]meteoriteQuery!$D$2:$E$540,2,FALSE),"")</f>
        <v/>
      </c>
      <c r="R392" s="1" t="s">
        <v>1766</v>
      </c>
      <c r="S392" s="1">
        <f>IFERROR(VLOOKUP(C392,[1]meteoriteQuery!$D$2:$F$517,1,FALSE),"")</f>
        <v>49927</v>
      </c>
    </row>
    <row r="393" spans="1:19" x14ac:dyDescent="0.25">
      <c r="A393" s="1">
        <v>352</v>
      </c>
      <c r="B393" s="1" t="s">
        <v>1769</v>
      </c>
      <c r="C393" s="1">
        <v>49928</v>
      </c>
      <c r="D393" s="1" t="s">
        <v>1767</v>
      </c>
      <c r="E393" s="1" t="s">
        <v>1768</v>
      </c>
      <c r="F393" s="1">
        <v>7</v>
      </c>
      <c r="G393" s="1" t="s">
        <v>14</v>
      </c>
      <c r="H393" s="1" t="s">
        <v>1770</v>
      </c>
      <c r="I393" s="1"/>
      <c r="J393" s="1">
        <v>49927</v>
      </c>
      <c r="K393" s="1" t="str">
        <f t="shared" si="12"/>
        <v>1:1:49927:3</v>
      </c>
      <c r="L393" s="1">
        <v>0</v>
      </c>
      <c r="M393" s="3" t="str">
        <f t="shared" si="13"/>
        <v/>
      </c>
      <c r="N393" s="1">
        <v>0</v>
      </c>
      <c r="O393" s="1">
        <v>52383</v>
      </c>
      <c r="P393" s="3" t="str" cm="1">
        <f t="array" ref="P393">IFERROR(mindat_longid(O393),"")</f>
        <v>1:1:52383:5</v>
      </c>
      <c r="Q393" s="1" t="str">
        <f>IFERROR(VLOOKUP(O393, [1]meteoriteQuery!$D$2:$E$540,2,FALSE),"")</f>
        <v>IIE-an iron meteorite</v>
      </c>
      <c r="R393" s="1" t="s">
        <v>1771</v>
      </c>
      <c r="S393" s="1">
        <f>IFERROR(VLOOKUP(C393,[1]meteoriteQuery!$D$2:$F$517,1,FALSE),"")</f>
        <v>49928</v>
      </c>
    </row>
    <row r="394" spans="1:19" x14ac:dyDescent="0.25">
      <c r="A394" s="1">
        <v>353</v>
      </c>
      <c r="B394" s="1" t="s">
        <v>1774</v>
      </c>
      <c r="C394" s="1">
        <v>49929</v>
      </c>
      <c r="D394" s="1" t="s">
        <v>1772</v>
      </c>
      <c r="E394" s="1" t="s">
        <v>1773</v>
      </c>
      <c r="F394" s="1">
        <v>7</v>
      </c>
      <c r="G394" s="1" t="s">
        <v>14</v>
      </c>
      <c r="H394" s="1" t="s">
        <v>1775</v>
      </c>
      <c r="I394" s="1"/>
      <c r="J394" s="1">
        <v>49919</v>
      </c>
      <c r="K394" s="1" t="str">
        <f t="shared" si="12"/>
        <v>1:1:49919:4</v>
      </c>
      <c r="L394" s="1">
        <v>49961</v>
      </c>
      <c r="M394" s="3" t="str">
        <f t="shared" si="13"/>
        <v>1:1:49961:7</v>
      </c>
      <c r="N394" s="1">
        <v>1</v>
      </c>
      <c r="O394" s="1" t="s">
        <v>2249</v>
      </c>
      <c r="P394" s="3" t="str" cm="1">
        <f t="array" ref="P394">IFERROR(mindat_longid(O394),"")</f>
        <v/>
      </c>
      <c r="Q394" s="1" t="str">
        <f>IFERROR(VLOOKUP(O394, [1]meteoriteQuery!$D$2:$E$540,2,FALSE),"")</f>
        <v/>
      </c>
      <c r="R394" s="1" t="s">
        <v>1776</v>
      </c>
      <c r="S394" s="1">
        <f>IFERROR(VLOOKUP(C394,[1]meteoriteQuery!$D$2:$F$517,1,FALSE),"")</f>
        <v>49929</v>
      </c>
    </row>
    <row r="395" spans="1:19" x14ac:dyDescent="0.25">
      <c r="A395" s="1">
        <v>354</v>
      </c>
      <c r="B395" s="1" t="s">
        <v>1779</v>
      </c>
      <c r="C395" s="1">
        <v>49930</v>
      </c>
      <c r="D395" s="1" t="s">
        <v>1777</v>
      </c>
      <c r="E395" s="1" t="s">
        <v>1778</v>
      </c>
      <c r="F395" s="1">
        <v>7</v>
      </c>
      <c r="G395" s="1" t="s">
        <v>14</v>
      </c>
      <c r="H395" s="1" t="s">
        <v>1780</v>
      </c>
      <c r="I395" s="1"/>
      <c r="J395" s="1">
        <v>49919</v>
      </c>
      <c r="K395" s="1" t="str">
        <f t="shared" si="12"/>
        <v>1:1:49919:4</v>
      </c>
      <c r="L395" s="1">
        <v>49961</v>
      </c>
      <c r="M395" s="3" t="str">
        <f t="shared" si="13"/>
        <v>1:1:49961:7</v>
      </c>
      <c r="N395" s="1">
        <v>1</v>
      </c>
      <c r="O395" s="1" t="s">
        <v>2249</v>
      </c>
      <c r="P395" s="3" t="str" cm="1">
        <f t="array" ref="P395">IFERROR(mindat_longid(O395),"")</f>
        <v/>
      </c>
      <c r="Q395" s="1" t="str">
        <f>IFERROR(VLOOKUP(O395, [1]meteoriteQuery!$D$2:$E$540,2,FALSE),"")</f>
        <v/>
      </c>
      <c r="R395" s="1" t="s">
        <v>1781</v>
      </c>
      <c r="S395" s="1">
        <f>IFERROR(VLOOKUP(C395,[1]meteoriteQuery!$D$2:$F$517,1,FALSE),"")</f>
        <v>49930</v>
      </c>
    </row>
    <row r="396" spans="1:19" x14ac:dyDescent="0.25">
      <c r="A396" s="1">
        <v>355</v>
      </c>
      <c r="B396" s="1" t="s">
        <v>1784</v>
      </c>
      <c r="C396" s="1">
        <v>49931</v>
      </c>
      <c r="D396" s="1" t="s">
        <v>1782</v>
      </c>
      <c r="E396" s="1" t="s">
        <v>1783</v>
      </c>
      <c r="F396" s="1">
        <v>7</v>
      </c>
      <c r="G396" s="1" t="s">
        <v>14</v>
      </c>
      <c r="H396" s="1" t="s">
        <v>1785</v>
      </c>
      <c r="I396" s="1"/>
      <c r="J396" s="1">
        <v>49930</v>
      </c>
      <c r="K396" s="1" t="str">
        <f t="shared" si="12"/>
        <v>1:1:49930:7</v>
      </c>
      <c r="L396" s="1">
        <v>0</v>
      </c>
      <c r="M396" s="3" t="str">
        <f t="shared" si="13"/>
        <v/>
      </c>
      <c r="N396" s="1">
        <v>0</v>
      </c>
      <c r="O396" s="1">
        <v>52384</v>
      </c>
      <c r="P396" s="3" t="str" cm="1">
        <f t="array" ref="P396">IFERROR(mindat_longid(O396),"")</f>
        <v>1:1:52384:4</v>
      </c>
      <c r="Q396" s="1" t="str">
        <f>IFERROR(VLOOKUP(O396, [1]meteoriteQuery!$D$2:$E$540,2,FALSE),"")</f>
        <v>IIIAB-an iron meteorite</v>
      </c>
      <c r="R396" s="1" t="s">
        <v>1786</v>
      </c>
      <c r="S396" s="1">
        <f>IFERROR(VLOOKUP(C396,[1]meteoriteQuery!$D$2:$F$517,1,FALSE),"")</f>
        <v>49931</v>
      </c>
    </row>
    <row r="397" spans="1:19" x14ac:dyDescent="0.25">
      <c r="A397" s="1">
        <v>356</v>
      </c>
      <c r="B397" s="1" t="s">
        <v>1789</v>
      </c>
      <c r="C397" s="1">
        <v>49932</v>
      </c>
      <c r="D397" s="1" t="s">
        <v>1787</v>
      </c>
      <c r="E397" s="1" t="s">
        <v>1788</v>
      </c>
      <c r="F397" s="1">
        <v>7</v>
      </c>
      <c r="G397" s="1" t="s">
        <v>14</v>
      </c>
      <c r="H397" s="1" t="s">
        <v>1790</v>
      </c>
      <c r="I397" s="1"/>
      <c r="J397" s="1">
        <v>49919</v>
      </c>
      <c r="K397" s="1" t="str">
        <f t="shared" si="12"/>
        <v>1:1:49919:4</v>
      </c>
      <c r="L397" s="1">
        <v>49961</v>
      </c>
      <c r="M397" s="3" t="str">
        <f t="shared" si="13"/>
        <v>1:1:49961:7</v>
      </c>
      <c r="N397" s="1">
        <v>1</v>
      </c>
      <c r="O397" s="1" t="s">
        <v>2249</v>
      </c>
      <c r="P397" s="3" t="str" cm="1">
        <f t="array" ref="P397">IFERROR(mindat_longid(O397),"")</f>
        <v/>
      </c>
      <c r="Q397" s="1" t="str">
        <f>IFERROR(VLOOKUP(O397, [1]meteoriteQuery!$D$2:$E$540,2,FALSE),"")</f>
        <v/>
      </c>
      <c r="R397" s="1" t="s">
        <v>1791</v>
      </c>
      <c r="S397" s="1">
        <f>IFERROR(VLOOKUP(C397,[1]meteoriteQuery!$D$2:$F$517,1,FALSE),"")</f>
        <v>49932</v>
      </c>
    </row>
    <row r="398" spans="1:19" x14ac:dyDescent="0.25">
      <c r="A398" s="1">
        <v>357</v>
      </c>
      <c r="B398" s="1" t="s">
        <v>1794</v>
      </c>
      <c r="C398" s="1">
        <v>49933</v>
      </c>
      <c r="D398" s="1" t="s">
        <v>1792</v>
      </c>
      <c r="E398" s="1" t="s">
        <v>1793</v>
      </c>
      <c r="F398" s="1">
        <v>7</v>
      </c>
      <c r="G398" s="1" t="s">
        <v>14</v>
      </c>
      <c r="H398" s="1" t="s">
        <v>1795</v>
      </c>
      <c r="I398" s="1"/>
      <c r="J398" s="1">
        <v>49932</v>
      </c>
      <c r="K398" s="1" t="str">
        <f t="shared" si="12"/>
        <v>1:1:49932:5</v>
      </c>
      <c r="L398" s="1">
        <v>0</v>
      </c>
      <c r="M398" s="3" t="str">
        <f t="shared" si="13"/>
        <v/>
      </c>
      <c r="N398" s="1">
        <v>0</v>
      </c>
      <c r="O398" s="1">
        <v>52385</v>
      </c>
      <c r="P398" s="3" t="str" cm="1">
        <f t="array" ref="P398">IFERROR(mindat_longid(O398),"")</f>
        <v>1:1:52385:3</v>
      </c>
      <c r="Q398" s="1" t="str">
        <f>IFERROR(VLOOKUP(O398, [1]meteoriteQuery!$D$2:$E$540,2,FALSE),"")</f>
        <v>IIIE-an iron meteorite</v>
      </c>
      <c r="R398" s="1" t="s">
        <v>1796</v>
      </c>
      <c r="S398" s="1">
        <f>IFERROR(VLOOKUP(C398,[1]meteoriteQuery!$D$2:$F$517,1,FALSE),"")</f>
        <v>49933</v>
      </c>
    </row>
    <row r="399" spans="1:19" x14ac:dyDescent="0.25">
      <c r="A399" s="1">
        <v>358</v>
      </c>
      <c r="B399" s="1" t="s">
        <v>1799</v>
      </c>
      <c r="C399" s="1">
        <v>49934</v>
      </c>
      <c r="D399" s="1" t="s">
        <v>1797</v>
      </c>
      <c r="E399" s="1" t="s">
        <v>1798</v>
      </c>
      <c r="F399" s="1">
        <v>7</v>
      </c>
      <c r="G399" s="1" t="s">
        <v>14</v>
      </c>
      <c r="H399" s="1" t="s">
        <v>1800</v>
      </c>
      <c r="I399" s="1"/>
      <c r="J399" s="1">
        <v>49919</v>
      </c>
      <c r="K399" s="1" t="str">
        <f t="shared" si="12"/>
        <v>1:1:49919:4</v>
      </c>
      <c r="L399" s="1">
        <v>49961</v>
      </c>
      <c r="M399" s="3" t="str">
        <f t="shared" si="13"/>
        <v>1:1:49961:7</v>
      </c>
      <c r="N399" s="1">
        <v>1</v>
      </c>
      <c r="O399" s="1" t="s">
        <v>2249</v>
      </c>
      <c r="P399" s="3" t="str" cm="1">
        <f t="array" ref="P399">IFERROR(mindat_longid(O399),"")</f>
        <v/>
      </c>
      <c r="Q399" s="1" t="str">
        <f>IFERROR(VLOOKUP(O399, [1]meteoriteQuery!$D$2:$E$540,2,FALSE),"")</f>
        <v/>
      </c>
      <c r="R399" s="1" t="s">
        <v>1801</v>
      </c>
      <c r="S399" s="1">
        <f>IFERROR(VLOOKUP(C399,[1]meteoriteQuery!$D$2:$F$517,1,FALSE),"")</f>
        <v>49934</v>
      </c>
    </row>
    <row r="400" spans="1:19" x14ac:dyDescent="0.25">
      <c r="A400" s="1">
        <v>359</v>
      </c>
      <c r="B400" s="1" t="s">
        <v>1804</v>
      </c>
      <c r="C400" s="1">
        <v>49935</v>
      </c>
      <c r="D400" s="1" t="s">
        <v>1802</v>
      </c>
      <c r="E400" s="1" t="s">
        <v>1803</v>
      </c>
      <c r="F400" s="1">
        <v>7</v>
      </c>
      <c r="G400" s="1" t="s">
        <v>14</v>
      </c>
      <c r="H400" s="1" t="s">
        <v>1805</v>
      </c>
      <c r="I400" s="1"/>
      <c r="J400" s="1">
        <v>49919</v>
      </c>
      <c r="K400" s="1" t="str">
        <f t="shared" si="12"/>
        <v>1:1:49919:4</v>
      </c>
      <c r="L400" s="1">
        <v>49961</v>
      </c>
      <c r="M400" s="3" t="str">
        <f t="shared" si="13"/>
        <v>1:1:49961:7</v>
      </c>
      <c r="N400" s="1">
        <v>1</v>
      </c>
      <c r="O400" s="1" t="s">
        <v>2249</v>
      </c>
      <c r="P400" s="3" t="str" cm="1">
        <f t="array" ref="P400">IFERROR(mindat_longid(O400),"")</f>
        <v/>
      </c>
      <c r="Q400" s="1" t="str">
        <f>IFERROR(VLOOKUP(O400, [1]meteoriteQuery!$D$2:$E$540,2,FALSE),"")</f>
        <v/>
      </c>
      <c r="R400" s="1" t="s">
        <v>1806</v>
      </c>
      <c r="S400" s="1">
        <f>IFERROR(VLOOKUP(C400,[1]meteoriteQuery!$D$2:$F$517,1,FALSE),"")</f>
        <v>49935</v>
      </c>
    </row>
    <row r="401" spans="1:19" x14ac:dyDescent="0.25">
      <c r="A401" s="1">
        <v>360</v>
      </c>
      <c r="B401" s="1" t="s">
        <v>1809</v>
      </c>
      <c r="C401" s="1">
        <v>49936</v>
      </c>
      <c r="D401" s="1" t="s">
        <v>1807</v>
      </c>
      <c r="E401" s="1" t="s">
        <v>1808</v>
      </c>
      <c r="F401" s="1">
        <v>7</v>
      </c>
      <c r="G401" s="1" t="s">
        <v>14</v>
      </c>
      <c r="H401" s="1" t="s">
        <v>1810</v>
      </c>
      <c r="I401" s="1"/>
      <c r="J401" s="1">
        <v>49935</v>
      </c>
      <c r="K401" s="1" t="str">
        <f t="shared" si="12"/>
        <v>1:1:49935:2</v>
      </c>
      <c r="L401" s="1">
        <v>0</v>
      </c>
      <c r="M401" s="3" t="str">
        <f t="shared" si="13"/>
        <v/>
      </c>
      <c r="N401" s="1">
        <v>0</v>
      </c>
      <c r="O401" s="1">
        <v>52386</v>
      </c>
      <c r="P401" s="3" t="str" cm="1">
        <f t="array" ref="P401">IFERROR(mindat_longid(O401),"")</f>
        <v>1:1:52386:2</v>
      </c>
      <c r="Q401" s="1" t="str">
        <f>IFERROR(VLOOKUP(O401, [1]meteoriteQuery!$D$2:$E$540,2,FALSE),"")</f>
        <v>IVA-an iron meteorite</v>
      </c>
      <c r="R401" s="1" t="s">
        <v>1811</v>
      </c>
      <c r="S401" s="1">
        <f>IFERROR(VLOOKUP(C401,[1]meteoriteQuery!$D$2:$F$517,1,FALSE),"")</f>
        <v>49936</v>
      </c>
    </row>
    <row r="402" spans="1:19" x14ac:dyDescent="0.25">
      <c r="A402" s="1">
        <v>361</v>
      </c>
      <c r="B402" s="1" t="s">
        <v>1814</v>
      </c>
      <c r="C402" s="1">
        <v>49937</v>
      </c>
      <c r="D402" s="1" t="s">
        <v>1812</v>
      </c>
      <c r="E402" s="1" t="s">
        <v>1813</v>
      </c>
      <c r="F402" s="1">
        <v>7</v>
      </c>
      <c r="G402" s="1" t="s">
        <v>14</v>
      </c>
      <c r="H402" s="1" t="s">
        <v>1815</v>
      </c>
      <c r="I402" s="1"/>
      <c r="J402" s="1">
        <v>49919</v>
      </c>
      <c r="K402" s="1" t="str">
        <f t="shared" si="12"/>
        <v>1:1:49919:4</v>
      </c>
      <c r="L402" s="1">
        <v>49961</v>
      </c>
      <c r="M402" s="3" t="str">
        <f t="shared" si="13"/>
        <v>1:1:49961:7</v>
      </c>
      <c r="N402" s="1">
        <v>1</v>
      </c>
      <c r="O402" s="1" t="s">
        <v>2249</v>
      </c>
      <c r="P402" s="3" t="str" cm="1">
        <f t="array" ref="P402">IFERROR(mindat_longid(O402),"")</f>
        <v/>
      </c>
      <c r="Q402" s="1" t="str">
        <f>IFERROR(VLOOKUP(O402, [1]meteoriteQuery!$D$2:$E$540,2,FALSE),"")</f>
        <v/>
      </c>
      <c r="R402" s="1" t="s">
        <v>1816</v>
      </c>
      <c r="S402" s="1">
        <f>IFERROR(VLOOKUP(C402,[1]meteoriteQuery!$D$2:$F$517,1,FALSE),"")</f>
        <v>49937</v>
      </c>
    </row>
    <row r="403" spans="1:19" x14ac:dyDescent="0.25">
      <c r="A403" s="1">
        <v>362</v>
      </c>
      <c r="B403" s="1" t="s">
        <v>1819</v>
      </c>
      <c r="C403" s="1">
        <v>49938</v>
      </c>
      <c r="D403" s="1" t="s">
        <v>1817</v>
      </c>
      <c r="E403" s="1" t="s">
        <v>1818</v>
      </c>
      <c r="F403" s="1">
        <v>7</v>
      </c>
      <c r="G403" s="1" t="s">
        <v>14</v>
      </c>
      <c r="H403" s="1" t="s">
        <v>1820</v>
      </c>
      <c r="I403" s="1"/>
      <c r="J403" s="1">
        <v>50269</v>
      </c>
      <c r="K403" s="1" t="str">
        <f t="shared" si="12"/>
        <v>1:1:50269:2</v>
      </c>
      <c r="L403" s="1">
        <v>0</v>
      </c>
      <c r="M403" s="3" t="str">
        <f t="shared" si="13"/>
        <v/>
      </c>
      <c r="N403" s="1">
        <v>1</v>
      </c>
      <c r="O403" s="1" t="s">
        <v>2249</v>
      </c>
      <c r="P403" s="3" t="str" cm="1">
        <f t="array" ref="P403">IFERROR(mindat_longid(O403),"")</f>
        <v/>
      </c>
      <c r="Q403" s="1" t="str">
        <f>IFERROR(VLOOKUP(O403, [1]meteoriteQuery!$D$2:$E$540,2,FALSE),"")</f>
        <v/>
      </c>
      <c r="R403" s="1" t="s">
        <v>1821</v>
      </c>
      <c r="S403" s="1">
        <f>IFERROR(VLOOKUP(C403,[1]meteoriteQuery!$D$2:$F$517,1,FALSE),"")</f>
        <v>49938</v>
      </c>
    </row>
    <row r="404" spans="1:19" x14ac:dyDescent="0.25">
      <c r="A404" s="1">
        <v>363</v>
      </c>
      <c r="B404" s="1" t="s">
        <v>1824</v>
      </c>
      <c r="C404" s="1">
        <v>49939</v>
      </c>
      <c r="D404" s="1" t="s">
        <v>1822</v>
      </c>
      <c r="E404" s="1" t="s">
        <v>1823</v>
      </c>
      <c r="F404" s="1">
        <v>7</v>
      </c>
      <c r="G404" s="1" t="s">
        <v>14</v>
      </c>
      <c r="H404" s="1" t="s">
        <v>1825</v>
      </c>
      <c r="I404" s="1"/>
      <c r="J404" s="1">
        <v>49938</v>
      </c>
      <c r="K404" s="1" t="str">
        <f t="shared" si="12"/>
        <v>1:1:49938:9</v>
      </c>
      <c r="L404" s="1">
        <v>0</v>
      </c>
      <c r="M404" s="3" t="str">
        <f t="shared" si="13"/>
        <v/>
      </c>
      <c r="N404" s="1">
        <v>1</v>
      </c>
      <c r="O404" s="1" t="s">
        <v>2249</v>
      </c>
      <c r="P404" s="3" t="str" cm="1">
        <f t="array" ref="P404">IFERROR(mindat_longid(O404),"")</f>
        <v/>
      </c>
      <c r="Q404" s="1" t="str">
        <f>IFERROR(VLOOKUP(O404, [1]meteoriteQuery!$D$2:$E$540,2,FALSE),"")</f>
        <v/>
      </c>
      <c r="R404" s="1" t="s">
        <v>1826</v>
      </c>
      <c r="S404" s="1">
        <f>IFERROR(VLOOKUP(C404,[1]meteoriteQuery!$D$2:$F$517,1,FALSE),"")</f>
        <v>49939</v>
      </c>
    </row>
    <row r="405" spans="1:19" x14ac:dyDescent="0.25">
      <c r="A405" s="1">
        <v>14</v>
      </c>
      <c r="B405" s="1" t="s">
        <v>2265</v>
      </c>
      <c r="C405" s="3">
        <v>49941</v>
      </c>
      <c r="D405" s="1" t="s">
        <v>2266</v>
      </c>
      <c r="E405" s="1" t="s">
        <v>2267</v>
      </c>
      <c r="F405" s="1">
        <v>7</v>
      </c>
      <c r="G405" s="1" t="s">
        <v>14</v>
      </c>
      <c r="H405" s="1" t="s">
        <v>2268</v>
      </c>
      <c r="I405" s="1"/>
      <c r="J405" s="3">
        <v>49939</v>
      </c>
      <c r="K405" s="1" t="str">
        <f t="shared" si="12"/>
        <v>1:1:49939:8</v>
      </c>
      <c r="L405" s="1">
        <v>0</v>
      </c>
      <c r="M405" s="3" t="str">
        <f t="shared" si="13"/>
        <v/>
      </c>
      <c r="N405" s="1">
        <v>1</v>
      </c>
      <c r="O405" s="1"/>
      <c r="P405" s="3" t="str" cm="1">
        <f t="array" ref="P405">IFERROR(mindat_longid(O405),"")</f>
        <v/>
      </c>
      <c r="Q405" s="1" t="str">
        <f>IFERROR(VLOOKUP(O405, [1]meteoriteQuery!$D$2:$E$540,2,FALSE),"")</f>
        <v/>
      </c>
      <c r="R405" s="1"/>
    </row>
    <row r="406" spans="1:19" x14ac:dyDescent="0.25">
      <c r="A406" s="1">
        <v>186</v>
      </c>
      <c r="B406" s="1" t="s">
        <v>2388</v>
      </c>
      <c r="C406" s="3">
        <v>49942</v>
      </c>
      <c r="D406" s="1" t="s">
        <v>2389</v>
      </c>
      <c r="E406" s="1" t="s">
        <v>2390</v>
      </c>
      <c r="F406" s="1">
        <v>7</v>
      </c>
      <c r="G406" s="1" t="s">
        <v>14</v>
      </c>
      <c r="H406" s="1" t="s">
        <v>2391</v>
      </c>
      <c r="I406" s="1"/>
      <c r="J406" s="3">
        <v>49939</v>
      </c>
      <c r="K406" s="1" t="str">
        <f t="shared" si="12"/>
        <v>1:1:49939:8</v>
      </c>
      <c r="L406" s="1">
        <v>0</v>
      </c>
      <c r="M406" s="3" t="str">
        <f t="shared" si="13"/>
        <v/>
      </c>
      <c r="N406" s="1">
        <v>1</v>
      </c>
      <c r="O406" s="1"/>
      <c r="P406" s="3" t="str" cm="1">
        <f t="array" ref="P406">IFERROR(mindat_longid(O406),"")</f>
        <v/>
      </c>
      <c r="Q406" s="1" t="str">
        <f>IFERROR(VLOOKUP(O406, [1]meteoriteQuery!$D$2:$E$540,2,FALSE),"")</f>
        <v/>
      </c>
      <c r="R406" s="1"/>
    </row>
    <row r="407" spans="1:19" x14ac:dyDescent="0.25">
      <c r="A407" s="1">
        <v>218</v>
      </c>
      <c r="B407" s="1" t="s">
        <v>2338</v>
      </c>
      <c r="C407" s="3">
        <v>49944</v>
      </c>
      <c r="D407" s="1" t="s">
        <v>2339</v>
      </c>
      <c r="E407" s="1" t="s">
        <v>2340</v>
      </c>
      <c r="F407" s="1">
        <v>7</v>
      </c>
      <c r="G407" s="1" t="s">
        <v>14</v>
      </c>
      <c r="H407" s="1" t="s">
        <v>2341</v>
      </c>
      <c r="I407" s="1"/>
      <c r="J407" s="3">
        <v>49939</v>
      </c>
      <c r="K407" s="1" t="str">
        <f t="shared" si="12"/>
        <v>1:1:49939:8</v>
      </c>
      <c r="L407" s="1">
        <v>0</v>
      </c>
      <c r="M407" s="3" t="str">
        <f t="shared" si="13"/>
        <v/>
      </c>
      <c r="N407" s="1">
        <v>1</v>
      </c>
      <c r="O407" s="1"/>
      <c r="P407" s="3" t="str" cm="1">
        <f t="array" ref="P407">IFERROR(mindat_longid(O407),"")</f>
        <v/>
      </c>
      <c r="Q407" s="1" t="str">
        <f>IFERROR(VLOOKUP(O407, [1]meteoriteQuery!$D$2:$E$540,2,FALSE),"")</f>
        <v/>
      </c>
      <c r="R407" s="1"/>
    </row>
    <row r="408" spans="1:19" x14ac:dyDescent="0.25">
      <c r="A408" s="1">
        <v>364</v>
      </c>
      <c r="B408" s="1" t="s">
        <v>1829</v>
      </c>
      <c r="C408" s="1">
        <v>49945</v>
      </c>
      <c r="D408" s="1" t="s">
        <v>1827</v>
      </c>
      <c r="E408" s="1" t="s">
        <v>1828</v>
      </c>
      <c r="F408" s="1">
        <v>7</v>
      </c>
      <c r="G408" s="1" t="s">
        <v>14</v>
      </c>
      <c r="H408" s="1" t="s">
        <v>1830</v>
      </c>
      <c r="I408" s="1"/>
      <c r="J408" s="1">
        <v>49938</v>
      </c>
      <c r="K408" s="1" t="str">
        <f t="shared" si="12"/>
        <v>1:1:49938:9</v>
      </c>
      <c r="L408" s="1">
        <v>0</v>
      </c>
      <c r="M408" s="3" t="str">
        <f t="shared" si="13"/>
        <v/>
      </c>
      <c r="N408" s="1">
        <v>1</v>
      </c>
      <c r="O408" s="1" t="s">
        <v>2249</v>
      </c>
      <c r="P408" s="3" t="str" cm="1">
        <f t="array" ref="P408">IFERROR(mindat_longid(O408),"")</f>
        <v/>
      </c>
      <c r="Q408" s="1" t="str">
        <f>IFERROR(VLOOKUP(O408, [1]meteoriteQuery!$D$2:$E$540,2,FALSE),"")</f>
        <v/>
      </c>
      <c r="R408" s="1" t="s">
        <v>1831</v>
      </c>
      <c r="S408" s="1">
        <f>IFERROR(VLOOKUP(C408,[1]meteoriteQuery!$D$2:$F$517,1,FALSE),"")</f>
        <v>49945</v>
      </c>
    </row>
    <row r="409" spans="1:19" x14ac:dyDescent="0.25">
      <c r="A409" s="1">
        <v>365</v>
      </c>
      <c r="B409" s="1" t="s">
        <v>1834</v>
      </c>
      <c r="C409" s="1">
        <v>49947</v>
      </c>
      <c r="D409" s="1" t="s">
        <v>1832</v>
      </c>
      <c r="E409" s="1" t="s">
        <v>1833</v>
      </c>
      <c r="F409" s="1">
        <v>7</v>
      </c>
      <c r="G409" s="1" t="s">
        <v>14</v>
      </c>
      <c r="H409" s="1" t="s">
        <v>1835</v>
      </c>
      <c r="I409" s="1"/>
      <c r="J409" s="1">
        <v>49938</v>
      </c>
      <c r="K409" s="1" t="str">
        <f t="shared" si="12"/>
        <v>1:1:49938:9</v>
      </c>
      <c r="L409" s="1">
        <v>48408</v>
      </c>
      <c r="M409" s="3" t="s">
        <v>2454</v>
      </c>
      <c r="N409" s="1">
        <v>1</v>
      </c>
      <c r="O409" s="1" t="s">
        <v>2249</v>
      </c>
      <c r="P409" s="3" t="str" cm="1">
        <f t="array" ref="P409">IFERROR(mindat_longid(O409),"")</f>
        <v/>
      </c>
      <c r="Q409" s="1" t="str">
        <f>IFERROR(VLOOKUP(O409, [1]meteoriteQuery!$D$2:$E$540,2,FALSE),"")</f>
        <v/>
      </c>
      <c r="R409" s="1" t="s">
        <v>1836</v>
      </c>
      <c r="S409" s="1">
        <f>IFERROR(VLOOKUP(C409,[1]meteoriteQuery!$D$2:$F$517,1,FALSE),"")</f>
        <v>49947</v>
      </c>
    </row>
    <row r="410" spans="1:19" x14ac:dyDescent="0.25">
      <c r="A410" s="1">
        <v>366</v>
      </c>
      <c r="B410" s="1" t="s">
        <v>1839</v>
      </c>
      <c r="C410" s="1">
        <v>49950</v>
      </c>
      <c r="D410" s="1" t="s">
        <v>1837</v>
      </c>
      <c r="E410" s="1" t="s">
        <v>1838</v>
      </c>
      <c r="F410" s="1">
        <v>7</v>
      </c>
      <c r="G410" s="1" t="s">
        <v>14</v>
      </c>
      <c r="H410" s="1" t="s">
        <v>1840</v>
      </c>
      <c r="I410" s="1"/>
      <c r="J410" s="1">
        <v>50275</v>
      </c>
      <c r="K410" s="1" t="str">
        <f t="shared" si="12"/>
        <v>1:1:50275:3</v>
      </c>
      <c r="L410" s="1">
        <v>0</v>
      </c>
      <c r="M410" s="3" t="str">
        <f t="shared" si="13"/>
        <v/>
      </c>
      <c r="N410" s="1">
        <v>1</v>
      </c>
      <c r="O410" s="1" t="s">
        <v>2249</v>
      </c>
      <c r="P410" s="3" t="str" cm="1">
        <f t="array" ref="P410">IFERROR(mindat_longid(O410),"")</f>
        <v/>
      </c>
      <c r="Q410" s="1" t="str">
        <f>IFERROR(VLOOKUP(O410, [1]meteoriteQuery!$D$2:$E$540,2,FALSE),"")</f>
        <v/>
      </c>
      <c r="R410" s="1" t="s">
        <v>1841</v>
      </c>
      <c r="S410" s="1">
        <f>IFERROR(VLOOKUP(C410,[1]meteoriteQuery!$D$2:$F$517,1,FALSE),"")</f>
        <v>49950</v>
      </c>
    </row>
    <row r="411" spans="1:19" x14ac:dyDescent="0.25">
      <c r="A411" s="1">
        <v>367</v>
      </c>
      <c r="B411" s="1" t="s">
        <v>1844</v>
      </c>
      <c r="C411" s="1">
        <v>49951</v>
      </c>
      <c r="D411" s="1" t="s">
        <v>1842</v>
      </c>
      <c r="E411" s="1" t="s">
        <v>1843</v>
      </c>
      <c r="F411" s="1">
        <v>7</v>
      </c>
      <c r="G411" s="1" t="s">
        <v>14</v>
      </c>
      <c r="H411" s="1" t="s">
        <v>1845</v>
      </c>
      <c r="I411" s="1"/>
      <c r="J411" s="1">
        <v>49955</v>
      </c>
      <c r="K411" s="1" t="str">
        <f t="shared" si="12"/>
        <v>1:1:49955:6</v>
      </c>
      <c r="L411" s="1">
        <v>0</v>
      </c>
      <c r="M411" s="3" t="str">
        <f t="shared" si="13"/>
        <v/>
      </c>
      <c r="N411" s="1">
        <v>1</v>
      </c>
      <c r="O411" s="1" t="s">
        <v>2249</v>
      </c>
      <c r="P411" s="3" t="str" cm="1">
        <f t="array" ref="P411">IFERROR(mindat_longid(O411),"")</f>
        <v/>
      </c>
      <c r="Q411" s="1" t="str">
        <f>IFERROR(VLOOKUP(O411, [1]meteoriteQuery!$D$2:$E$540,2,FALSE),"")</f>
        <v/>
      </c>
      <c r="R411" s="1" t="s">
        <v>1846</v>
      </c>
      <c r="S411" s="1">
        <f>IFERROR(VLOOKUP(C411,[1]meteoriteQuery!$D$2:$F$517,1,FALSE),"")</f>
        <v>49951</v>
      </c>
    </row>
    <row r="412" spans="1:19" x14ac:dyDescent="0.25">
      <c r="A412" s="1">
        <v>368</v>
      </c>
      <c r="B412" s="1" t="s">
        <v>1849</v>
      </c>
      <c r="C412" s="1">
        <v>49952</v>
      </c>
      <c r="D412" s="1" t="s">
        <v>1847</v>
      </c>
      <c r="E412" s="1" t="s">
        <v>1848</v>
      </c>
      <c r="F412" s="1">
        <v>7</v>
      </c>
      <c r="G412" s="1" t="s">
        <v>14</v>
      </c>
      <c r="H412" s="1" t="s">
        <v>1850</v>
      </c>
      <c r="I412" s="1"/>
      <c r="J412" s="1">
        <v>49955</v>
      </c>
      <c r="K412" s="1" t="str">
        <f t="shared" si="12"/>
        <v>1:1:49955:6</v>
      </c>
      <c r="L412" s="1">
        <v>0</v>
      </c>
      <c r="M412" s="3" t="str">
        <f t="shared" si="13"/>
        <v/>
      </c>
      <c r="N412" s="1">
        <v>1</v>
      </c>
      <c r="O412" s="1" t="s">
        <v>2249</v>
      </c>
      <c r="P412" s="3" t="str" cm="1">
        <f t="array" ref="P412">IFERROR(mindat_longid(O412),"")</f>
        <v/>
      </c>
      <c r="Q412" s="1" t="str">
        <f>IFERROR(VLOOKUP(O412, [1]meteoriteQuery!$D$2:$E$540,2,FALSE),"")</f>
        <v/>
      </c>
      <c r="R412" s="1" t="s">
        <v>1851</v>
      </c>
      <c r="S412" s="1">
        <f>IFERROR(VLOOKUP(C412,[1]meteoriteQuery!$D$2:$F$517,1,FALSE),"")</f>
        <v>49952</v>
      </c>
    </row>
    <row r="413" spans="1:19" x14ac:dyDescent="0.25">
      <c r="A413" s="1">
        <v>369</v>
      </c>
      <c r="B413" s="1" t="s">
        <v>1854</v>
      </c>
      <c r="C413" s="1">
        <v>49953</v>
      </c>
      <c r="D413" s="1" t="s">
        <v>1852</v>
      </c>
      <c r="E413" s="1" t="s">
        <v>1853</v>
      </c>
      <c r="F413" s="1">
        <v>7</v>
      </c>
      <c r="G413" s="1" t="s">
        <v>14</v>
      </c>
      <c r="H413" s="1" t="s">
        <v>1855</v>
      </c>
      <c r="I413" s="1"/>
      <c r="J413" s="1">
        <v>49951</v>
      </c>
      <c r="K413" s="1" t="str">
        <f t="shared" si="12"/>
        <v>1:1:49951:0</v>
      </c>
      <c r="L413" s="1">
        <v>0</v>
      </c>
      <c r="M413" s="3" t="str">
        <f t="shared" si="13"/>
        <v/>
      </c>
      <c r="N413" s="1">
        <v>1</v>
      </c>
      <c r="O413" s="1" t="s">
        <v>2249</v>
      </c>
      <c r="P413" s="3" t="str" cm="1">
        <f t="array" ref="P413">IFERROR(mindat_longid(O413),"")</f>
        <v/>
      </c>
      <c r="Q413" s="1" t="str">
        <f>IFERROR(VLOOKUP(O413, [1]meteoriteQuery!$D$2:$E$540,2,FALSE),"")</f>
        <v/>
      </c>
      <c r="R413" s="1" t="s">
        <v>1856</v>
      </c>
      <c r="S413" s="1">
        <f>IFERROR(VLOOKUP(C413,[1]meteoriteQuery!$D$2:$F$517,1,FALSE),"")</f>
        <v>49953</v>
      </c>
    </row>
    <row r="414" spans="1:19" x14ac:dyDescent="0.25">
      <c r="A414" s="1">
        <v>370</v>
      </c>
      <c r="B414" s="1" t="s">
        <v>1859</v>
      </c>
      <c r="C414" s="1">
        <v>49954</v>
      </c>
      <c r="D414" s="1" t="s">
        <v>1857</v>
      </c>
      <c r="E414" s="1" t="s">
        <v>1858</v>
      </c>
      <c r="F414" s="1">
        <v>7</v>
      </c>
      <c r="G414" s="1" t="s">
        <v>14</v>
      </c>
      <c r="H414" s="1" t="s">
        <v>1860</v>
      </c>
      <c r="I414" s="1"/>
      <c r="J414" s="1">
        <v>50275</v>
      </c>
      <c r="K414" s="1" t="str">
        <f t="shared" si="12"/>
        <v>1:1:50275:3</v>
      </c>
      <c r="L414" s="1">
        <v>0</v>
      </c>
      <c r="M414" s="3" t="str">
        <f t="shared" si="13"/>
        <v/>
      </c>
      <c r="N414" s="1">
        <v>1</v>
      </c>
      <c r="O414" s="1" t="s">
        <v>2249</v>
      </c>
      <c r="P414" s="3" t="str" cm="1">
        <f t="array" ref="P414">IFERROR(mindat_longid(O414),"")</f>
        <v/>
      </c>
      <c r="Q414" s="1" t="str">
        <f>IFERROR(VLOOKUP(O414, [1]meteoriteQuery!$D$2:$E$540,2,FALSE),"")</f>
        <v/>
      </c>
      <c r="R414" s="1" t="s">
        <v>1861</v>
      </c>
      <c r="S414" s="1">
        <f>IFERROR(VLOOKUP(C414,[1]meteoriteQuery!$D$2:$F$517,1,FALSE),"")</f>
        <v>49954</v>
      </c>
    </row>
    <row r="415" spans="1:19" x14ac:dyDescent="0.25">
      <c r="A415" s="1">
        <v>371</v>
      </c>
      <c r="B415" s="1" t="s">
        <v>1864</v>
      </c>
      <c r="C415" s="1">
        <v>49955</v>
      </c>
      <c r="D415" s="1" t="s">
        <v>1862</v>
      </c>
      <c r="E415" s="1" t="s">
        <v>1863</v>
      </c>
      <c r="F415" s="1">
        <v>7</v>
      </c>
      <c r="G415" s="1" t="s">
        <v>14</v>
      </c>
      <c r="H415" s="1" t="s">
        <v>1865</v>
      </c>
      <c r="I415" s="1"/>
      <c r="J415" s="1">
        <v>50275</v>
      </c>
      <c r="K415" s="1" t="str">
        <f t="shared" si="12"/>
        <v>1:1:50275:3</v>
      </c>
      <c r="L415" s="1">
        <v>0</v>
      </c>
      <c r="M415" s="3" t="str">
        <f t="shared" si="13"/>
        <v/>
      </c>
      <c r="N415" s="1">
        <v>1</v>
      </c>
      <c r="O415" s="1" t="s">
        <v>2249</v>
      </c>
      <c r="P415" s="3" t="str" cm="1">
        <f t="array" ref="P415">IFERROR(mindat_longid(O415),"")</f>
        <v/>
      </c>
      <c r="Q415" s="1" t="str">
        <f>IFERROR(VLOOKUP(O415, [1]meteoriteQuery!$D$2:$E$540,2,FALSE),"")</f>
        <v/>
      </c>
      <c r="R415" s="1" t="s">
        <v>1866</v>
      </c>
      <c r="S415" s="1">
        <f>IFERROR(VLOOKUP(C415,[1]meteoriteQuery!$D$2:$F$517,1,FALSE),"")</f>
        <v>49955</v>
      </c>
    </row>
    <row r="416" spans="1:19" x14ac:dyDescent="0.25">
      <c r="A416" s="1">
        <v>372</v>
      </c>
      <c r="B416" s="1" t="s">
        <v>1869</v>
      </c>
      <c r="C416" s="1">
        <v>49956</v>
      </c>
      <c r="D416" s="1" t="s">
        <v>1867</v>
      </c>
      <c r="E416" s="1" t="s">
        <v>1868</v>
      </c>
      <c r="F416" s="1">
        <v>7</v>
      </c>
      <c r="G416" s="1" t="s">
        <v>14</v>
      </c>
      <c r="H416" s="1" t="s">
        <v>1870</v>
      </c>
      <c r="I416" s="1"/>
      <c r="J416" s="1">
        <v>50275</v>
      </c>
      <c r="K416" s="1" t="str">
        <f t="shared" si="12"/>
        <v>1:1:50275:3</v>
      </c>
      <c r="L416" s="1">
        <v>0</v>
      </c>
      <c r="M416" s="3" t="str">
        <f t="shared" si="13"/>
        <v/>
      </c>
      <c r="N416" s="1">
        <v>1</v>
      </c>
      <c r="O416" s="1" t="s">
        <v>2249</v>
      </c>
      <c r="P416" s="3" t="str" cm="1">
        <f t="array" ref="P416">IFERROR(mindat_longid(O416),"")</f>
        <v/>
      </c>
      <c r="Q416" s="1" t="str">
        <f>IFERROR(VLOOKUP(O416, [1]meteoriteQuery!$D$2:$E$540,2,FALSE),"")</f>
        <v/>
      </c>
      <c r="R416" s="1" t="s">
        <v>1871</v>
      </c>
      <c r="S416" s="1">
        <f>IFERROR(VLOOKUP(C416,[1]meteoriteQuery!$D$2:$F$517,1,FALSE),"")</f>
        <v>49956</v>
      </c>
    </row>
    <row r="417" spans="1:19" x14ac:dyDescent="0.25">
      <c r="A417" s="1">
        <v>373</v>
      </c>
      <c r="B417" s="1" t="s">
        <v>1874</v>
      </c>
      <c r="C417" s="1">
        <v>49957</v>
      </c>
      <c r="D417" s="1" t="s">
        <v>1872</v>
      </c>
      <c r="E417" s="1" t="s">
        <v>1873</v>
      </c>
      <c r="F417" s="1">
        <v>7</v>
      </c>
      <c r="G417" s="1" t="s">
        <v>14</v>
      </c>
      <c r="H417" s="1" t="s">
        <v>1875</v>
      </c>
      <c r="I417" s="1"/>
      <c r="J417" s="1">
        <v>50275</v>
      </c>
      <c r="K417" s="1" t="str">
        <f t="shared" si="12"/>
        <v>1:1:50275:3</v>
      </c>
      <c r="L417" s="1">
        <v>0</v>
      </c>
      <c r="M417" s="3" t="str">
        <f t="shared" si="13"/>
        <v/>
      </c>
      <c r="N417" s="1">
        <v>1</v>
      </c>
      <c r="O417" s="1" t="s">
        <v>2249</v>
      </c>
      <c r="P417" s="3" t="str" cm="1">
        <f t="array" ref="P417">IFERROR(mindat_longid(O417),"")</f>
        <v/>
      </c>
      <c r="Q417" s="1" t="str">
        <f>IFERROR(VLOOKUP(O417, [1]meteoriteQuery!$D$2:$E$540,2,FALSE),"")</f>
        <v/>
      </c>
      <c r="R417" s="1" t="s">
        <v>1876</v>
      </c>
      <c r="S417" s="1">
        <f>IFERROR(VLOOKUP(C417,[1]meteoriteQuery!$D$2:$F$517,1,FALSE),"")</f>
        <v>49957</v>
      </c>
    </row>
    <row r="418" spans="1:19" x14ac:dyDescent="0.25">
      <c r="A418" s="1">
        <v>374</v>
      </c>
      <c r="B418" s="1" t="s">
        <v>1879</v>
      </c>
      <c r="C418" s="1">
        <v>49958</v>
      </c>
      <c r="D418" s="1" t="s">
        <v>1877</v>
      </c>
      <c r="E418" s="1" t="s">
        <v>1878</v>
      </c>
      <c r="F418" s="1">
        <v>7</v>
      </c>
      <c r="G418" s="1" t="s">
        <v>14</v>
      </c>
      <c r="H418" s="1" t="s">
        <v>1880</v>
      </c>
      <c r="I418" s="1"/>
      <c r="J418" s="1">
        <v>49956</v>
      </c>
      <c r="K418" s="1" t="str">
        <f t="shared" si="12"/>
        <v>1:1:49956:5</v>
      </c>
      <c r="L418" s="1">
        <v>0</v>
      </c>
      <c r="M418" s="3" t="str">
        <f t="shared" si="13"/>
        <v/>
      </c>
      <c r="N418" s="1">
        <v>1</v>
      </c>
      <c r="O418" s="1" t="s">
        <v>2249</v>
      </c>
      <c r="P418" s="3" t="str" cm="1">
        <f t="array" ref="P418">IFERROR(mindat_longid(O418),"")</f>
        <v/>
      </c>
      <c r="Q418" s="1" t="str">
        <f>IFERROR(VLOOKUP(O418, [1]meteoriteQuery!$D$2:$E$540,2,FALSE),"")</f>
        <v/>
      </c>
      <c r="R418" s="1" t="s">
        <v>1881</v>
      </c>
      <c r="S418" s="1">
        <f>IFERROR(VLOOKUP(C418,[1]meteoriteQuery!$D$2:$F$517,1,FALSE),"")</f>
        <v>49958</v>
      </c>
    </row>
    <row r="419" spans="1:19" x14ac:dyDescent="0.25">
      <c r="A419" s="1">
        <v>375</v>
      </c>
      <c r="B419" s="1" t="s">
        <v>1884</v>
      </c>
      <c r="C419" s="1">
        <v>49959</v>
      </c>
      <c r="D419" s="1" t="s">
        <v>1882</v>
      </c>
      <c r="E419" s="1" t="s">
        <v>1883</v>
      </c>
      <c r="F419" s="1">
        <v>7</v>
      </c>
      <c r="G419" s="1" t="s">
        <v>14</v>
      </c>
      <c r="H419" s="1" t="s">
        <v>1885</v>
      </c>
      <c r="I419" s="1"/>
      <c r="J419" s="1">
        <v>49950</v>
      </c>
      <c r="K419" s="1" t="str">
        <f t="shared" si="12"/>
        <v>1:1:49950:1</v>
      </c>
      <c r="L419" s="1">
        <v>0</v>
      </c>
      <c r="M419" s="3" t="str">
        <f t="shared" si="13"/>
        <v/>
      </c>
      <c r="N419" s="1">
        <v>1</v>
      </c>
      <c r="O419" s="1" t="s">
        <v>2249</v>
      </c>
      <c r="P419" s="3" t="str" cm="1">
        <f t="array" ref="P419">IFERROR(mindat_longid(O419),"")</f>
        <v/>
      </c>
      <c r="Q419" s="1" t="str">
        <f>IFERROR(VLOOKUP(O419, [1]meteoriteQuery!$D$2:$E$540,2,FALSE),"")</f>
        <v/>
      </c>
      <c r="R419" s="1" t="s">
        <v>1886</v>
      </c>
      <c r="S419" s="1">
        <f>IFERROR(VLOOKUP(C419,[1]meteoriteQuery!$D$2:$F$517,1,FALSE),"")</f>
        <v>49959</v>
      </c>
    </row>
    <row r="420" spans="1:19" x14ac:dyDescent="0.25">
      <c r="A420" s="1">
        <v>376</v>
      </c>
      <c r="B420" s="1" t="s">
        <v>1889</v>
      </c>
      <c r="C420" s="1">
        <v>49960</v>
      </c>
      <c r="D420" s="1" t="s">
        <v>1887</v>
      </c>
      <c r="E420" s="1" t="s">
        <v>1888</v>
      </c>
      <c r="F420" s="1">
        <v>7</v>
      </c>
      <c r="G420" s="1" t="s">
        <v>14</v>
      </c>
      <c r="H420" s="1" t="s">
        <v>1890</v>
      </c>
      <c r="I420" s="1"/>
      <c r="J420" s="1">
        <v>49514</v>
      </c>
      <c r="K420" s="1" t="str">
        <f t="shared" si="12"/>
        <v>1:1:49514:3</v>
      </c>
      <c r="L420" s="1">
        <v>0</v>
      </c>
      <c r="M420" s="3" t="str">
        <f t="shared" si="13"/>
        <v/>
      </c>
      <c r="N420" s="1">
        <v>1</v>
      </c>
      <c r="O420" s="1" t="s">
        <v>2249</v>
      </c>
      <c r="P420" s="3" t="str" cm="1">
        <f t="array" ref="P420">IFERROR(mindat_longid(O420),"")</f>
        <v/>
      </c>
      <c r="Q420" s="1" t="str">
        <f>IFERROR(VLOOKUP(O420, [1]meteoriteQuery!$D$2:$E$540,2,FALSE),"")</f>
        <v/>
      </c>
      <c r="R420" s="1" t="s">
        <v>1891</v>
      </c>
      <c r="S420" s="1">
        <f>IFERROR(VLOOKUP(C420,[1]meteoriteQuery!$D$2:$F$517,1,FALSE),"")</f>
        <v>49960</v>
      </c>
    </row>
    <row r="421" spans="1:19" x14ac:dyDescent="0.25">
      <c r="A421" s="1">
        <v>109</v>
      </c>
      <c r="B421" s="1" t="s">
        <v>2370</v>
      </c>
      <c r="C421" s="3">
        <v>49961</v>
      </c>
      <c r="D421" s="1" t="s">
        <v>2371</v>
      </c>
      <c r="E421" s="1" t="s">
        <v>2372</v>
      </c>
      <c r="F421" s="1">
        <v>7</v>
      </c>
      <c r="G421" s="1" t="s">
        <v>14</v>
      </c>
      <c r="H421" s="1" t="s">
        <v>2337</v>
      </c>
      <c r="I421" s="1"/>
      <c r="J421" s="3">
        <v>49960</v>
      </c>
      <c r="K421" s="1" t="str">
        <f t="shared" si="12"/>
        <v>1:1:49960:8</v>
      </c>
      <c r="L421" s="1">
        <v>0</v>
      </c>
      <c r="M421" s="3" t="str">
        <f t="shared" si="13"/>
        <v/>
      </c>
      <c r="N421" s="1">
        <v>1</v>
      </c>
      <c r="O421" s="1"/>
      <c r="P421" s="3" t="str" cm="1">
        <f t="array" ref="P421">IFERROR(mindat_longid(O421),"")</f>
        <v/>
      </c>
      <c r="Q421" s="1" t="str">
        <f>IFERROR(VLOOKUP(O421, [1]meteoriteQuery!$D$2:$E$540,2,FALSE),"")</f>
        <v/>
      </c>
      <c r="R421" s="1"/>
    </row>
    <row r="422" spans="1:19" x14ac:dyDescent="0.25">
      <c r="A422" s="1">
        <v>248</v>
      </c>
      <c r="B422" s="1" t="s">
        <v>2418</v>
      </c>
      <c r="C422" s="3">
        <v>49962</v>
      </c>
      <c r="D422" s="1" t="s">
        <v>2333</v>
      </c>
      <c r="E422" s="1" t="s">
        <v>2419</v>
      </c>
      <c r="F422" s="1">
        <v>7</v>
      </c>
      <c r="G422" s="1" t="s">
        <v>14</v>
      </c>
      <c r="H422" s="1" t="s">
        <v>2476</v>
      </c>
      <c r="I422" s="7" t="s">
        <v>2475</v>
      </c>
      <c r="J422" s="3">
        <v>49960</v>
      </c>
      <c r="K422" s="1" t="str">
        <f t="shared" si="12"/>
        <v>1:1:49960:8</v>
      </c>
      <c r="L422" s="1">
        <v>0</v>
      </c>
      <c r="M422" s="3" t="str">
        <f t="shared" si="13"/>
        <v/>
      </c>
      <c r="N422" s="1">
        <v>1</v>
      </c>
      <c r="O422" s="1"/>
      <c r="P422" s="3" t="str" cm="1">
        <f t="array" ref="P422">IFERROR(mindat_longid(O422),"")</f>
        <v/>
      </c>
      <c r="Q422" s="1" t="str">
        <f>IFERROR(VLOOKUP(O422, [1]meteoriteQuery!$D$2:$E$540,2,FALSE),"")</f>
        <v/>
      </c>
      <c r="R422" s="1"/>
    </row>
    <row r="423" spans="1:19" x14ac:dyDescent="0.25">
      <c r="A423" s="1">
        <v>140</v>
      </c>
      <c r="B423" s="1" t="s">
        <v>2431</v>
      </c>
      <c r="C423" s="3">
        <v>49963</v>
      </c>
      <c r="D423" s="1" t="s">
        <v>2432</v>
      </c>
      <c r="E423" s="2" t="s">
        <v>2433</v>
      </c>
      <c r="F423" s="1">
        <v>7</v>
      </c>
      <c r="G423" s="1" t="s">
        <v>14</v>
      </c>
      <c r="H423" s="1" t="s">
        <v>2477</v>
      </c>
      <c r="I423" s="1" t="s">
        <v>2478</v>
      </c>
      <c r="J423" s="3">
        <v>49514</v>
      </c>
      <c r="K423" s="1" t="str">
        <f t="shared" si="12"/>
        <v>1:1:49514:3</v>
      </c>
      <c r="L423" s="1">
        <v>0</v>
      </c>
      <c r="M423" s="3" t="str">
        <f t="shared" si="13"/>
        <v/>
      </c>
      <c r="N423" s="1">
        <v>1</v>
      </c>
      <c r="O423" s="1"/>
      <c r="P423" s="3" t="str" cm="1">
        <f t="array" ref="P423">IFERROR(mindat_longid(O423),"")</f>
        <v/>
      </c>
      <c r="Q423" s="1" t="str">
        <f>IFERROR(VLOOKUP(O423, [1]meteoriteQuery!$D$2:$E$540,2,FALSE),"")</f>
        <v/>
      </c>
      <c r="R423" s="1"/>
    </row>
    <row r="424" spans="1:19" x14ac:dyDescent="0.25">
      <c r="A424" s="1">
        <v>243</v>
      </c>
      <c r="B424" s="1" t="s">
        <v>2299</v>
      </c>
      <c r="C424" s="3">
        <v>50269</v>
      </c>
      <c r="D424" s="1" t="s">
        <v>2260</v>
      </c>
      <c r="E424" s="1" t="s">
        <v>2300</v>
      </c>
      <c r="F424" s="1">
        <v>7</v>
      </c>
      <c r="G424" s="1" t="s">
        <v>14</v>
      </c>
      <c r="H424" s="1" t="s">
        <v>2301</v>
      </c>
      <c r="I424" s="1"/>
      <c r="J424" s="3">
        <v>49514</v>
      </c>
      <c r="K424" s="1" t="str">
        <f t="shared" si="12"/>
        <v>1:1:49514:3</v>
      </c>
      <c r="L424" s="1">
        <v>0</v>
      </c>
      <c r="M424" s="3" t="str">
        <f t="shared" si="13"/>
        <v/>
      </c>
      <c r="N424" s="1">
        <v>1</v>
      </c>
      <c r="O424" s="1"/>
      <c r="P424" s="3" t="str" cm="1">
        <f t="array" ref="P424">IFERROR(mindat_longid(O424),"")</f>
        <v/>
      </c>
      <c r="Q424" s="1" t="str">
        <f>IFERROR(VLOOKUP(O424, [1]meteoriteQuery!$D$2:$E$540,2,FALSE),"")</f>
        <v/>
      </c>
      <c r="R424" s="1"/>
    </row>
    <row r="425" spans="1:19" x14ac:dyDescent="0.25">
      <c r="A425" s="1">
        <v>102</v>
      </c>
      <c r="B425" s="1" t="s">
        <v>2256</v>
      </c>
      <c r="C425" s="3">
        <v>50270</v>
      </c>
      <c r="D425" s="1" t="s">
        <v>2257</v>
      </c>
      <c r="E425" s="1" t="s">
        <v>2258</v>
      </c>
      <c r="F425" s="1">
        <v>7</v>
      </c>
      <c r="G425" s="1" t="s">
        <v>14</v>
      </c>
      <c r="H425" s="1" t="s">
        <v>2259</v>
      </c>
      <c r="I425" s="1"/>
      <c r="J425" s="3">
        <v>50269</v>
      </c>
      <c r="K425" s="1" t="str">
        <f t="shared" si="12"/>
        <v>1:1:50269:2</v>
      </c>
      <c r="L425" s="1">
        <v>0</v>
      </c>
      <c r="M425" s="3" t="str">
        <f t="shared" si="13"/>
        <v/>
      </c>
      <c r="N425" s="1">
        <v>1</v>
      </c>
      <c r="O425" s="1"/>
      <c r="P425" s="3" t="str" cm="1">
        <f t="array" ref="P425">IFERROR(mindat_longid(O425),"")</f>
        <v/>
      </c>
      <c r="Q425" s="1" t="str">
        <f>IFERROR(VLOOKUP(O425, [1]meteoriteQuery!$D$2:$E$540,2,FALSE),"")</f>
        <v/>
      </c>
      <c r="R425" s="1"/>
    </row>
    <row r="426" spans="1:19" x14ac:dyDescent="0.25">
      <c r="A426" s="1">
        <v>377</v>
      </c>
      <c r="B426" s="1" t="s">
        <v>1894</v>
      </c>
      <c r="C426" s="1">
        <v>50275</v>
      </c>
      <c r="D426" s="1" t="s">
        <v>1892</v>
      </c>
      <c r="E426" s="1" t="s">
        <v>1893</v>
      </c>
      <c r="F426" s="1">
        <v>7</v>
      </c>
      <c r="G426" s="1" t="s">
        <v>14</v>
      </c>
      <c r="H426" s="1" t="s">
        <v>2479</v>
      </c>
      <c r="I426" s="1" t="s">
        <v>2480</v>
      </c>
      <c r="J426" s="1">
        <v>50269</v>
      </c>
      <c r="K426" s="1" t="str">
        <f t="shared" si="12"/>
        <v>1:1:50269:2</v>
      </c>
      <c r="L426" s="1">
        <v>0</v>
      </c>
      <c r="M426" s="3" t="str">
        <f t="shared" si="13"/>
        <v/>
      </c>
      <c r="N426" s="1">
        <v>1</v>
      </c>
      <c r="O426" s="1" t="s">
        <v>2249</v>
      </c>
      <c r="P426" s="3" t="str" cm="1">
        <f t="array" ref="P426">IFERROR(mindat_longid(O426),"")</f>
        <v/>
      </c>
      <c r="Q426" s="1" t="str">
        <f>IFERROR(VLOOKUP(O426, [1]meteoriteQuery!$D$2:$E$540,2,FALSE),"")</f>
        <v/>
      </c>
      <c r="R426" s="1" t="s">
        <v>1895</v>
      </c>
      <c r="S426" s="1">
        <f>IFERROR(VLOOKUP(C426,[1]meteoriteQuery!$D$2:$F$517,1,FALSE),"")</f>
        <v>50275</v>
      </c>
    </row>
    <row r="427" spans="1:19" x14ac:dyDescent="0.25">
      <c r="A427" s="1">
        <v>378</v>
      </c>
      <c r="B427" s="1" t="s">
        <v>1898</v>
      </c>
      <c r="C427" s="1">
        <v>50444</v>
      </c>
      <c r="D427" s="1" t="s">
        <v>1896</v>
      </c>
      <c r="E427" s="1" t="s">
        <v>1897</v>
      </c>
      <c r="F427" s="1">
        <v>7</v>
      </c>
      <c r="G427" s="1" t="s">
        <v>14</v>
      </c>
      <c r="H427" s="1" t="s">
        <v>1899</v>
      </c>
      <c r="I427" s="1"/>
      <c r="J427" s="1">
        <v>49553</v>
      </c>
      <c r="K427" s="1" t="str">
        <f t="shared" si="12"/>
        <v>1:1:49553:2</v>
      </c>
      <c r="L427" s="1">
        <v>49557</v>
      </c>
      <c r="M427" s="3" t="str">
        <f t="shared" si="13"/>
        <v>1:1:49557:8</v>
      </c>
      <c r="N427" s="1">
        <v>0</v>
      </c>
      <c r="O427" s="1" t="s">
        <v>2249</v>
      </c>
      <c r="P427" s="3" t="str" cm="1">
        <f t="array" ref="P427">IFERROR(mindat_longid(O427),"")</f>
        <v/>
      </c>
      <c r="Q427" s="1" t="str">
        <f>IFERROR(VLOOKUP(O427, [1]meteoriteQuery!$D$2:$E$540,2,FALSE),"")</f>
        <v/>
      </c>
      <c r="R427" s="1" t="s">
        <v>1900</v>
      </c>
      <c r="S427" s="1">
        <f>IFERROR(VLOOKUP(C427,[1]meteoriteQuery!$D$2:$F$517,1,FALSE),"")</f>
        <v>50444</v>
      </c>
    </row>
    <row r="428" spans="1:19" x14ac:dyDescent="0.25">
      <c r="A428" s="1">
        <v>379</v>
      </c>
      <c r="B428" s="1" t="s">
        <v>1903</v>
      </c>
      <c r="C428" s="1">
        <v>50445</v>
      </c>
      <c r="D428" s="1" t="s">
        <v>1901</v>
      </c>
      <c r="E428" s="1" t="s">
        <v>1902</v>
      </c>
      <c r="F428" s="1">
        <v>7</v>
      </c>
      <c r="G428" s="1" t="s">
        <v>14</v>
      </c>
      <c r="H428" s="1" t="s">
        <v>1904</v>
      </c>
      <c r="I428" s="1"/>
      <c r="J428" s="1">
        <v>49585</v>
      </c>
      <c r="K428" s="1" t="str">
        <f t="shared" si="12"/>
        <v>1:1:49585:1</v>
      </c>
      <c r="L428" s="1">
        <v>49649</v>
      </c>
      <c r="M428" s="3" t="str">
        <f t="shared" si="13"/>
        <v>1:1:49649:8</v>
      </c>
      <c r="N428" s="1">
        <v>0</v>
      </c>
      <c r="O428" s="1" t="s">
        <v>2249</v>
      </c>
      <c r="P428" s="3" t="str" cm="1">
        <f t="array" ref="P428">IFERROR(mindat_longid(O428),"")</f>
        <v/>
      </c>
      <c r="Q428" s="1" t="str">
        <f>IFERROR(VLOOKUP(O428, [1]meteoriteQuery!$D$2:$E$540,2,FALSE),"")</f>
        <v/>
      </c>
      <c r="R428" s="1" t="s">
        <v>1905</v>
      </c>
      <c r="S428" s="1">
        <f>IFERROR(VLOOKUP(C428,[1]meteoriteQuery!$D$2:$F$517,1,FALSE),"")</f>
        <v>50445</v>
      </c>
    </row>
    <row r="429" spans="1:19" x14ac:dyDescent="0.25">
      <c r="A429" s="1">
        <v>380</v>
      </c>
      <c r="B429" s="1" t="s">
        <v>1908</v>
      </c>
      <c r="C429" s="1">
        <v>50446</v>
      </c>
      <c r="D429" s="1" t="s">
        <v>1906</v>
      </c>
      <c r="E429" s="1" t="s">
        <v>1907</v>
      </c>
      <c r="F429" s="1">
        <v>7</v>
      </c>
      <c r="G429" s="1" t="s">
        <v>14</v>
      </c>
      <c r="H429" s="1" t="s">
        <v>1909</v>
      </c>
      <c r="I429" s="1"/>
      <c r="J429" s="1">
        <v>49585</v>
      </c>
      <c r="K429" s="1" t="str">
        <f t="shared" si="12"/>
        <v>1:1:49585:1</v>
      </c>
      <c r="L429" s="1">
        <v>49606</v>
      </c>
      <c r="M429" s="3" t="str">
        <f t="shared" si="13"/>
        <v>1:1:49606:3</v>
      </c>
      <c r="N429" s="1">
        <v>0</v>
      </c>
      <c r="O429" s="1" t="s">
        <v>2249</v>
      </c>
      <c r="P429" s="3" t="str" cm="1">
        <f t="array" ref="P429">IFERROR(mindat_longid(O429),"")</f>
        <v/>
      </c>
      <c r="Q429" s="1" t="str">
        <f>IFERROR(VLOOKUP(O429, [1]meteoriteQuery!$D$2:$E$540,2,FALSE),"")</f>
        <v/>
      </c>
      <c r="R429" s="1" t="s">
        <v>1910</v>
      </c>
      <c r="S429" s="1">
        <f>IFERROR(VLOOKUP(C429,[1]meteoriteQuery!$D$2:$F$517,1,FALSE),"")</f>
        <v>50446</v>
      </c>
    </row>
    <row r="430" spans="1:19" x14ac:dyDescent="0.25">
      <c r="A430" s="1">
        <v>381</v>
      </c>
      <c r="B430" s="1" t="s">
        <v>1913</v>
      </c>
      <c r="C430" s="1">
        <v>50447</v>
      </c>
      <c r="D430" s="1" t="s">
        <v>1911</v>
      </c>
      <c r="E430" s="1" t="s">
        <v>1912</v>
      </c>
      <c r="F430" s="1">
        <v>7</v>
      </c>
      <c r="G430" s="1" t="s">
        <v>14</v>
      </c>
      <c r="H430" s="1" t="s">
        <v>1914</v>
      </c>
      <c r="I430" s="1"/>
      <c r="J430" s="1">
        <v>49609</v>
      </c>
      <c r="K430" s="1" t="str">
        <f t="shared" si="12"/>
        <v>1:1:49609:0</v>
      </c>
      <c r="L430" s="1">
        <v>49617</v>
      </c>
      <c r="M430" s="3" t="str">
        <f t="shared" si="13"/>
        <v>1:1:49617:9</v>
      </c>
      <c r="N430" s="1">
        <v>0</v>
      </c>
      <c r="O430" s="1" t="s">
        <v>2249</v>
      </c>
      <c r="P430" s="3" t="str" cm="1">
        <f t="array" ref="P430">IFERROR(mindat_longid(O430),"")</f>
        <v/>
      </c>
      <c r="Q430" s="1" t="str">
        <f>IFERROR(VLOOKUP(O430, [1]meteoriteQuery!$D$2:$E$540,2,FALSE),"")</f>
        <v/>
      </c>
      <c r="R430" s="1" t="s">
        <v>1915</v>
      </c>
      <c r="S430" s="1">
        <f>IFERROR(VLOOKUP(C430,[1]meteoriteQuery!$D$2:$F$517,1,FALSE),"")</f>
        <v>50447</v>
      </c>
    </row>
    <row r="431" spans="1:19" x14ac:dyDescent="0.25">
      <c r="A431" s="1">
        <v>382</v>
      </c>
      <c r="B431" s="1" t="s">
        <v>1918</v>
      </c>
      <c r="C431" s="1">
        <v>50448</v>
      </c>
      <c r="D431" s="1" t="s">
        <v>1916</v>
      </c>
      <c r="E431" s="1" t="s">
        <v>1917</v>
      </c>
      <c r="F431" s="1">
        <v>7</v>
      </c>
      <c r="G431" s="1" t="s">
        <v>14</v>
      </c>
      <c r="H431" s="1" t="s">
        <v>1919</v>
      </c>
      <c r="I431" s="1"/>
      <c r="J431" s="1">
        <v>49606</v>
      </c>
      <c r="K431" s="1" t="str">
        <f t="shared" si="12"/>
        <v>1:1:49606:3</v>
      </c>
      <c r="L431" s="1">
        <v>0</v>
      </c>
      <c r="M431" s="3" t="str">
        <f t="shared" si="13"/>
        <v/>
      </c>
      <c r="N431" s="1">
        <v>0</v>
      </c>
      <c r="O431" s="1" t="s">
        <v>2249</v>
      </c>
      <c r="P431" s="3" t="str" cm="1">
        <f t="array" ref="P431">IFERROR(mindat_longid(O431),"")</f>
        <v/>
      </c>
      <c r="Q431" s="1" t="str">
        <f>IFERROR(VLOOKUP(O431, [1]meteoriteQuery!$D$2:$E$540,2,FALSE),"")</f>
        <v/>
      </c>
      <c r="R431" s="1" t="s">
        <v>1920</v>
      </c>
      <c r="S431" s="1">
        <f>IFERROR(VLOOKUP(C431,[1]meteoriteQuery!$D$2:$F$517,1,FALSE),"")</f>
        <v>50448</v>
      </c>
    </row>
    <row r="432" spans="1:19" x14ac:dyDescent="0.25">
      <c r="A432" s="1">
        <v>383</v>
      </c>
      <c r="B432" s="1" t="s">
        <v>1923</v>
      </c>
      <c r="C432" s="1">
        <v>50449</v>
      </c>
      <c r="D432" s="1" t="s">
        <v>1921</v>
      </c>
      <c r="E432" s="1" t="s">
        <v>1922</v>
      </c>
      <c r="F432" s="1">
        <v>7</v>
      </c>
      <c r="G432" s="1" t="s">
        <v>14</v>
      </c>
      <c r="H432" s="1" t="s">
        <v>1924</v>
      </c>
      <c r="I432" s="1"/>
      <c r="J432" s="1">
        <v>49619</v>
      </c>
      <c r="K432" s="1" t="str">
        <f t="shared" si="12"/>
        <v>1:1:49619:7</v>
      </c>
      <c r="L432" s="1">
        <v>49710</v>
      </c>
      <c r="M432" s="3" t="str">
        <f t="shared" si="13"/>
        <v>1:1:49710:5</v>
      </c>
      <c r="N432" s="1">
        <v>0</v>
      </c>
      <c r="O432" s="1" t="s">
        <v>2249</v>
      </c>
      <c r="P432" s="3" t="str" cm="1">
        <f t="array" ref="P432">IFERROR(mindat_longid(O432),"")</f>
        <v/>
      </c>
      <c r="Q432" s="1" t="str">
        <f>IFERROR(VLOOKUP(O432, [1]meteoriteQuery!$D$2:$E$540,2,FALSE),"")</f>
        <v/>
      </c>
      <c r="R432" s="1" t="s">
        <v>1925</v>
      </c>
      <c r="S432" s="1">
        <f>IFERROR(VLOOKUP(C432,[1]meteoriteQuery!$D$2:$F$517,1,FALSE),"")</f>
        <v>50449</v>
      </c>
    </row>
    <row r="433" spans="1:19" x14ac:dyDescent="0.25">
      <c r="A433" s="1">
        <v>384</v>
      </c>
      <c r="B433" s="1" t="s">
        <v>1928</v>
      </c>
      <c r="C433" s="1">
        <v>50450</v>
      </c>
      <c r="D433" s="1" t="s">
        <v>1926</v>
      </c>
      <c r="E433" s="1" t="s">
        <v>1927</v>
      </c>
      <c r="F433" s="1">
        <v>7</v>
      </c>
      <c r="G433" s="1" t="s">
        <v>14</v>
      </c>
      <c r="H433" s="1" t="s">
        <v>1929</v>
      </c>
      <c r="I433" s="1"/>
      <c r="J433" s="1">
        <v>49649</v>
      </c>
      <c r="K433" s="1" t="str">
        <f t="shared" si="12"/>
        <v>1:1:49649:8</v>
      </c>
      <c r="L433" s="1">
        <v>0</v>
      </c>
      <c r="M433" s="3" t="str">
        <f t="shared" si="13"/>
        <v/>
      </c>
      <c r="N433" s="1">
        <v>0</v>
      </c>
      <c r="O433" s="1" t="s">
        <v>2249</v>
      </c>
      <c r="P433" s="3" t="str" cm="1">
        <f t="array" ref="P433">IFERROR(mindat_longid(O433),"")</f>
        <v/>
      </c>
      <c r="Q433" s="1" t="str">
        <f>IFERROR(VLOOKUP(O433, [1]meteoriteQuery!$D$2:$E$540,2,FALSE),"")</f>
        <v/>
      </c>
      <c r="R433" s="1" t="s">
        <v>1930</v>
      </c>
      <c r="S433" s="1">
        <f>IFERROR(VLOOKUP(C433,[1]meteoriteQuery!$D$2:$F$517,1,FALSE),"")</f>
        <v>50450</v>
      </c>
    </row>
    <row r="434" spans="1:19" x14ac:dyDescent="0.25">
      <c r="A434" s="1">
        <v>385</v>
      </c>
      <c r="B434" s="1" t="s">
        <v>1933</v>
      </c>
      <c r="C434" s="1">
        <v>50451</v>
      </c>
      <c r="D434" s="1" t="s">
        <v>1931</v>
      </c>
      <c r="E434" s="1" t="s">
        <v>1932</v>
      </c>
      <c r="F434" s="1">
        <v>7</v>
      </c>
      <c r="G434" s="1" t="s">
        <v>14</v>
      </c>
      <c r="H434" s="1" t="s">
        <v>1934</v>
      </c>
      <c r="I434" s="1"/>
      <c r="J434" s="1">
        <v>49649</v>
      </c>
      <c r="K434" s="1" t="str">
        <f t="shared" si="12"/>
        <v>1:1:49649:8</v>
      </c>
      <c r="L434" s="1">
        <v>49695</v>
      </c>
      <c r="M434" s="3" t="str">
        <f t="shared" si="13"/>
        <v>1:1:49695:7</v>
      </c>
      <c r="N434" s="1">
        <v>0</v>
      </c>
      <c r="O434" s="1" t="s">
        <v>2249</v>
      </c>
      <c r="P434" s="3" t="str" cm="1">
        <f t="array" ref="P434">IFERROR(mindat_longid(O434),"")</f>
        <v/>
      </c>
      <c r="Q434" s="1" t="str">
        <f>IFERROR(VLOOKUP(O434, [1]meteoriteQuery!$D$2:$E$540,2,FALSE),"")</f>
        <v/>
      </c>
      <c r="R434" s="1" t="s">
        <v>1935</v>
      </c>
      <c r="S434" s="1">
        <f>IFERROR(VLOOKUP(C434,[1]meteoriteQuery!$D$2:$F$517,1,FALSE),"")</f>
        <v>50451</v>
      </c>
    </row>
    <row r="435" spans="1:19" x14ac:dyDescent="0.25">
      <c r="A435" s="1">
        <v>386</v>
      </c>
      <c r="B435" s="1" t="s">
        <v>1938</v>
      </c>
      <c r="C435" s="1">
        <v>50452</v>
      </c>
      <c r="D435" s="1" t="s">
        <v>1936</v>
      </c>
      <c r="E435" s="1" t="s">
        <v>1937</v>
      </c>
      <c r="F435" s="1">
        <v>7</v>
      </c>
      <c r="G435" s="1" t="s">
        <v>14</v>
      </c>
      <c r="H435" s="1" t="s">
        <v>1939</v>
      </c>
      <c r="I435" s="1"/>
      <c r="J435" s="1">
        <v>49649</v>
      </c>
      <c r="K435" s="1" t="str">
        <f t="shared" si="12"/>
        <v>1:1:49649:8</v>
      </c>
      <c r="L435" s="1">
        <v>49746</v>
      </c>
      <c r="M435" s="3" t="str">
        <f t="shared" si="13"/>
        <v>1:1:49746:0</v>
      </c>
      <c r="N435" s="1">
        <v>0</v>
      </c>
      <c r="O435" s="1" t="s">
        <v>2249</v>
      </c>
      <c r="P435" s="3" t="str" cm="1">
        <f t="array" ref="P435">IFERROR(mindat_longid(O435),"")</f>
        <v/>
      </c>
      <c r="Q435" s="1" t="str">
        <f>IFERROR(VLOOKUP(O435, [1]meteoriteQuery!$D$2:$E$540,2,FALSE),"")</f>
        <v/>
      </c>
      <c r="R435" s="1" t="s">
        <v>1940</v>
      </c>
      <c r="S435" s="1">
        <f>IFERROR(VLOOKUP(C435,[1]meteoriteQuery!$D$2:$F$517,1,FALSE),"")</f>
        <v>50452</v>
      </c>
    </row>
    <row r="436" spans="1:19" x14ac:dyDescent="0.25">
      <c r="A436" s="1">
        <v>387</v>
      </c>
      <c r="B436" s="1" t="s">
        <v>1943</v>
      </c>
      <c r="C436" s="1">
        <v>50453</v>
      </c>
      <c r="D436" s="1" t="s">
        <v>1941</v>
      </c>
      <c r="E436" s="1" t="s">
        <v>1942</v>
      </c>
      <c r="F436" s="1">
        <v>7</v>
      </c>
      <c r="G436" s="1" t="s">
        <v>14</v>
      </c>
      <c r="H436" s="1" t="s">
        <v>1944</v>
      </c>
      <c r="I436" s="1"/>
      <c r="J436" s="1">
        <v>49649</v>
      </c>
      <c r="K436" s="1" t="str">
        <f t="shared" si="12"/>
        <v>1:1:49649:8</v>
      </c>
      <c r="L436" s="1">
        <v>49746</v>
      </c>
      <c r="M436" s="3" t="str">
        <f t="shared" si="13"/>
        <v>1:1:49746:0</v>
      </c>
      <c r="N436" s="1">
        <v>0</v>
      </c>
      <c r="O436" s="1" t="s">
        <v>2249</v>
      </c>
      <c r="P436" s="3" t="str" cm="1">
        <f t="array" ref="P436">IFERROR(mindat_longid(O436),"")</f>
        <v/>
      </c>
      <c r="Q436" s="1" t="str">
        <f>IFERROR(VLOOKUP(O436, [1]meteoriteQuery!$D$2:$E$540,2,FALSE),"")</f>
        <v/>
      </c>
      <c r="R436" s="1" t="s">
        <v>1945</v>
      </c>
      <c r="S436" s="1">
        <f>IFERROR(VLOOKUP(C436,[1]meteoriteQuery!$D$2:$F$517,1,FALSE),"")</f>
        <v>50453</v>
      </c>
    </row>
    <row r="437" spans="1:19" x14ac:dyDescent="0.25">
      <c r="A437" s="1">
        <v>388</v>
      </c>
      <c r="B437" s="1" t="s">
        <v>1948</v>
      </c>
      <c r="C437" s="1">
        <v>50454</v>
      </c>
      <c r="D437" s="1" t="s">
        <v>1946</v>
      </c>
      <c r="E437" s="1" t="s">
        <v>1947</v>
      </c>
      <c r="F437" s="1">
        <v>7</v>
      </c>
      <c r="G437" s="1" t="s">
        <v>14</v>
      </c>
      <c r="H437" s="1" t="s">
        <v>1949</v>
      </c>
      <c r="I437" s="1"/>
      <c r="J437" s="1">
        <v>49683</v>
      </c>
      <c r="K437" s="1" t="str">
        <f t="shared" si="12"/>
        <v>1:1:49683:2</v>
      </c>
      <c r="L437" s="1">
        <v>0</v>
      </c>
      <c r="M437" s="3" t="str">
        <f t="shared" si="13"/>
        <v/>
      </c>
      <c r="N437" s="1">
        <v>0</v>
      </c>
      <c r="O437" s="1" t="s">
        <v>2249</v>
      </c>
      <c r="P437" s="3" t="str" cm="1">
        <f t="array" ref="P437">IFERROR(mindat_longid(O437),"")</f>
        <v/>
      </c>
      <c r="Q437" s="1" t="str">
        <f>IFERROR(VLOOKUP(O437, [1]meteoriteQuery!$D$2:$E$540,2,FALSE),"")</f>
        <v/>
      </c>
      <c r="R437" s="1" t="s">
        <v>799</v>
      </c>
      <c r="S437" s="1">
        <f>IFERROR(VLOOKUP(C437,[1]meteoriteQuery!$D$2:$F$517,1,FALSE),"")</f>
        <v>50454</v>
      </c>
    </row>
    <row r="438" spans="1:19" x14ac:dyDescent="0.25">
      <c r="A438" s="1">
        <v>389</v>
      </c>
      <c r="B438" s="1" t="s">
        <v>1952</v>
      </c>
      <c r="C438" s="1">
        <v>50455</v>
      </c>
      <c r="D438" s="1" t="s">
        <v>1950</v>
      </c>
      <c r="E438" s="1" t="s">
        <v>1951</v>
      </c>
      <c r="F438" s="1">
        <v>7</v>
      </c>
      <c r="G438" s="1" t="s">
        <v>14</v>
      </c>
      <c r="H438" s="1" t="s">
        <v>1953</v>
      </c>
      <c r="I438" s="1"/>
      <c r="J438" s="1">
        <v>50453</v>
      </c>
      <c r="K438" s="1" t="str">
        <f t="shared" si="12"/>
        <v>1:1:50453:9</v>
      </c>
      <c r="L438" s="1">
        <v>0</v>
      </c>
      <c r="M438" s="3" t="str">
        <f t="shared" si="13"/>
        <v/>
      </c>
      <c r="N438" s="1">
        <v>0</v>
      </c>
      <c r="O438" s="1" t="s">
        <v>2249</v>
      </c>
      <c r="P438" s="3" t="str" cm="1">
        <f t="array" ref="P438">IFERROR(mindat_longid(O438),"")</f>
        <v/>
      </c>
      <c r="Q438" s="1" t="str">
        <f>IFERROR(VLOOKUP(O438, [1]meteoriteQuery!$D$2:$E$540,2,FALSE),"")</f>
        <v/>
      </c>
      <c r="R438" s="1" t="s">
        <v>1954</v>
      </c>
      <c r="S438" s="1">
        <f>IFERROR(VLOOKUP(C438,[1]meteoriteQuery!$D$2:$F$517,1,FALSE),"")</f>
        <v>50455</v>
      </c>
    </row>
    <row r="439" spans="1:19" x14ac:dyDescent="0.25">
      <c r="A439" s="1">
        <v>390</v>
      </c>
      <c r="B439" s="1" t="s">
        <v>1957</v>
      </c>
      <c r="C439" s="1">
        <v>50456</v>
      </c>
      <c r="D439" s="1" t="s">
        <v>1955</v>
      </c>
      <c r="E439" s="1" t="s">
        <v>1956</v>
      </c>
      <c r="F439" s="1">
        <v>7</v>
      </c>
      <c r="G439" s="1" t="s">
        <v>14</v>
      </c>
      <c r="H439" s="1" t="s">
        <v>1958</v>
      </c>
      <c r="I439" s="1"/>
      <c r="J439" s="1">
        <v>49695</v>
      </c>
      <c r="K439" s="1" t="str">
        <f t="shared" si="12"/>
        <v>1:1:49695:7</v>
      </c>
      <c r="L439" s="1">
        <v>49702</v>
      </c>
      <c r="M439" s="3" t="str">
        <f t="shared" si="13"/>
        <v>1:1:49702:6</v>
      </c>
      <c r="N439" s="1">
        <v>0</v>
      </c>
      <c r="O439" s="1" t="s">
        <v>2249</v>
      </c>
      <c r="P439" s="3" t="str" cm="1">
        <f t="array" ref="P439">IFERROR(mindat_longid(O439),"")</f>
        <v/>
      </c>
      <c r="Q439" s="1" t="str">
        <f>IFERROR(VLOOKUP(O439, [1]meteoriteQuery!$D$2:$E$540,2,FALSE),"")</f>
        <v/>
      </c>
      <c r="R439" s="1" t="s">
        <v>1959</v>
      </c>
      <c r="S439" s="1">
        <f>IFERROR(VLOOKUP(C439,[1]meteoriteQuery!$D$2:$F$517,1,FALSE),"")</f>
        <v>50456</v>
      </c>
    </row>
    <row r="440" spans="1:19" x14ac:dyDescent="0.25">
      <c r="A440" s="1">
        <v>391</v>
      </c>
      <c r="B440" s="1" t="s">
        <v>1962</v>
      </c>
      <c r="C440" s="1">
        <v>50457</v>
      </c>
      <c r="D440" s="1" t="s">
        <v>1960</v>
      </c>
      <c r="E440" s="1" t="s">
        <v>1961</v>
      </c>
      <c r="F440" s="1">
        <v>7</v>
      </c>
      <c r="G440" s="1" t="s">
        <v>14</v>
      </c>
      <c r="H440" s="1" t="s">
        <v>1963</v>
      </c>
      <c r="I440" s="1"/>
      <c r="J440" s="1">
        <v>49702</v>
      </c>
      <c r="K440" s="1" t="str">
        <f t="shared" si="12"/>
        <v>1:1:49702:6</v>
      </c>
      <c r="L440" s="1">
        <v>49772</v>
      </c>
      <c r="M440" s="3" t="str">
        <f t="shared" si="13"/>
        <v>1:1:49772:5</v>
      </c>
      <c r="N440" s="1">
        <v>0</v>
      </c>
      <c r="O440" s="1" t="s">
        <v>2249</v>
      </c>
      <c r="P440" s="3" t="str" cm="1">
        <f t="array" ref="P440">IFERROR(mindat_longid(O440),"")</f>
        <v/>
      </c>
      <c r="Q440" s="1" t="str">
        <f>IFERROR(VLOOKUP(O440, [1]meteoriteQuery!$D$2:$E$540,2,FALSE),"")</f>
        <v/>
      </c>
      <c r="R440" s="1" t="s">
        <v>1964</v>
      </c>
      <c r="S440" s="1">
        <f>IFERROR(VLOOKUP(C440,[1]meteoriteQuery!$D$2:$F$517,1,FALSE),"")</f>
        <v>50457</v>
      </c>
    </row>
    <row r="441" spans="1:19" x14ac:dyDescent="0.25">
      <c r="A441" s="1">
        <v>392</v>
      </c>
      <c r="B441" s="1" t="s">
        <v>1967</v>
      </c>
      <c r="C441" s="1">
        <v>50458</v>
      </c>
      <c r="D441" s="1" t="s">
        <v>1965</v>
      </c>
      <c r="E441" s="1" t="s">
        <v>1966</v>
      </c>
      <c r="F441" s="1">
        <v>7</v>
      </c>
      <c r="G441" s="1" t="s">
        <v>14</v>
      </c>
      <c r="H441" s="1" t="s">
        <v>1968</v>
      </c>
      <c r="I441" s="1"/>
      <c r="J441" s="1">
        <v>49703</v>
      </c>
      <c r="K441" s="1" t="str">
        <f t="shared" si="12"/>
        <v>1:1:49703:5</v>
      </c>
      <c r="L441" s="1">
        <v>50459</v>
      </c>
      <c r="M441" s="3" t="str">
        <f t="shared" si="13"/>
        <v>1:1:50459:3</v>
      </c>
      <c r="N441" s="1">
        <v>0</v>
      </c>
      <c r="O441" s="1" t="s">
        <v>2249</v>
      </c>
      <c r="P441" s="3" t="str" cm="1">
        <f t="array" ref="P441">IFERROR(mindat_longid(O441),"")</f>
        <v/>
      </c>
      <c r="Q441" s="1" t="str">
        <f>IFERROR(VLOOKUP(O441, [1]meteoriteQuery!$D$2:$E$540,2,FALSE),"")</f>
        <v/>
      </c>
      <c r="R441" s="1" t="s">
        <v>1969</v>
      </c>
      <c r="S441" s="1">
        <f>IFERROR(VLOOKUP(C441,[1]meteoriteQuery!$D$2:$F$517,1,FALSE),"")</f>
        <v>50458</v>
      </c>
    </row>
    <row r="442" spans="1:19" x14ac:dyDescent="0.25">
      <c r="A442" s="1">
        <v>393</v>
      </c>
      <c r="B442" s="1" t="s">
        <v>1972</v>
      </c>
      <c r="C442" s="1">
        <v>50459</v>
      </c>
      <c r="D442" s="1" t="s">
        <v>1970</v>
      </c>
      <c r="E442" s="1" t="s">
        <v>1971</v>
      </c>
      <c r="F442" s="1">
        <v>7</v>
      </c>
      <c r="G442" s="1" t="s">
        <v>14</v>
      </c>
      <c r="H442" s="1" t="s">
        <v>1973</v>
      </c>
      <c r="I442" s="1"/>
      <c r="J442" s="1">
        <v>49710</v>
      </c>
      <c r="K442" s="1" t="str">
        <f t="shared" si="12"/>
        <v>1:1:49710:5</v>
      </c>
      <c r="L442" s="1">
        <v>49776</v>
      </c>
      <c r="M442" s="3" t="str">
        <f t="shared" si="13"/>
        <v>1:1:49776:1</v>
      </c>
      <c r="N442" s="1">
        <v>0</v>
      </c>
      <c r="O442" s="1" t="s">
        <v>2249</v>
      </c>
      <c r="P442" s="3" t="str" cm="1">
        <f t="array" ref="P442">IFERROR(mindat_longid(O442),"")</f>
        <v/>
      </c>
      <c r="Q442" s="1" t="str">
        <f>IFERROR(VLOOKUP(O442, [1]meteoriteQuery!$D$2:$E$540,2,FALSE),"")</f>
        <v/>
      </c>
      <c r="R442" s="1" t="s">
        <v>1974</v>
      </c>
      <c r="S442" s="1">
        <f>IFERROR(VLOOKUP(C442,[1]meteoriteQuery!$D$2:$F$517,1,FALSE),"")</f>
        <v>50459</v>
      </c>
    </row>
    <row r="443" spans="1:19" x14ac:dyDescent="0.25">
      <c r="A443" s="1">
        <v>394</v>
      </c>
      <c r="B443" s="1" t="s">
        <v>1977</v>
      </c>
      <c r="C443" s="1">
        <v>50460</v>
      </c>
      <c r="D443" s="1" t="s">
        <v>1975</v>
      </c>
      <c r="E443" s="1" t="s">
        <v>1976</v>
      </c>
      <c r="F443" s="1">
        <v>7</v>
      </c>
      <c r="G443" s="1" t="s">
        <v>14</v>
      </c>
      <c r="H443" s="1" t="s">
        <v>1978</v>
      </c>
      <c r="I443" s="1"/>
      <c r="J443" s="1">
        <v>49746</v>
      </c>
      <c r="K443" s="1" t="str">
        <f t="shared" si="12"/>
        <v>1:1:49746:0</v>
      </c>
      <c r="L443" s="1">
        <v>49768</v>
      </c>
      <c r="M443" s="3" t="str">
        <f t="shared" si="13"/>
        <v>1:1:49768:2</v>
      </c>
      <c r="N443" s="1">
        <v>0</v>
      </c>
      <c r="O443" s="1" t="s">
        <v>2249</v>
      </c>
      <c r="P443" s="3" t="str" cm="1">
        <f t="array" ref="P443">IFERROR(mindat_longid(O443),"")</f>
        <v/>
      </c>
      <c r="Q443" s="1" t="str">
        <f>IFERROR(VLOOKUP(O443, [1]meteoriteQuery!$D$2:$E$540,2,FALSE),"")</f>
        <v/>
      </c>
      <c r="R443" s="1" t="s">
        <v>1979</v>
      </c>
      <c r="S443" s="1">
        <f>IFERROR(VLOOKUP(C443,[1]meteoriteQuery!$D$2:$F$517,1,FALSE),"")</f>
        <v>50460</v>
      </c>
    </row>
    <row r="444" spans="1:19" x14ac:dyDescent="0.25">
      <c r="A444" s="1">
        <v>395</v>
      </c>
      <c r="B444" s="1" t="s">
        <v>1982</v>
      </c>
      <c r="C444" s="1">
        <v>50461</v>
      </c>
      <c r="D444" s="1" t="s">
        <v>1980</v>
      </c>
      <c r="E444" s="1" t="s">
        <v>1981</v>
      </c>
      <c r="F444" s="1">
        <v>7</v>
      </c>
      <c r="G444" s="1" t="s">
        <v>14</v>
      </c>
      <c r="H444" s="1" t="s">
        <v>1983</v>
      </c>
      <c r="I444" s="1"/>
      <c r="J444" s="1">
        <v>49746</v>
      </c>
      <c r="K444" s="1" t="str">
        <f t="shared" si="12"/>
        <v>1:1:49746:0</v>
      </c>
      <c r="L444" s="1">
        <v>0</v>
      </c>
      <c r="M444" s="3" t="str">
        <f t="shared" si="13"/>
        <v/>
      </c>
      <c r="N444" s="1">
        <v>0</v>
      </c>
      <c r="O444" s="1" t="s">
        <v>2249</v>
      </c>
      <c r="P444" s="3" t="str" cm="1">
        <f t="array" ref="P444">IFERROR(mindat_longid(O444),"")</f>
        <v/>
      </c>
      <c r="Q444" s="1" t="str">
        <f>IFERROR(VLOOKUP(O444, [1]meteoriteQuery!$D$2:$E$540,2,FALSE),"")</f>
        <v/>
      </c>
      <c r="R444" s="1" t="s">
        <v>1984</v>
      </c>
      <c r="S444" s="1">
        <f>IFERROR(VLOOKUP(C444,[1]meteoriteQuery!$D$2:$F$517,1,FALSE),"")</f>
        <v>50461</v>
      </c>
    </row>
    <row r="445" spans="1:19" x14ac:dyDescent="0.25">
      <c r="A445" s="1">
        <v>396</v>
      </c>
      <c r="B445" s="1" t="s">
        <v>1987</v>
      </c>
      <c r="C445" s="1">
        <v>50462</v>
      </c>
      <c r="D445" s="1" t="s">
        <v>1985</v>
      </c>
      <c r="E445" s="1" t="s">
        <v>1986</v>
      </c>
      <c r="F445" s="1">
        <v>7</v>
      </c>
      <c r="G445" s="1" t="s">
        <v>14</v>
      </c>
      <c r="H445" s="1" t="s">
        <v>1988</v>
      </c>
      <c r="I445" s="1"/>
      <c r="J445" s="1">
        <v>49768</v>
      </c>
      <c r="K445" s="1" t="str">
        <f t="shared" si="12"/>
        <v>1:1:49768:2</v>
      </c>
      <c r="L445" s="1">
        <v>49772</v>
      </c>
      <c r="M445" s="3" t="str">
        <f t="shared" si="13"/>
        <v>1:1:49772:5</v>
      </c>
      <c r="N445" s="1">
        <v>0</v>
      </c>
      <c r="O445" s="1" t="s">
        <v>2249</v>
      </c>
      <c r="P445" s="3" t="str" cm="1">
        <f t="array" ref="P445">IFERROR(mindat_longid(O445),"")</f>
        <v/>
      </c>
      <c r="Q445" s="1" t="str">
        <f>IFERROR(VLOOKUP(O445, [1]meteoriteQuery!$D$2:$E$540,2,FALSE),"")</f>
        <v/>
      </c>
      <c r="R445" s="1" t="s">
        <v>1989</v>
      </c>
      <c r="S445" s="1">
        <f>IFERROR(VLOOKUP(C445,[1]meteoriteQuery!$D$2:$F$517,1,FALSE),"")</f>
        <v>50462</v>
      </c>
    </row>
    <row r="446" spans="1:19" x14ac:dyDescent="0.25">
      <c r="A446" s="1">
        <v>397</v>
      </c>
      <c r="B446" s="1" t="s">
        <v>1992</v>
      </c>
      <c r="C446" s="1">
        <v>50463</v>
      </c>
      <c r="D446" s="1" t="s">
        <v>1990</v>
      </c>
      <c r="E446" s="1" t="s">
        <v>1991</v>
      </c>
      <c r="F446" s="1">
        <v>7</v>
      </c>
      <c r="G446" s="1" t="s">
        <v>14</v>
      </c>
      <c r="H446" s="1" t="s">
        <v>1993</v>
      </c>
      <c r="I446" s="1"/>
      <c r="J446" s="1">
        <v>49772</v>
      </c>
      <c r="K446" s="1" t="str">
        <f t="shared" si="12"/>
        <v>1:1:49772:5</v>
      </c>
      <c r="L446" s="1">
        <v>49776</v>
      </c>
      <c r="M446" s="3" t="str">
        <f t="shared" si="13"/>
        <v>1:1:49776:1</v>
      </c>
      <c r="N446" s="1">
        <v>0</v>
      </c>
      <c r="O446" s="1" t="s">
        <v>2249</v>
      </c>
      <c r="P446" s="3" t="str" cm="1">
        <f t="array" ref="P446">IFERROR(mindat_longid(O446),"")</f>
        <v/>
      </c>
      <c r="Q446" s="1" t="str">
        <f>IFERROR(VLOOKUP(O446, [1]meteoriteQuery!$D$2:$E$540,2,FALSE),"")</f>
        <v/>
      </c>
      <c r="R446" s="1" t="s">
        <v>1994</v>
      </c>
      <c r="S446" s="1">
        <f>IFERROR(VLOOKUP(C446,[1]meteoriteQuery!$D$2:$F$517,1,FALSE),"")</f>
        <v>50463</v>
      </c>
    </row>
    <row r="447" spans="1:19" x14ac:dyDescent="0.25">
      <c r="A447" s="1">
        <v>113</v>
      </c>
      <c r="B447" s="1" t="s">
        <v>2428</v>
      </c>
      <c r="C447" s="3">
        <v>51453</v>
      </c>
      <c r="D447" s="1" t="s">
        <v>2346</v>
      </c>
      <c r="E447" s="1" t="s">
        <v>2429</v>
      </c>
      <c r="F447" s="1">
        <v>7</v>
      </c>
      <c r="G447" s="1" t="s">
        <v>14</v>
      </c>
      <c r="H447" s="1" t="s">
        <v>2430</v>
      </c>
      <c r="I447" s="1"/>
      <c r="J447" s="3">
        <v>49091</v>
      </c>
      <c r="K447" s="1" t="str">
        <f t="shared" si="12"/>
        <v>1:1:49091:7</v>
      </c>
      <c r="L447" s="1">
        <v>50222</v>
      </c>
      <c r="M447" s="3" t="s">
        <v>2455</v>
      </c>
      <c r="N447" s="1">
        <v>1</v>
      </c>
      <c r="O447" s="1"/>
      <c r="P447" s="3" t="str" cm="1">
        <f t="array" ref="P447">IFERROR(mindat_longid(O447),"")</f>
        <v/>
      </c>
      <c r="Q447" s="1" t="str">
        <f>IFERROR(VLOOKUP(O447, [1]meteoriteQuery!$D$2:$E$540,2,FALSE),"")</f>
        <v/>
      </c>
      <c r="R447" s="1"/>
    </row>
    <row r="448" spans="1:19" x14ac:dyDescent="0.25">
      <c r="A448" s="1">
        <v>398</v>
      </c>
      <c r="B448" s="1" t="s">
        <v>1997</v>
      </c>
      <c r="C448" s="1">
        <v>52197</v>
      </c>
      <c r="D448" s="1" t="s">
        <v>1995</v>
      </c>
      <c r="E448" s="1" t="s">
        <v>1996</v>
      </c>
      <c r="F448" s="1">
        <v>7</v>
      </c>
      <c r="G448" s="1" t="s">
        <v>14</v>
      </c>
      <c r="H448" s="1" t="s">
        <v>1998</v>
      </c>
      <c r="I448" s="1"/>
      <c r="J448" s="1">
        <v>49938</v>
      </c>
      <c r="K448" s="1" t="str">
        <f t="shared" si="12"/>
        <v>1:1:49938:9</v>
      </c>
      <c r="L448" s="1">
        <v>0</v>
      </c>
      <c r="M448" s="1" t="str">
        <f t="shared" si="13"/>
        <v/>
      </c>
      <c r="N448" s="1">
        <v>0</v>
      </c>
      <c r="O448" s="1" t="s">
        <v>2249</v>
      </c>
      <c r="P448" s="3" t="str" cm="1">
        <f t="array" ref="P448">IFERROR(mindat_longid(O448),"")</f>
        <v/>
      </c>
      <c r="Q448" s="1" t="str">
        <f>IFERROR(VLOOKUP(O448, [1]meteoriteQuery!$D$2:$E$540,2,FALSE),"")</f>
        <v/>
      </c>
      <c r="R448" s="1" t="s">
        <v>1999</v>
      </c>
      <c r="S448" s="1">
        <f>IFERROR(VLOOKUP(C448,[1]meteoriteQuery!$D$2:$F$517,1,FALSE),"")</f>
        <v>52197</v>
      </c>
    </row>
    <row r="449" spans="1:19" x14ac:dyDescent="0.25">
      <c r="A449" s="1">
        <v>399</v>
      </c>
      <c r="B449" s="1" t="s">
        <v>2002</v>
      </c>
      <c r="C449" s="1">
        <v>52198</v>
      </c>
      <c r="D449" s="1" t="s">
        <v>2000</v>
      </c>
      <c r="E449" s="1" t="s">
        <v>2001</v>
      </c>
      <c r="F449" s="1">
        <v>7</v>
      </c>
      <c r="G449" s="1" t="s">
        <v>14</v>
      </c>
      <c r="H449" s="1" t="s">
        <v>2003</v>
      </c>
      <c r="I449" s="1"/>
      <c r="J449" s="1">
        <v>49938</v>
      </c>
      <c r="K449" s="1" t="str">
        <f t="shared" si="12"/>
        <v>1:1:49938:9</v>
      </c>
      <c r="L449" s="1">
        <v>0</v>
      </c>
      <c r="M449" s="1" t="str">
        <f t="shared" si="13"/>
        <v/>
      </c>
      <c r="N449" s="1">
        <v>0</v>
      </c>
      <c r="O449" s="1" t="s">
        <v>2249</v>
      </c>
      <c r="P449" s="3" t="str" cm="1">
        <f t="array" ref="P449">IFERROR(mindat_longid(O449),"")</f>
        <v/>
      </c>
      <c r="Q449" s="1" t="str">
        <f>IFERROR(VLOOKUP(O449, [1]meteoriteQuery!$D$2:$E$540,2,FALSE),"")</f>
        <v/>
      </c>
      <c r="R449" s="1" t="s">
        <v>2004</v>
      </c>
      <c r="S449" s="1">
        <f>IFERROR(VLOOKUP(C449,[1]meteoriteQuery!$D$2:$F$517,1,FALSE),"")</f>
        <v>52198</v>
      </c>
    </row>
    <row r="450" spans="1:19" x14ac:dyDescent="0.25">
      <c r="A450" s="1">
        <v>400</v>
      </c>
      <c r="B450" s="1" t="s">
        <v>2007</v>
      </c>
      <c r="C450" s="1">
        <v>52199</v>
      </c>
      <c r="D450" s="1" t="s">
        <v>2005</v>
      </c>
      <c r="E450" s="1" t="s">
        <v>2006</v>
      </c>
      <c r="F450" s="1">
        <v>7</v>
      </c>
      <c r="G450" s="1" t="s">
        <v>14</v>
      </c>
      <c r="H450" s="1" t="s">
        <v>2008</v>
      </c>
      <c r="I450" s="1"/>
      <c r="J450" s="1">
        <v>49585</v>
      </c>
      <c r="K450" s="1" t="str">
        <f t="shared" si="12"/>
        <v>1:1:49585:1</v>
      </c>
      <c r="L450" s="1">
        <v>0</v>
      </c>
      <c r="M450" s="1" t="str">
        <f t="shared" si="13"/>
        <v/>
      </c>
      <c r="N450" s="1">
        <v>0</v>
      </c>
      <c r="O450" s="1" t="s">
        <v>2249</v>
      </c>
      <c r="P450" s="3" t="str" cm="1">
        <f t="array" ref="P450">IFERROR(mindat_longid(O450),"")</f>
        <v/>
      </c>
      <c r="Q450" s="1" t="str">
        <f>IFERROR(VLOOKUP(O450, [1]meteoriteQuery!$D$2:$E$540,2,FALSE),"")</f>
        <v/>
      </c>
      <c r="R450" s="1" t="s">
        <v>2009</v>
      </c>
      <c r="S450" s="1">
        <f>IFERROR(VLOOKUP(C450,[1]meteoriteQuery!$D$2:$F$517,1,FALSE),"")</f>
        <v>52199</v>
      </c>
    </row>
    <row r="451" spans="1:19" x14ac:dyDescent="0.25">
      <c r="A451" s="1">
        <v>401</v>
      </c>
      <c r="B451" s="1" t="s">
        <v>2012</v>
      </c>
      <c r="C451" s="1">
        <v>52200</v>
      </c>
      <c r="D451" s="1" t="s">
        <v>2010</v>
      </c>
      <c r="E451" s="1" t="s">
        <v>2011</v>
      </c>
      <c r="F451" s="1">
        <v>7</v>
      </c>
      <c r="G451" s="1" t="s">
        <v>14</v>
      </c>
      <c r="H451" s="1" t="s">
        <v>2013</v>
      </c>
      <c r="I451" s="1"/>
      <c r="J451" s="1">
        <v>49585</v>
      </c>
      <c r="K451" s="1" t="str">
        <f t="shared" si="12"/>
        <v>1:1:49585:1</v>
      </c>
      <c r="L451" s="1">
        <v>0</v>
      </c>
      <c r="M451" s="1" t="str">
        <f t="shared" si="13"/>
        <v/>
      </c>
      <c r="N451" s="1">
        <v>0</v>
      </c>
      <c r="O451" s="1" t="s">
        <v>2249</v>
      </c>
      <c r="P451" s="3" t="str" cm="1">
        <f t="array" ref="P451">IFERROR(mindat_longid(O451),"")</f>
        <v/>
      </c>
      <c r="Q451" s="1" t="str">
        <f>IFERROR(VLOOKUP(O451, [1]meteoriteQuery!$D$2:$E$540,2,FALSE),"")</f>
        <v/>
      </c>
      <c r="R451" s="1" t="s">
        <v>2014</v>
      </c>
      <c r="S451" s="1">
        <f>IFERROR(VLOOKUP(C451,[1]meteoriteQuery!$D$2:$F$517,1,FALSE),"")</f>
        <v>52200</v>
      </c>
    </row>
    <row r="452" spans="1:19" x14ac:dyDescent="0.25">
      <c r="A452" s="1">
        <v>402</v>
      </c>
      <c r="B452" s="1" t="s">
        <v>2017</v>
      </c>
      <c r="C452" s="1">
        <v>52201</v>
      </c>
      <c r="D452" s="1" t="s">
        <v>2015</v>
      </c>
      <c r="E452" s="1" t="s">
        <v>2016</v>
      </c>
      <c r="F452" s="1">
        <v>7</v>
      </c>
      <c r="G452" s="1" t="s">
        <v>14</v>
      </c>
      <c r="H452" s="1" t="s">
        <v>2018</v>
      </c>
      <c r="I452" s="1"/>
      <c r="J452" s="1">
        <v>50269</v>
      </c>
      <c r="K452" s="1" t="str">
        <f t="shared" ref="K452:K502" si="14">IFERROR(VLOOKUP(J452,$C$2:$D$502,2,FALSE),"")</f>
        <v>1:1:50269:2</v>
      </c>
      <c r="L452" s="1">
        <v>0</v>
      </c>
      <c r="M452" s="1" t="str">
        <f t="shared" ref="M452:M502" si="15">IFERROR(VLOOKUP(L452,$C$2:$D$502,2,FALSE),"")</f>
        <v/>
      </c>
      <c r="N452" s="1">
        <v>0</v>
      </c>
      <c r="O452" s="1" t="s">
        <v>2249</v>
      </c>
      <c r="P452" s="3" t="str" cm="1">
        <f t="array" ref="P452">IFERROR(mindat_longid(O452),"")</f>
        <v/>
      </c>
      <c r="Q452" s="1" t="str">
        <f>IFERROR(VLOOKUP(O452, [1]meteoriteQuery!$D$2:$E$540,2,FALSE),"")</f>
        <v/>
      </c>
      <c r="R452" s="1" t="s">
        <v>2019</v>
      </c>
      <c r="S452" s="1">
        <f>IFERROR(VLOOKUP(C452,[1]meteoriteQuery!$D$2:$F$517,1,FALSE),"")</f>
        <v>52201</v>
      </c>
    </row>
    <row r="453" spans="1:19" x14ac:dyDescent="0.25">
      <c r="A453" s="1">
        <v>403</v>
      </c>
      <c r="B453" s="1" t="s">
        <v>2022</v>
      </c>
      <c r="C453" s="1">
        <v>52202</v>
      </c>
      <c r="D453" s="1" t="s">
        <v>2020</v>
      </c>
      <c r="E453" s="1" t="s">
        <v>2021</v>
      </c>
      <c r="F453" s="1">
        <v>7</v>
      </c>
      <c r="G453" s="1" t="s">
        <v>14</v>
      </c>
      <c r="H453" s="1" t="s">
        <v>2023</v>
      </c>
      <c r="I453" s="1"/>
      <c r="J453" s="1">
        <v>49520</v>
      </c>
      <c r="K453" s="1" t="str">
        <f t="shared" si="14"/>
        <v>1:1:49520:4</v>
      </c>
      <c r="L453" s="1">
        <v>0</v>
      </c>
      <c r="M453" s="1" t="str">
        <f t="shared" si="15"/>
        <v/>
      </c>
      <c r="N453" s="1">
        <v>0</v>
      </c>
      <c r="O453" s="1">
        <v>52363</v>
      </c>
      <c r="P453" s="3" t="str" cm="1">
        <f t="array" ref="P453">IFERROR(mindat_longid(O453),"")</f>
        <v>1:1:52363:1</v>
      </c>
      <c r="Q453" s="1" t="str">
        <f>IFERROR(VLOOKUP(O453, [1]meteoriteQuery!$D$2:$E$540,2,FALSE),"")</f>
        <v>C-ung chondrite meteorite</v>
      </c>
      <c r="R453" s="1" t="s">
        <v>2024</v>
      </c>
      <c r="S453" s="1">
        <f>IFERROR(VLOOKUP(C453,[1]meteoriteQuery!$D$2:$F$517,1,FALSE),"")</f>
        <v>52202</v>
      </c>
    </row>
    <row r="454" spans="1:19" x14ac:dyDescent="0.25">
      <c r="A454" s="1">
        <v>404</v>
      </c>
      <c r="B454" s="1" t="s">
        <v>2027</v>
      </c>
      <c r="C454" s="1">
        <v>52203</v>
      </c>
      <c r="D454" s="1" t="s">
        <v>2025</v>
      </c>
      <c r="E454" s="1" t="s">
        <v>2026</v>
      </c>
      <c r="F454" s="1">
        <v>7</v>
      </c>
      <c r="G454" s="1" t="s">
        <v>14</v>
      </c>
      <c r="H454" s="1" t="s">
        <v>2028</v>
      </c>
      <c r="I454" s="1"/>
      <c r="J454" s="1">
        <v>49544</v>
      </c>
      <c r="K454" s="1" t="str">
        <f t="shared" si="14"/>
        <v>1:1:49544:4</v>
      </c>
      <c r="L454" s="1">
        <v>49551</v>
      </c>
      <c r="M454" s="1" t="str">
        <f t="shared" si="15"/>
        <v>1:1:49551:4</v>
      </c>
      <c r="N454" s="1">
        <v>0</v>
      </c>
      <c r="O454" s="1" t="s">
        <v>2249</v>
      </c>
      <c r="P454" s="3" t="str" cm="1">
        <f t="array" ref="P454">IFERROR(mindat_longid(O454),"")</f>
        <v/>
      </c>
      <c r="Q454" s="1" t="str">
        <f>IFERROR(VLOOKUP(O454, [1]meteoriteQuery!$D$2:$E$540,2,FALSE),"")</f>
        <v/>
      </c>
      <c r="R454" s="1" t="s">
        <v>2029</v>
      </c>
      <c r="S454" s="1">
        <f>IFERROR(VLOOKUP(C454,[1]meteoriteQuery!$D$2:$F$517,1,FALSE),"")</f>
        <v>52203</v>
      </c>
    </row>
    <row r="455" spans="1:19" x14ac:dyDescent="0.25">
      <c r="A455" s="1">
        <v>405</v>
      </c>
      <c r="B455" s="1" t="s">
        <v>2032</v>
      </c>
      <c r="C455" s="1">
        <v>52204</v>
      </c>
      <c r="D455" s="1" t="s">
        <v>2030</v>
      </c>
      <c r="E455" s="1" t="s">
        <v>2031</v>
      </c>
      <c r="F455" s="1">
        <v>7</v>
      </c>
      <c r="G455" s="1" t="s">
        <v>14</v>
      </c>
      <c r="H455" s="1" t="s">
        <v>2033</v>
      </c>
      <c r="I455" s="1"/>
      <c r="J455" s="1">
        <v>49539</v>
      </c>
      <c r="K455" s="1" t="str">
        <f t="shared" si="14"/>
        <v>1:1:49539:2</v>
      </c>
      <c r="L455" s="1">
        <v>49538</v>
      </c>
      <c r="M455" s="1" t="str">
        <f t="shared" si="15"/>
        <v>1:1:49538:3</v>
      </c>
      <c r="N455" s="1">
        <v>0</v>
      </c>
      <c r="O455" s="1" t="s">
        <v>2249</v>
      </c>
      <c r="P455" s="3" t="str" cm="1">
        <f t="array" ref="P455">IFERROR(mindat_longid(O455),"")</f>
        <v/>
      </c>
      <c r="Q455" s="1" t="str">
        <f>IFERROR(VLOOKUP(O455, [1]meteoriteQuery!$D$2:$E$540,2,FALSE),"")</f>
        <v/>
      </c>
      <c r="R455" s="1" t="s">
        <v>2034</v>
      </c>
      <c r="S455" s="1">
        <f>IFERROR(VLOOKUP(C455,[1]meteoriteQuery!$D$2:$F$517,1,FALSE),"")</f>
        <v>52204</v>
      </c>
    </row>
    <row r="456" spans="1:19" x14ac:dyDescent="0.25">
      <c r="A456" s="1">
        <v>406</v>
      </c>
      <c r="B456" s="1" t="s">
        <v>2037</v>
      </c>
      <c r="C456" s="1">
        <v>52205</v>
      </c>
      <c r="D456" s="1" t="s">
        <v>2035</v>
      </c>
      <c r="E456" s="1" t="s">
        <v>2036</v>
      </c>
      <c r="F456" s="1">
        <v>7</v>
      </c>
      <c r="G456" s="1" t="s">
        <v>14</v>
      </c>
      <c r="H456" s="1" t="s">
        <v>2038</v>
      </c>
      <c r="I456" s="1"/>
      <c r="J456" s="1">
        <v>49548</v>
      </c>
      <c r="K456" s="1" t="str">
        <f t="shared" si="14"/>
        <v>1:1:49548:0</v>
      </c>
      <c r="L456" s="1">
        <v>49550</v>
      </c>
      <c r="M456" s="1" t="str">
        <f t="shared" si="15"/>
        <v>1:1:49550:5</v>
      </c>
      <c r="N456" s="1">
        <v>0</v>
      </c>
      <c r="O456" s="1" t="s">
        <v>2249</v>
      </c>
      <c r="P456" s="3" t="str" cm="1">
        <f t="array" ref="P456">IFERROR(mindat_longid(O456),"")</f>
        <v/>
      </c>
      <c r="Q456" s="1" t="str">
        <f>IFERROR(VLOOKUP(O456, [1]meteoriteQuery!$D$2:$E$540,2,FALSE),"")</f>
        <v/>
      </c>
      <c r="R456" s="1" t="s">
        <v>2039</v>
      </c>
      <c r="S456" s="1">
        <f>IFERROR(VLOOKUP(C456,[1]meteoriteQuery!$D$2:$F$517,1,FALSE),"")</f>
        <v>52205</v>
      </c>
    </row>
    <row r="457" spans="1:19" x14ac:dyDescent="0.25">
      <c r="A457" s="1">
        <v>407</v>
      </c>
      <c r="B457" s="1" t="s">
        <v>2042</v>
      </c>
      <c r="C457" s="1">
        <v>52206</v>
      </c>
      <c r="D457" s="1" t="s">
        <v>2040</v>
      </c>
      <c r="E457" s="1" t="s">
        <v>2041</v>
      </c>
      <c r="F457" s="1">
        <v>7</v>
      </c>
      <c r="G457" s="1" t="s">
        <v>14</v>
      </c>
      <c r="H457" s="1" t="s">
        <v>2043</v>
      </c>
      <c r="I457" s="1"/>
      <c r="J457" s="1">
        <v>49550</v>
      </c>
      <c r="K457" s="1" t="str">
        <f t="shared" si="14"/>
        <v>1:1:49550:5</v>
      </c>
      <c r="L457" s="1">
        <v>0</v>
      </c>
      <c r="M457" s="1" t="str">
        <f t="shared" si="15"/>
        <v/>
      </c>
      <c r="N457" s="1">
        <v>0</v>
      </c>
      <c r="O457" s="1">
        <v>52387</v>
      </c>
      <c r="P457" s="3" t="str" cm="1">
        <f t="array" ref="P457">IFERROR(mindat_longid(O457),"")</f>
        <v>1:1:52387:1</v>
      </c>
      <c r="Q457" s="1" t="str">
        <f>IFERROR(VLOOKUP(O457, [1]meteoriteQuery!$D$2:$E$540,2,FALSE),"")</f>
        <v>CK5-an chondrite meteorite</v>
      </c>
      <c r="R457" s="1" t="s">
        <v>2044</v>
      </c>
      <c r="S457" s="1">
        <f>IFERROR(VLOOKUP(C457,[1]meteoriteQuery!$D$2:$F$517,1,FALSE),"")</f>
        <v>52206</v>
      </c>
    </row>
    <row r="458" spans="1:19" x14ac:dyDescent="0.25">
      <c r="A458" s="1">
        <v>408</v>
      </c>
      <c r="B458" s="1" t="s">
        <v>2047</v>
      </c>
      <c r="C458" s="1">
        <v>52207</v>
      </c>
      <c r="D458" s="1" t="s">
        <v>2045</v>
      </c>
      <c r="E458" s="1" t="s">
        <v>2046</v>
      </c>
      <c r="F458" s="1">
        <v>7</v>
      </c>
      <c r="G458" s="1" t="s">
        <v>14</v>
      </c>
      <c r="H458" s="1" t="s">
        <v>2048</v>
      </c>
      <c r="I458" s="1"/>
      <c r="J458" s="1">
        <v>49550</v>
      </c>
      <c r="K458" s="1" t="str">
        <f t="shared" si="14"/>
        <v>1:1:49550:5</v>
      </c>
      <c r="L458" s="1">
        <v>49551</v>
      </c>
      <c r="M458" s="1" t="str">
        <f t="shared" si="15"/>
        <v>1:1:49551:4</v>
      </c>
      <c r="N458" s="1">
        <v>0</v>
      </c>
      <c r="O458" s="1" t="s">
        <v>2249</v>
      </c>
      <c r="P458" s="3" t="str" cm="1">
        <f t="array" ref="P458">IFERROR(mindat_longid(O458),"")</f>
        <v/>
      </c>
      <c r="Q458" s="1" t="str">
        <f>IFERROR(VLOOKUP(O458, [1]meteoriteQuery!$D$2:$E$540,2,FALSE),"")</f>
        <v/>
      </c>
      <c r="R458" s="1" t="s">
        <v>2049</v>
      </c>
      <c r="S458" s="1">
        <f>IFERROR(VLOOKUP(C458,[1]meteoriteQuery!$D$2:$F$517,1,FALSE),"")</f>
        <v>52207</v>
      </c>
    </row>
    <row r="459" spans="1:19" x14ac:dyDescent="0.25">
      <c r="A459" s="1">
        <v>409</v>
      </c>
      <c r="B459" s="1" t="s">
        <v>2052</v>
      </c>
      <c r="C459" s="1">
        <v>52208</v>
      </c>
      <c r="D459" s="1" t="s">
        <v>2050</v>
      </c>
      <c r="E459" s="1" t="s">
        <v>2051</v>
      </c>
      <c r="F459" s="1">
        <v>7</v>
      </c>
      <c r="G459" s="1" t="s">
        <v>14</v>
      </c>
      <c r="H459" s="1" t="s">
        <v>2053</v>
      </c>
      <c r="I459" s="1"/>
      <c r="J459" s="1">
        <v>49813</v>
      </c>
      <c r="K459" s="1" t="str">
        <f t="shared" si="14"/>
        <v>1:1:49813:1</v>
      </c>
      <c r="L459" s="1">
        <v>0</v>
      </c>
      <c r="M459" s="1" t="str">
        <f t="shared" si="15"/>
        <v/>
      </c>
      <c r="N459" s="1">
        <v>0</v>
      </c>
      <c r="O459" s="1" t="s">
        <v>2249</v>
      </c>
      <c r="P459" s="3" t="str" cm="1">
        <f t="array" ref="P459">IFERROR(mindat_longid(O459),"")</f>
        <v/>
      </c>
      <c r="Q459" s="1" t="str">
        <f>IFERROR(VLOOKUP(O459, [1]meteoriteQuery!$D$2:$E$540,2,FALSE),"")</f>
        <v/>
      </c>
      <c r="R459" s="1" t="s">
        <v>2054</v>
      </c>
      <c r="S459" s="1">
        <f>IFERROR(VLOOKUP(C459,[1]meteoriteQuery!$D$2:$F$517,1,FALSE),"")</f>
        <v>52208</v>
      </c>
    </row>
    <row r="460" spans="1:19" x14ac:dyDescent="0.25">
      <c r="A460" s="1">
        <v>410</v>
      </c>
      <c r="B460" s="1" t="s">
        <v>2057</v>
      </c>
      <c r="C460" s="1">
        <v>52209</v>
      </c>
      <c r="D460" s="1" t="s">
        <v>2055</v>
      </c>
      <c r="E460" s="1" t="s">
        <v>2056</v>
      </c>
      <c r="F460" s="1">
        <v>7</v>
      </c>
      <c r="G460" s="1" t="s">
        <v>14</v>
      </c>
      <c r="H460" s="1" t="s">
        <v>2058</v>
      </c>
      <c r="I460" s="1"/>
      <c r="J460" s="1">
        <v>49835</v>
      </c>
      <c r="K460" s="1" t="str">
        <f t="shared" si="14"/>
        <v>1:1:49835:3</v>
      </c>
      <c r="L460" s="1">
        <v>49836</v>
      </c>
      <c r="M460" s="1" t="str">
        <f t="shared" si="15"/>
        <v>1:1:49836:2</v>
      </c>
      <c r="N460" s="1">
        <v>0</v>
      </c>
      <c r="O460" s="1" t="s">
        <v>2249</v>
      </c>
      <c r="P460" s="3" t="str" cm="1">
        <f t="array" ref="P460">IFERROR(mindat_longid(O460),"")</f>
        <v/>
      </c>
      <c r="Q460" s="1" t="str">
        <f>IFERROR(VLOOKUP(O460, [1]meteoriteQuery!$D$2:$E$540,2,FALSE),"")</f>
        <v/>
      </c>
      <c r="R460" s="1" t="s">
        <v>2059</v>
      </c>
      <c r="S460" s="1">
        <f>IFERROR(VLOOKUP(C460,[1]meteoriteQuery!$D$2:$F$517,1,FALSE),"")</f>
        <v>52209</v>
      </c>
    </row>
    <row r="461" spans="1:19" x14ac:dyDescent="0.25">
      <c r="A461" s="1">
        <v>411</v>
      </c>
      <c r="B461" s="1" t="s">
        <v>2062</v>
      </c>
      <c r="C461" s="1">
        <v>52210</v>
      </c>
      <c r="D461" s="1" t="s">
        <v>2060</v>
      </c>
      <c r="E461" s="1" t="s">
        <v>2061</v>
      </c>
      <c r="F461" s="1">
        <v>7</v>
      </c>
      <c r="G461" s="1" t="s">
        <v>14</v>
      </c>
      <c r="H461" s="1" t="s">
        <v>2063</v>
      </c>
      <c r="I461" s="1"/>
      <c r="J461" s="1">
        <v>49835</v>
      </c>
      <c r="K461" s="1" t="str">
        <f t="shared" si="14"/>
        <v>1:1:49835:3</v>
      </c>
      <c r="L461" s="1">
        <v>49837</v>
      </c>
      <c r="M461" s="1" t="str">
        <f t="shared" si="15"/>
        <v>1:1:49837:1</v>
      </c>
      <c r="N461" s="1">
        <v>0</v>
      </c>
      <c r="O461" s="1" t="s">
        <v>2249</v>
      </c>
      <c r="P461" s="3" t="str" cm="1">
        <f t="array" ref="P461">IFERROR(mindat_longid(O461),"")</f>
        <v/>
      </c>
      <c r="Q461" s="1" t="str">
        <f>IFERROR(VLOOKUP(O461, [1]meteoriteQuery!$D$2:$E$540,2,FALSE),"")</f>
        <v/>
      </c>
      <c r="R461" s="1" t="s">
        <v>2064</v>
      </c>
      <c r="S461" s="1">
        <f>IFERROR(VLOOKUP(C461,[1]meteoriteQuery!$D$2:$F$517,1,FALSE),"")</f>
        <v>52210</v>
      </c>
    </row>
    <row r="462" spans="1:19" x14ac:dyDescent="0.25">
      <c r="A462" s="1">
        <v>412</v>
      </c>
      <c r="B462" s="1" t="s">
        <v>2067</v>
      </c>
      <c r="C462" s="1">
        <v>52211</v>
      </c>
      <c r="D462" s="1" t="s">
        <v>2065</v>
      </c>
      <c r="E462" s="1" t="s">
        <v>2066</v>
      </c>
      <c r="F462" s="1">
        <v>7</v>
      </c>
      <c r="G462" s="1" t="s">
        <v>14</v>
      </c>
      <c r="H462" s="1" t="s">
        <v>2068</v>
      </c>
      <c r="I462" s="1"/>
      <c r="J462" s="1">
        <v>49835</v>
      </c>
      <c r="K462" s="1" t="str">
        <f t="shared" si="14"/>
        <v>1:1:49835:3</v>
      </c>
      <c r="L462" s="1">
        <v>49838</v>
      </c>
      <c r="M462" s="1" t="str">
        <f t="shared" si="15"/>
        <v>1:1:49838:0</v>
      </c>
      <c r="N462" s="1">
        <v>0</v>
      </c>
      <c r="O462" s="1" t="s">
        <v>2249</v>
      </c>
      <c r="P462" s="3" t="str" cm="1">
        <f t="array" ref="P462">IFERROR(mindat_longid(O462),"")</f>
        <v/>
      </c>
      <c r="Q462" s="1" t="str">
        <f>IFERROR(VLOOKUP(O462, [1]meteoriteQuery!$D$2:$E$540,2,FALSE),"")</f>
        <v/>
      </c>
      <c r="R462" s="1" t="s">
        <v>2069</v>
      </c>
      <c r="S462" s="1">
        <f>IFERROR(VLOOKUP(C462,[1]meteoriteQuery!$D$2:$F$517,1,FALSE),"")</f>
        <v>52211</v>
      </c>
    </row>
    <row r="463" spans="1:19" x14ac:dyDescent="0.25">
      <c r="A463" s="1">
        <v>413</v>
      </c>
      <c r="B463" s="1" t="s">
        <v>2072</v>
      </c>
      <c r="C463" s="1">
        <v>52212</v>
      </c>
      <c r="D463" s="1" t="s">
        <v>2070</v>
      </c>
      <c r="E463" s="1" t="s">
        <v>2071</v>
      </c>
      <c r="F463" s="1">
        <v>7</v>
      </c>
      <c r="G463" s="1" t="s">
        <v>14</v>
      </c>
      <c r="H463" s="1" t="s">
        <v>2073</v>
      </c>
      <c r="I463" s="1"/>
      <c r="J463" s="1">
        <v>49835</v>
      </c>
      <c r="K463" s="1" t="str">
        <f t="shared" si="14"/>
        <v>1:1:49835:3</v>
      </c>
      <c r="L463" s="1">
        <v>0</v>
      </c>
      <c r="M463" s="1" t="str">
        <f t="shared" si="15"/>
        <v/>
      </c>
      <c r="N463" s="1">
        <v>0</v>
      </c>
      <c r="O463" s="1" t="s">
        <v>2249</v>
      </c>
      <c r="P463" s="3" t="str" cm="1">
        <f t="array" ref="P463">IFERROR(mindat_longid(O463),"")</f>
        <v/>
      </c>
      <c r="Q463" s="1" t="str">
        <f>IFERROR(VLOOKUP(O463, [1]meteoriteQuery!$D$2:$E$540,2,FALSE),"")</f>
        <v/>
      </c>
      <c r="R463" s="1" t="s">
        <v>2074</v>
      </c>
      <c r="S463" s="1">
        <f>IFERROR(VLOOKUP(C463,[1]meteoriteQuery!$D$2:$F$517,1,FALSE),"")</f>
        <v>52212</v>
      </c>
    </row>
    <row r="464" spans="1:19" x14ac:dyDescent="0.25">
      <c r="A464" s="1">
        <v>414</v>
      </c>
      <c r="B464" s="1" t="s">
        <v>2077</v>
      </c>
      <c r="C464" s="1">
        <v>52213</v>
      </c>
      <c r="D464" s="1" t="s">
        <v>2075</v>
      </c>
      <c r="E464" s="1" t="s">
        <v>2076</v>
      </c>
      <c r="F464" s="1">
        <v>7</v>
      </c>
      <c r="G464" s="1" t="s">
        <v>14</v>
      </c>
      <c r="H464" s="1" t="s">
        <v>2078</v>
      </c>
      <c r="I464" s="1"/>
      <c r="J464" s="1">
        <v>52209</v>
      </c>
      <c r="K464" s="1" t="str">
        <f t="shared" si="14"/>
        <v>1:1:52209:4</v>
      </c>
      <c r="L464" s="1">
        <v>0</v>
      </c>
      <c r="M464" s="1" t="str">
        <f t="shared" si="15"/>
        <v/>
      </c>
      <c r="N464" s="1">
        <v>0</v>
      </c>
      <c r="O464" s="1" t="s">
        <v>2249</v>
      </c>
      <c r="P464" s="3" t="str" cm="1">
        <f t="array" ref="P464">IFERROR(mindat_longid(O464),"")</f>
        <v/>
      </c>
      <c r="Q464" s="1" t="str">
        <f>IFERROR(VLOOKUP(O464, [1]meteoriteQuery!$D$2:$E$540,2,FALSE),"")</f>
        <v/>
      </c>
      <c r="R464" s="1" t="s">
        <v>2079</v>
      </c>
      <c r="S464" s="1">
        <f>IFERROR(VLOOKUP(C464,[1]meteoriteQuery!$D$2:$F$517,1,FALSE),"")</f>
        <v>52213</v>
      </c>
    </row>
    <row r="465" spans="1:19" x14ac:dyDescent="0.25">
      <c r="A465" s="1">
        <v>415</v>
      </c>
      <c r="B465" s="1" t="s">
        <v>2082</v>
      </c>
      <c r="C465" s="1">
        <v>52214</v>
      </c>
      <c r="D465" s="1" t="s">
        <v>2080</v>
      </c>
      <c r="E465" s="1" t="s">
        <v>2081</v>
      </c>
      <c r="F465" s="1">
        <v>7</v>
      </c>
      <c r="G465" s="1" t="s">
        <v>14</v>
      </c>
      <c r="H465" s="1" t="s">
        <v>2083</v>
      </c>
      <c r="I465" s="1"/>
      <c r="J465" s="1">
        <v>52211</v>
      </c>
      <c r="K465" s="1" t="str">
        <f t="shared" si="14"/>
        <v>1:1:52211:9</v>
      </c>
      <c r="L465" s="1">
        <v>0</v>
      </c>
      <c r="M465" s="1" t="str">
        <f t="shared" si="15"/>
        <v/>
      </c>
      <c r="N465" s="1">
        <v>0</v>
      </c>
      <c r="O465" s="1" t="s">
        <v>2249</v>
      </c>
      <c r="P465" s="3" t="str" cm="1">
        <f t="array" ref="P465">IFERROR(mindat_longid(O465),"")</f>
        <v/>
      </c>
      <c r="Q465" s="1" t="str">
        <f>IFERROR(VLOOKUP(O465, [1]meteoriteQuery!$D$2:$E$540,2,FALSE),"")</f>
        <v/>
      </c>
      <c r="R465" s="1" t="s">
        <v>2084</v>
      </c>
      <c r="S465" s="1">
        <f>IFERROR(VLOOKUP(C465,[1]meteoriteQuery!$D$2:$F$517,1,FALSE),"")</f>
        <v>52214</v>
      </c>
    </row>
    <row r="466" spans="1:19" x14ac:dyDescent="0.25">
      <c r="A466" s="1">
        <v>416</v>
      </c>
      <c r="B466" s="1" t="s">
        <v>2087</v>
      </c>
      <c r="C466" s="1">
        <v>52215</v>
      </c>
      <c r="D466" s="1" t="s">
        <v>2085</v>
      </c>
      <c r="E466" s="1" t="s">
        <v>2086</v>
      </c>
      <c r="F466" s="1">
        <v>7</v>
      </c>
      <c r="G466" s="1" t="s">
        <v>14</v>
      </c>
      <c r="H466" s="1" t="s">
        <v>2088</v>
      </c>
      <c r="I466" s="1"/>
      <c r="J466" s="1">
        <v>49835</v>
      </c>
      <c r="K466" s="1" t="str">
        <f t="shared" si="14"/>
        <v>1:1:49835:3</v>
      </c>
      <c r="L466" s="1">
        <v>0</v>
      </c>
      <c r="M466" s="1" t="str">
        <f t="shared" si="15"/>
        <v/>
      </c>
      <c r="N466" s="1">
        <v>0</v>
      </c>
      <c r="O466" s="1" t="s">
        <v>2249</v>
      </c>
      <c r="P466" s="3" t="str" cm="1">
        <f t="array" ref="P466">IFERROR(mindat_longid(O466),"")</f>
        <v/>
      </c>
      <c r="Q466" s="1" t="str">
        <f>IFERROR(VLOOKUP(O466, [1]meteoriteQuery!$D$2:$E$540,2,FALSE),"")</f>
        <v/>
      </c>
      <c r="R466" s="1" t="s">
        <v>2089</v>
      </c>
      <c r="S466" s="1">
        <f>IFERROR(VLOOKUP(C466,[1]meteoriteQuery!$D$2:$F$517,1,FALSE),"")</f>
        <v>52215</v>
      </c>
    </row>
    <row r="467" spans="1:19" x14ac:dyDescent="0.25">
      <c r="A467" s="1">
        <v>417</v>
      </c>
      <c r="B467" s="1" t="s">
        <v>2092</v>
      </c>
      <c r="C467" s="1">
        <v>52216</v>
      </c>
      <c r="D467" s="1" t="s">
        <v>2090</v>
      </c>
      <c r="E467" s="1" t="s">
        <v>2091</v>
      </c>
      <c r="F467" s="1">
        <v>7</v>
      </c>
      <c r="G467" s="1" t="s">
        <v>14</v>
      </c>
      <c r="H467" s="1" t="s">
        <v>2093</v>
      </c>
      <c r="I467" s="1"/>
      <c r="J467" s="1">
        <v>49835</v>
      </c>
      <c r="K467" s="1" t="str">
        <f t="shared" si="14"/>
        <v>1:1:49835:3</v>
      </c>
      <c r="L467" s="1">
        <v>0</v>
      </c>
      <c r="M467" s="1" t="str">
        <f t="shared" si="15"/>
        <v/>
      </c>
      <c r="N467" s="1">
        <v>0</v>
      </c>
      <c r="O467" s="1" t="s">
        <v>2249</v>
      </c>
      <c r="P467" s="3" t="str" cm="1">
        <f t="array" ref="P467">IFERROR(mindat_longid(O467),"")</f>
        <v/>
      </c>
      <c r="Q467" s="1" t="str">
        <f>IFERROR(VLOOKUP(O467, [1]meteoriteQuery!$D$2:$E$540,2,FALSE),"")</f>
        <v/>
      </c>
      <c r="R467" s="1" t="s">
        <v>2094</v>
      </c>
      <c r="S467" s="1">
        <f>IFERROR(VLOOKUP(C467,[1]meteoriteQuery!$D$2:$F$517,1,FALSE),"")</f>
        <v>52216</v>
      </c>
    </row>
    <row r="468" spans="1:19" x14ac:dyDescent="0.25">
      <c r="A468" s="1">
        <v>418</v>
      </c>
      <c r="B468" s="1" t="s">
        <v>2097</v>
      </c>
      <c r="C468" s="1">
        <v>52217</v>
      </c>
      <c r="D468" s="1" t="s">
        <v>2095</v>
      </c>
      <c r="E468" s="1" t="s">
        <v>2096</v>
      </c>
      <c r="F468" s="1">
        <v>7</v>
      </c>
      <c r="G468" s="1" t="s">
        <v>14</v>
      </c>
      <c r="H468" s="1" t="s">
        <v>2098</v>
      </c>
      <c r="I468" s="1"/>
      <c r="J468" s="1">
        <v>49835</v>
      </c>
      <c r="K468" s="1" t="str">
        <f t="shared" si="14"/>
        <v>1:1:49835:3</v>
      </c>
      <c r="L468" s="1">
        <v>0</v>
      </c>
      <c r="M468" s="1" t="str">
        <f t="shared" si="15"/>
        <v/>
      </c>
      <c r="N468" s="1">
        <v>0</v>
      </c>
      <c r="O468" s="1" t="s">
        <v>2249</v>
      </c>
      <c r="P468" s="3" t="str" cm="1">
        <f t="array" ref="P468">IFERROR(mindat_longid(O468),"")</f>
        <v/>
      </c>
      <c r="Q468" s="1" t="str">
        <f>IFERROR(VLOOKUP(O468, [1]meteoriteQuery!$D$2:$E$540,2,FALSE),"")</f>
        <v/>
      </c>
      <c r="R468" s="1" t="s">
        <v>2099</v>
      </c>
      <c r="S468" s="1">
        <f>IFERROR(VLOOKUP(C468,[1]meteoriteQuery!$D$2:$F$517,1,FALSE),"")</f>
        <v>52217</v>
      </c>
    </row>
    <row r="469" spans="1:19" x14ac:dyDescent="0.25">
      <c r="A469" s="1">
        <v>419</v>
      </c>
      <c r="B469" s="1" t="s">
        <v>2102</v>
      </c>
      <c r="C469" s="1">
        <v>52218</v>
      </c>
      <c r="D469" s="1" t="s">
        <v>2100</v>
      </c>
      <c r="E469" s="1" t="s">
        <v>2101</v>
      </c>
      <c r="F469" s="1">
        <v>7</v>
      </c>
      <c r="G469" s="1" t="s">
        <v>14</v>
      </c>
      <c r="H469" s="1" t="s">
        <v>2103</v>
      </c>
      <c r="I469" s="1"/>
      <c r="J469" s="1">
        <v>52210</v>
      </c>
      <c r="K469" s="1" t="str">
        <f t="shared" si="14"/>
        <v>1:1:52210:0</v>
      </c>
      <c r="L469" s="1">
        <v>0</v>
      </c>
      <c r="M469" s="1" t="str">
        <f t="shared" si="15"/>
        <v/>
      </c>
      <c r="N469" s="1">
        <v>0</v>
      </c>
      <c r="O469" s="1" t="s">
        <v>2249</v>
      </c>
      <c r="P469" s="3" t="str" cm="1">
        <f t="array" ref="P469">IFERROR(mindat_longid(O469),"")</f>
        <v/>
      </c>
      <c r="Q469" s="1" t="str">
        <f>IFERROR(VLOOKUP(O469, [1]meteoriteQuery!$D$2:$E$540,2,FALSE),"")</f>
        <v/>
      </c>
      <c r="R469" s="1" t="s">
        <v>2104</v>
      </c>
      <c r="S469" s="1">
        <f>IFERROR(VLOOKUP(C469,[1]meteoriteQuery!$D$2:$F$517,1,FALSE),"")</f>
        <v>52218</v>
      </c>
    </row>
    <row r="470" spans="1:19" x14ac:dyDescent="0.25">
      <c r="A470" s="1">
        <v>420</v>
      </c>
      <c r="B470" s="1" t="s">
        <v>2107</v>
      </c>
      <c r="C470" s="1">
        <v>52219</v>
      </c>
      <c r="D470" s="1" t="s">
        <v>2105</v>
      </c>
      <c r="E470" s="1" t="s">
        <v>2106</v>
      </c>
      <c r="F470" s="1">
        <v>7</v>
      </c>
      <c r="G470" s="1" t="s">
        <v>14</v>
      </c>
      <c r="H470" s="1" t="s">
        <v>2108</v>
      </c>
      <c r="I470" s="1"/>
      <c r="J470" s="1">
        <v>52211</v>
      </c>
      <c r="K470" s="1" t="str">
        <f t="shared" si="14"/>
        <v>1:1:52211:9</v>
      </c>
      <c r="L470" s="1">
        <v>0</v>
      </c>
      <c r="M470" s="1" t="str">
        <f t="shared" si="15"/>
        <v/>
      </c>
      <c r="N470" s="1">
        <v>0</v>
      </c>
      <c r="O470" s="1" t="s">
        <v>2249</v>
      </c>
      <c r="P470" s="3" t="str" cm="1">
        <f t="array" ref="P470">IFERROR(mindat_longid(O470),"")</f>
        <v/>
      </c>
      <c r="Q470" s="1" t="str">
        <f>IFERROR(VLOOKUP(O470, [1]meteoriteQuery!$D$2:$E$540,2,FALSE),"")</f>
        <v/>
      </c>
      <c r="R470" s="1" t="s">
        <v>2109</v>
      </c>
      <c r="S470" s="1">
        <f>IFERROR(VLOOKUP(C470,[1]meteoriteQuery!$D$2:$F$517,1,FALSE),"")</f>
        <v>52219</v>
      </c>
    </row>
    <row r="471" spans="1:19" x14ac:dyDescent="0.25">
      <c r="A471" s="1">
        <v>421</v>
      </c>
      <c r="B471" s="1" t="s">
        <v>2112</v>
      </c>
      <c r="C471" s="1">
        <v>52220</v>
      </c>
      <c r="D471" s="1" t="s">
        <v>2110</v>
      </c>
      <c r="E471" s="1" t="s">
        <v>2111</v>
      </c>
      <c r="F471" s="1">
        <v>7</v>
      </c>
      <c r="G471" s="1" t="s">
        <v>14</v>
      </c>
      <c r="H471" s="1" t="s">
        <v>2113</v>
      </c>
      <c r="I471" s="1"/>
      <c r="J471" s="1">
        <v>49835</v>
      </c>
      <c r="K471" s="1" t="str">
        <f t="shared" si="14"/>
        <v>1:1:49835:3</v>
      </c>
      <c r="L471" s="1">
        <v>0</v>
      </c>
      <c r="M471" s="1" t="str">
        <f t="shared" si="15"/>
        <v/>
      </c>
      <c r="N471" s="1">
        <v>0</v>
      </c>
      <c r="O471" s="1" t="s">
        <v>2249</v>
      </c>
      <c r="P471" s="3" t="str" cm="1">
        <f t="array" ref="P471">IFERROR(mindat_longid(O471),"")</f>
        <v/>
      </c>
      <c r="Q471" s="1" t="str">
        <f>IFERROR(VLOOKUP(O471, [1]meteoriteQuery!$D$2:$E$540,2,FALSE),"")</f>
        <v/>
      </c>
      <c r="R471" s="1" t="s">
        <v>2114</v>
      </c>
      <c r="S471" s="1">
        <f>IFERROR(VLOOKUP(C471,[1]meteoriteQuery!$D$2:$F$517,1,FALSE),"")</f>
        <v>52220</v>
      </c>
    </row>
    <row r="472" spans="1:19" x14ac:dyDescent="0.25">
      <c r="A472" s="1">
        <v>422</v>
      </c>
      <c r="B472" s="1" t="s">
        <v>2117</v>
      </c>
      <c r="C472" s="1">
        <v>52221</v>
      </c>
      <c r="D472" s="1" t="s">
        <v>2115</v>
      </c>
      <c r="E472" s="2" t="s">
        <v>2116</v>
      </c>
      <c r="F472" s="1">
        <v>7</v>
      </c>
      <c r="G472" s="1" t="s">
        <v>14</v>
      </c>
      <c r="H472" s="1" t="s">
        <v>2118</v>
      </c>
      <c r="I472" s="1"/>
      <c r="J472" s="1">
        <v>49835</v>
      </c>
      <c r="K472" s="1" t="str">
        <f t="shared" si="14"/>
        <v>1:1:49835:3</v>
      </c>
      <c r="L472" s="1">
        <v>49836</v>
      </c>
      <c r="M472" s="1" t="str">
        <f t="shared" si="15"/>
        <v>1:1:49836:2</v>
      </c>
      <c r="N472" s="1">
        <v>0</v>
      </c>
      <c r="O472" s="1" t="s">
        <v>2249</v>
      </c>
      <c r="P472" s="3" t="str" cm="1">
        <f t="array" ref="P472">IFERROR(mindat_longid(O472),"")</f>
        <v/>
      </c>
      <c r="Q472" s="1" t="str">
        <f>IFERROR(VLOOKUP(O472, [1]meteoriteQuery!$D$2:$E$540,2,FALSE),"")</f>
        <v/>
      </c>
      <c r="R472" s="1" t="s">
        <v>2119</v>
      </c>
      <c r="S472" s="1">
        <f>IFERROR(VLOOKUP(C472,[1]meteoriteQuery!$D$2:$F$517,1,FALSE),"")</f>
        <v>52221</v>
      </c>
    </row>
    <row r="473" spans="1:19" x14ac:dyDescent="0.25">
      <c r="A473" s="1">
        <v>423</v>
      </c>
      <c r="B473" s="1" t="s">
        <v>2122</v>
      </c>
      <c r="C473" s="1">
        <v>52222</v>
      </c>
      <c r="D473" s="1" t="s">
        <v>2120</v>
      </c>
      <c r="E473" s="1" t="s">
        <v>2121</v>
      </c>
      <c r="F473" s="1">
        <v>7</v>
      </c>
      <c r="G473" s="1" t="s">
        <v>14</v>
      </c>
      <c r="H473" s="1" t="s">
        <v>2123</v>
      </c>
      <c r="I473" s="1"/>
      <c r="J473" s="1">
        <v>49836</v>
      </c>
      <c r="K473" s="1" t="str">
        <f t="shared" si="14"/>
        <v>1:1:49836:2</v>
      </c>
      <c r="L473" s="1">
        <v>49837</v>
      </c>
      <c r="M473" s="1" t="str">
        <f t="shared" si="15"/>
        <v>1:1:49837:1</v>
      </c>
      <c r="N473" s="1">
        <v>0</v>
      </c>
      <c r="O473" s="1" t="s">
        <v>2249</v>
      </c>
      <c r="P473" s="3" t="str" cm="1">
        <f t="array" ref="P473">IFERROR(mindat_longid(O473),"")</f>
        <v/>
      </c>
      <c r="Q473" s="1" t="str">
        <f>IFERROR(VLOOKUP(O473, [1]meteoriteQuery!$D$2:$E$540,2,FALSE),"")</f>
        <v/>
      </c>
      <c r="R473" s="1" t="s">
        <v>2124</v>
      </c>
      <c r="S473" s="1">
        <f>IFERROR(VLOOKUP(C473,[1]meteoriteQuery!$D$2:$F$517,1,FALSE),"")</f>
        <v>52222</v>
      </c>
    </row>
    <row r="474" spans="1:19" x14ac:dyDescent="0.25">
      <c r="A474" s="1">
        <v>424</v>
      </c>
      <c r="B474" s="1" t="s">
        <v>2127</v>
      </c>
      <c r="C474" s="1">
        <v>52223</v>
      </c>
      <c r="D474" s="1" t="s">
        <v>2125</v>
      </c>
      <c r="E474" s="1" t="s">
        <v>2126</v>
      </c>
      <c r="F474" s="1">
        <v>7</v>
      </c>
      <c r="G474" s="1" t="s">
        <v>14</v>
      </c>
      <c r="H474" s="1" t="s">
        <v>2128</v>
      </c>
      <c r="I474" s="1"/>
      <c r="J474" s="1">
        <v>49836</v>
      </c>
      <c r="K474" s="1" t="str">
        <f t="shared" si="14"/>
        <v>1:1:49836:2</v>
      </c>
      <c r="L474" s="1">
        <v>49838</v>
      </c>
      <c r="M474" s="1" t="str">
        <f t="shared" si="15"/>
        <v>1:1:49838:0</v>
      </c>
      <c r="N474" s="1">
        <v>0</v>
      </c>
      <c r="O474" s="1" t="s">
        <v>2249</v>
      </c>
      <c r="P474" s="3" t="str" cm="1">
        <f t="array" ref="P474">IFERROR(mindat_longid(O474),"")</f>
        <v/>
      </c>
      <c r="Q474" s="1" t="str">
        <f>IFERROR(VLOOKUP(O474, [1]meteoriteQuery!$D$2:$E$540,2,FALSE),"")</f>
        <v/>
      </c>
      <c r="R474" s="1" t="s">
        <v>2129</v>
      </c>
      <c r="S474" s="1">
        <f>IFERROR(VLOOKUP(C474,[1]meteoriteQuery!$D$2:$F$517,1,FALSE),"")</f>
        <v>52223</v>
      </c>
    </row>
    <row r="475" spans="1:19" x14ac:dyDescent="0.25">
      <c r="A475" s="1">
        <v>425</v>
      </c>
      <c r="B475" s="1" t="s">
        <v>2132</v>
      </c>
      <c r="C475" s="1">
        <v>52224</v>
      </c>
      <c r="D475" s="1" t="s">
        <v>2130</v>
      </c>
      <c r="E475" s="1" t="s">
        <v>2131</v>
      </c>
      <c r="F475" s="1">
        <v>7</v>
      </c>
      <c r="G475" s="1" t="s">
        <v>14</v>
      </c>
      <c r="H475" s="1" t="s">
        <v>2133</v>
      </c>
      <c r="I475" s="1"/>
      <c r="J475" s="1">
        <v>49836</v>
      </c>
      <c r="K475" s="1" t="str">
        <f t="shared" si="14"/>
        <v>1:1:49836:2</v>
      </c>
      <c r="L475" s="1">
        <v>49837</v>
      </c>
      <c r="M475" s="1" t="str">
        <f t="shared" si="15"/>
        <v>1:1:49837:1</v>
      </c>
      <c r="N475" s="1">
        <v>0</v>
      </c>
      <c r="O475" s="1" t="s">
        <v>2249</v>
      </c>
      <c r="P475" s="3" t="str" cm="1">
        <f t="array" ref="P475">IFERROR(mindat_longid(O475),"")</f>
        <v/>
      </c>
      <c r="Q475" s="1" t="str">
        <f>IFERROR(VLOOKUP(O475, [1]meteoriteQuery!$D$2:$E$540,2,FALSE),"")</f>
        <v/>
      </c>
      <c r="R475" s="1" t="s">
        <v>2134</v>
      </c>
      <c r="S475" s="1">
        <f>IFERROR(VLOOKUP(C475,[1]meteoriteQuery!$D$2:$F$517,1,FALSE),"")</f>
        <v>52224</v>
      </c>
    </row>
    <row r="476" spans="1:19" x14ac:dyDescent="0.25">
      <c r="A476" s="1">
        <v>426</v>
      </c>
      <c r="B476" s="1" t="s">
        <v>2137</v>
      </c>
      <c r="C476" s="1">
        <v>52225</v>
      </c>
      <c r="D476" s="1" t="s">
        <v>2135</v>
      </c>
      <c r="E476" s="1" t="s">
        <v>2136</v>
      </c>
      <c r="F476" s="1">
        <v>7</v>
      </c>
      <c r="G476" s="1" t="s">
        <v>14</v>
      </c>
      <c r="H476" s="1" t="s">
        <v>2138</v>
      </c>
      <c r="I476" s="1"/>
      <c r="J476" s="1">
        <v>49909</v>
      </c>
      <c r="K476" s="1" t="str">
        <f t="shared" si="14"/>
        <v>1:1:49909:7</v>
      </c>
      <c r="L476" s="1">
        <v>49910</v>
      </c>
      <c r="M476" s="1" t="str">
        <f t="shared" si="15"/>
        <v>1:1:49910:3</v>
      </c>
      <c r="N476" s="1">
        <v>0</v>
      </c>
      <c r="O476" s="1" t="s">
        <v>2249</v>
      </c>
      <c r="P476" s="3" t="str" cm="1">
        <f t="array" ref="P476">IFERROR(mindat_longid(O476),"")</f>
        <v/>
      </c>
      <c r="Q476" s="1" t="str">
        <f>IFERROR(VLOOKUP(O476, [1]meteoriteQuery!$D$2:$E$540,2,FALSE),"")</f>
        <v/>
      </c>
      <c r="R476" s="1" t="s">
        <v>2139</v>
      </c>
      <c r="S476" s="1">
        <f>IFERROR(VLOOKUP(C476,[1]meteoriteQuery!$D$2:$F$517,1,FALSE),"")</f>
        <v>52225</v>
      </c>
    </row>
    <row r="477" spans="1:19" x14ac:dyDescent="0.25">
      <c r="A477" s="1">
        <v>427</v>
      </c>
      <c r="B477" s="1" t="s">
        <v>2142</v>
      </c>
      <c r="C477" s="1">
        <v>52226</v>
      </c>
      <c r="D477" s="1" t="s">
        <v>2140</v>
      </c>
      <c r="E477" s="1" t="s">
        <v>2141</v>
      </c>
      <c r="F477" s="1">
        <v>7</v>
      </c>
      <c r="G477" s="1" t="s">
        <v>14</v>
      </c>
      <c r="H477" s="1" t="s">
        <v>2143</v>
      </c>
      <c r="I477" s="1"/>
      <c r="J477" s="1">
        <v>49585</v>
      </c>
      <c r="K477" s="1" t="str">
        <f t="shared" si="14"/>
        <v>1:1:49585:1</v>
      </c>
      <c r="L477" s="1">
        <v>0</v>
      </c>
      <c r="M477" s="1" t="str">
        <f t="shared" si="15"/>
        <v/>
      </c>
      <c r="N477" s="1">
        <v>0</v>
      </c>
      <c r="O477" s="1" t="s">
        <v>2249</v>
      </c>
      <c r="P477" s="3" t="str" cm="1">
        <f t="array" ref="P477">IFERROR(mindat_longid(O477),"")</f>
        <v/>
      </c>
      <c r="Q477" s="1" t="str">
        <f>IFERROR(VLOOKUP(O477, [1]meteoriteQuery!$D$2:$E$540,2,FALSE),"")</f>
        <v/>
      </c>
      <c r="R477" s="1" t="s">
        <v>2144</v>
      </c>
      <c r="S477" s="1">
        <f>IFERROR(VLOOKUP(C477,[1]meteoriteQuery!$D$2:$F$517,1,FALSE),"")</f>
        <v>52226</v>
      </c>
    </row>
    <row r="478" spans="1:19" x14ac:dyDescent="0.25">
      <c r="A478" s="1">
        <v>428</v>
      </c>
      <c r="B478" s="1" t="s">
        <v>2147</v>
      </c>
      <c r="C478" s="1">
        <v>52227</v>
      </c>
      <c r="D478" s="1" t="s">
        <v>2145</v>
      </c>
      <c r="E478" s="1" t="s">
        <v>2146</v>
      </c>
      <c r="F478" s="1">
        <v>7</v>
      </c>
      <c r="G478" s="1" t="s">
        <v>14</v>
      </c>
      <c r="H478" s="1" t="s">
        <v>2148</v>
      </c>
      <c r="I478" s="1"/>
      <c r="J478" s="1">
        <v>49585</v>
      </c>
      <c r="K478" s="1" t="str">
        <f t="shared" si="14"/>
        <v>1:1:49585:1</v>
      </c>
      <c r="L478" s="1">
        <v>0</v>
      </c>
      <c r="M478" s="1" t="str">
        <f t="shared" si="15"/>
        <v/>
      </c>
      <c r="N478" s="1">
        <v>0</v>
      </c>
      <c r="O478" s="1" t="s">
        <v>2249</v>
      </c>
      <c r="P478" s="3" t="str" cm="1">
        <f t="array" ref="P478">IFERROR(mindat_longid(O478),"")</f>
        <v/>
      </c>
      <c r="Q478" s="1" t="str">
        <f>IFERROR(VLOOKUP(O478, [1]meteoriteQuery!$D$2:$E$540,2,FALSE),"")</f>
        <v/>
      </c>
      <c r="R478" s="1" t="s">
        <v>2149</v>
      </c>
      <c r="S478" s="1">
        <f>IFERROR(VLOOKUP(C478,[1]meteoriteQuery!$D$2:$F$517,1,FALSE),"")</f>
        <v>52227</v>
      </c>
    </row>
    <row r="479" spans="1:19" x14ac:dyDescent="0.25">
      <c r="A479" s="1">
        <v>429</v>
      </c>
      <c r="B479" s="1" t="s">
        <v>2152</v>
      </c>
      <c r="C479" s="1">
        <v>52228</v>
      </c>
      <c r="D479" s="1" t="s">
        <v>2150</v>
      </c>
      <c r="E479" s="1" t="s">
        <v>2151</v>
      </c>
      <c r="F479" s="1">
        <v>7</v>
      </c>
      <c r="G479" s="1" t="s">
        <v>14</v>
      </c>
      <c r="H479" s="1" t="s">
        <v>2153</v>
      </c>
      <c r="I479" s="1"/>
      <c r="J479" s="1">
        <v>49585</v>
      </c>
      <c r="K479" s="1" t="str">
        <f t="shared" si="14"/>
        <v>1:1:49585:1</v>
      </c>
      <c r="L479" s="1">
        <v>0</v>
      </c>
      <c r="M479" s="1" t="str">
        <f t="shared" si="15"/>
        <v/>
      </c>
      <c r="N479" s="1">
        <v>0</v>
      </c>
      <c r="O479" s="1" t="s">
        <v>2249</v>
      </c>
      <c r="P479" s="3" t="str" cm="1">
        <f t="array" ref="P479">IFERROR(mindat_longid(O479),"")</f>
        <v/>
      </c>
      <c r="Q479" s="1" t="str">
        <f>IFERROR(VLOOKUP(O479, [1]meteoriteQuery!$D$2:$E$540,2,FALSE),"")</f>
        <v/>
      </c>
      <c r="R479" s="1" t="s">
        <v>2154</v>
      </c>
      <c r="S479" s="1">
        <f>IFERROR(VLOOKUP(C479,[1]meteoriteQuery!$D$2:$F$517,1,FALSE),"")</f>
        <v>52228</v>
      </c>
    </row>
    <row r="480" spans="1:19" x14ac:dyDescent="0.25">
      <c r="A480" s="1">
        <v>430</v>
      </c>
      <c r="B480" s="1" t="s">
        <v>2157</v>
      </c>
      <c r="C480" s="1">
        <v>52229</v>
      </c>
      <c r="D480" s="1" t="s">
        <v>2155</v>
      </c>
      <c r="E480" s="1" t="s">
        <v>2156</v>
      </c>
      <c r="F480" s="1">
        <v>7</v>
      </c>
      <c r="G480" s="1" t="s">
        <v>14</v>
      </c>
      <c r="H480" s="1" t="s">
        <v>2158</v>
      </c>
      <c r="I480" s="1"/>
      <c r="J480" s="1">
        <v>49585</v>
      </c>
      <c r="K480" s="1" t="str">
        <f t="shared" si="14"/>
        <v>1:1:49585:1</v>
      </c>
      <c r="L480" s="1">
        <v>0</v>
      </c>
      <c r="M480" s="1" t="str">
        <f t="shared" si="15"/>
        <v/>
      </c>
      <c r="N480" s="1">
        <v>0</v>
      </c>
      <c r="O480" s="1" t="s">
        <v>2249</v>
      </c>
      <c r="P480" s="3" t="str" cm="1">
        <f t="array" ref="P480">IFERROR(mindat_longid(O480),"")</f>
        <v/>
      </c>
      <c r="Q480" s="1" t="str">
        <f>IFERROR(VLOOKUP(O480, [1]meteoriteQuery!$D$2:$E$540,2,FALSE),"")</f>
        <v/>
      </c>
      <c r="R480" s="1" t="s">
        <v>2159</v>
      </c>
      <c r="S480" s="1">
        <f>IFERROR(VLOOKUP(C480,[1]meteoriteQuery!$D$2:$F$517,1,FALSE),"")</f>
        <v>52229</v>
      </c>
    </row>
    <row r="481" spans="1:19" x14ac:dyDescent="0.25">
      <c r="A481" s="1">
        <v>431</v>
      </c>
      <c r="B481" s="1" t="s">
        <v>2162</v>
      </c>
      <c r="C481" s="1">
        <v>52231</v>
      </c>
      <c r="D481" s="1" t="s">
        <v>2160</v>
      </c>
      <c r="E481" s="1" t="s">
        <v>2161</v>
      </c>
      <c r="F481" s="1">
        <v>7</v>
      </c>
      <c r="G481" s="1" t="s">
        <v>14</v>
      </c>
      <c r="H481" s="1" t="s">
        <v>2481</v>
      </c>
      <c r="I481" s="1" t="s">
        <v>2482</v>
      </c>
      <c r="J481" s="1">
        <v>49960</v>
      </c>
      <c r="K481" s="1" t="str">
        <f t="shared" si="14"/>
        <v>1:1:49960:8</v>
      </c>
      <c r="L481" s="1">
        <v>0</v>
      </c>
      <c r="M481" s="1" t="str">
        <f t="shared" si="15"/>
        <v/>
      </c>
      <c r="N481" s="1">
        <v>0</v>
      </c>
      <c r="O481" s="1" t="s">
        <v>2249</v>
      </c>
      <c r="P481" s="3" t="str" cm="1">
        <f t="array" ref="P481">IFERROR(mindat_longid(O481),"")</f>
        <v/>
      </c>
      <c r="Q481" s="1" t="str">
        <f>IFERROR(VLOOKUP(O481, [1]meteoriteQuery!$D$2:$E$540,2,FALSE),"")</f>
        <v/>
      </c>
      <c r="R481" s="1" t="s">
        <v>2163</v>
      </c>
      <c r="S481" s="1">
        <f>IFERROR(VLOOKUP(C481,[1]meteoriteQuery!$D$2:$F$517,1,FALSE),"")</f>
        <v>52231</v>
      </c>
    </row>
    <row r="482" spans="1:19" x14ac:dyDescent="0.25">
      <c r="A482" s="1">
        <v>432</v>
      </c>
      <c r="B482" s="1" t="s">
        <v>2166</v>
      </c>
      <c r="C482" s="1">
        <v>52237</v>
      </c>
      <c r="D482" s="1" t="s">
        <v>2164</v>
      </c>
      <c r="E482" s="1" t="s">
        <v>2165</v>
      </c>
      <c r="F482" s="1">
        <v>7</v>
      </c>
      <c r="G482" s="1" t="s">
        <v>14</v>
      </c>
      <c r="H482" s="1" t="s">
        <v>2167</v>
      </c>
      <c r="I482" s="1"/>
      <c r="J482" s="1">
        <v>49514</v>
      </c>
      <c r="K482" s="1" t="str">
        <f t="shared" si="14"/>
        <v>1:1:49514:3</v>
      </c>
      <c r="L482" s="1">
        <v>0</v>
      </c>
      <c r="M482" s="1" t="str">
        <f t="shared" si="15"/>
        <v/>
      </c>
      <c r="N482" s="1">
        <v>1</v>
      </c>
      <c r="O482" s="1" t="s">
        <v>2249</v>
      </c>
      <c r="P482" s="3" t="str" cm="1">
        <f t="array" ref="P482">IFERROR(mindat_longid(O482),"")</f>
        <v/>
      </c>
      <c r="Q482" s="1" t="str">
        <f>IFERROR(VLOOKUP(O482, [1]meteoriteQuery!$D$2:$E$540,2,FALSE),"")</f>
        <v/>
      </c>
      <c r="R482" s="1" t="s">
        <v>2166</v>
      </c>
      <c r="S482" s="1">
        <f>IFERROR(VLOOKUP(C482,[1]meteoriteQuery!$D$2:$F$517,1,FALSE),"")</f>
        <v>52237</v>
      </c>
    </row>
    <row r="483" spans="1:19" x14ac:dyDescent="0.25">
      <c r="A483" s="1">
        <v>433</v>
      </c>
      <c r="B483" s="1" t="s">
        <v>2170</v>
      </c>
      <c r="C483" s="1">
        <v>52238</v>
      </c>
      <c r="D483" s="1" t="s">
        <v>2168</v>
      </c>
      <c r="E483" s="1" t="s">
        <v>2169</v>
      </c>
      <c r="F483" s="1">
        <v>7</v>
      </c>
      <c r="G483" s="1" t="s">
        <v>14</v>
      </c>
      <c r="H483" s="1" t="s">
        <v>2171</v>
      </c>
      <c r="I483" s="1"/>
      <c r="J483" s="1">
        <v>52237</v>
      </c>
      <c r="K483" s="1" t="str">
        <f t="shared" si="14"/>
        <v>1:1:52237:7</v>
      </c>
      <c r="L483" s="1">
        <v>0</v>
      </c>
      <c r="M483" s="1" t="str">
        <f t="shared" si="15"/>
        <v/>
      </c>
      <c r="N483" s="1">
        <v>0</v>
      </c>
      <c r="O483" s="1" t="s">
        <v>2249</v>
      </c>
      <c r="P483" s="3" t="str" cm="1">
        <f t="array" ref="P483">IFERROR(mindat_longid(O483),"")</f>
        <v/>
      </c>
      <c r="Q483" s="1" t="str">
        <f>IFERROR(VLOOKUP(O483, [1]meteoriteQuery!$D$2:$E$540,2,FALSE),"")</f>
        <v/>
      </c>
      <c r="R483" s="1" t="s">
        <v>2172</v>
      </c>
      <c r="S483" s="1">
        <f>IFERROR(VLOOKUP(C483,[1]meteoriteQuery!$D$2:$F$517,1,FALSE),"")</f>
        <v>52238</v>
      </c>
    </row>
    <row r="484" spans="1:19" x14ac:dyDescent="0.25">
      <c r="A484" s="1">
        <v>434</v>
      </c>
      <c r="B484" s="1" t="s">
        <v>2175</v>
      </c>
      <c r="C484" s="1">
        <v>52239</v>
      </c>
      <c r="D484" s="1" t="s">
        <v>2173</v>
      </c>
      <c r="E484" s="1" t="s">
        <v>2174</v>
      </c>
      <c r="F484" s="1">
        <v>7</v>
      </c>
      <c r="G484" s="1" t="s">
        <v>14</v>
      </c>
      <c r="H484" s="1" t="s">
        <v>2176</v>
      </c>
      <c r="I484" s="1"/>
      <c r="J484" s="1">
        <v>52237</v>
      </c>
      <c r="K484" s="1" t="str">
        <f t="shared" si="14"/>
        <v>1:1:52237:7</v>
      </c>
      <c r="L484" s="1">
        <v>0</v>
      </c>
      <c r="M484" s="1" t="str">
        <f t="shared" si="15"/>
        <v/>
      </c>
      <c r="N484" s="1">
        <v>0</v>
      </c>
      <c r="O484" s="1" t="s">
        <v>2249</v>
      </c>
      <c r="P484" s="3" t="str" cm="1">
        <f t="array" ref="P484">IFERROR(mindat_longid(O484),"")</f>
        <v/>
      </c>
      <c r="Q484" s="1" t="str">
        <f>IFERROR(VLOOKUP(O484, [1]meteoriteQuery!$D$2:$E$540,2,FALSE),"")</f>
        <v/>
      </c>
      <c r="R484" s="1" t="s">
        <v>2177</v>
      </c>
      <c r="S484" s="1">
        <f>IFERROR(VLOOKUP(C484,[1]meteoriteQuery!$D$2:$F$517,1,FALSE),"")</f>
        <v>52239</v>
      </c>
    </row>
    <row r="485" spans="1:19" x14ac:dyDescent="0.25">
      <c r="A485" s="1">
        <v>435</v>
      </c>
      <c r="B485" s="1" t="s">
        <v>2180</v>
      </c>
      <c r="C485" s="1">
        <v>52240</v>
      </c>
      <c r="D485" s="1" t="s">
        <v>2178</v>
      </c>
      <c r="E485" s="1" t="s">
        <v>2179</v>
      </c>
      <c r="F485" s="1">
        <v>7</v>
      </c>
      <c r="G485" s="1" t="s">
        <v>14</v>
      </c>
      <c r="H485" s="1" t="s">
        <v>2181</v>
      </c>
      <c r="I485" s="1"/>
      <c r="J485" s="1">
        <v>52237</v>
      </c>
      <c r="K485" s="1" t="str">
        <f t="shared" si="14"/>
        <v>1:1:52237:7</v>
      </c>
      <c r="L485" s="1">
        <v>0</v>
      </c>
      <c r="M485" s="1" t="str">
        <f t="shared" si="15"/>
        <v/>
      </c>
      <c r="N485" s="1">
        <v>0</v>
      </c>
      <c r="O485" s="1" t="s">
        <v>2249</v>
      </c>
      <c r="P485" s="3" t="str" cm="1">
        <f t="array" ref="P485">IFERROR(mindat_longid(O485),"")</f>
        <v/>
      </c>
      <c r="Q485" s="1" t="str">
        <f>IFERROR(VLOOKUP(O485, [1]meteoriteQuery!$D$2:$E$540,2,FALSE),"")</f>
        <v/>
      </c>
      <c r="R485" s="1" t="s">
        <v>2182</v>
      </c>
      <c r="S485" s="1">
        <f>IFERROR(VLOOKUP(C485,[1]meteoriteQuery!$D$2:$F$517,1,FALSE),"")</f>
        <v>52240</v>
      </c>
    </row>
    <row r="486" spans="1:19" x14ac:dyDescent="0.25">
      <c r="A486" s="1">
        <v>436</v>
      </c>
      <c r="B486" s="1" t="s">
        <v>2185</v>
      </c>
      <c r="C486" s="1">
        <v>52241</v>
      </c>
      <c r="D486" s="1" t="s">
        <v>2183</v>
      </c>
      <c r="E486" s="1" t="s">
        <v>2184</v>
      </c>
      <c r="F486" s="1">
        <v>7</v>
      </c>
      <c r="G486" s="1" t="s">
        <v>14</v>
      </c>
      <c r="H486" s="1" t="s">
        <v>2186</v>
      </c>
      <c r="I486" s="1"/>
      <c r="J486" s="1">
        <v>52237</v>
      </c>
      <c r="K486" s="1" t="str">
        <f t="shared" si="14"/>
        <v>1:1:52237:7</v>
      </c>
      <c r="L486" s="1">
        <v>0</v>
      </c>
      <c r="M486" s="1" t="str">
        <f t="shared" si="15"/>
        <v/>
      </c>
      <c r="N486" s="1">
        <v>0</v>
      </c>
      <c r="O486" s="1" t="s">
        <v>2249</v>
      </c>
      <c r="P486" s="3" t="str" cm="1">
        <f t="array" ref="P486">IFERROR(mindat_longid(O486),"")</f>
        <v/>
      </c>
      <c r="Q486" s="1" t="str">
        <f>IFERROR(VLOOKUP(O486, [1]meteoriteQuery!$D$2:$E$540,2,FALSE),"")</f>
        <v/>
      </c>
      <c r="R486" s="1" t="s">
        <v>2187</v>
      </c>
      <c r="S486" s="1">
        <f>IFERROR(VLOOKUP(C486,[1]meteoriteQuery!$D$2:$F$517,1,FALSE),"")</f>
        <v>52241</v>
      </c>
    </row>
    <row r="487" spans="1:19" x14ac:dyDescent="0.25">
      <c r="A487" s="1">
        <v>437</v>
      </c>
      <c r="B487" s="1" t="s">
        <v>2190</v>
      </c>
      <c r="C487" s="1">
        <v>52360</v>
      </c>
      <c r="D487" s="1" t="s">
        <v>2188</v>
      </c>
      <c r="E487" s="1" t="s">
        <v>2189</v>
      </c>
      <c r="F487" s="1">
        <v>7</v>
      </c>
      <c r="G487" s="1" t="s">
        <v>14</v>
      </c>
      <c r="H487" s="1" t="s">
        <v>2191</v>
      </c>
      <c r="I487" s="1"/>
      <c r="J487" s="1">
        <v>49819</v>
      </c>
      <c r="K487" s="1" t="str">
        <f t="shared" si="14"/>
        <v>1:1:49819:5</v>
      </c>
      <c r="L487" s="1">
        <v>0</v>
      </c>
      <c r="M487" s="1" t="str">
        <f t="shared" si="15"/>
        <v/>
      </c>
      <c r="N487" s="1">
        <v>0</v>
      </c>
      <c r="O487" s="1" t="s">
        <v>2249</v>
      </c>
      <c r="P487" s="3" t="str" cm="1">
        <f t="array" ref="P487">IFERROR(mindat_longid(O487),"")</f>
        <v/>
      </c>
      <c r="Q487" s="1" t="str">
        <f>IFERROR(VLOOKUP(O487, [1]meteoriteQuery!$D$2:$E$540,2,FALSE),"")</f>
        <v/>
      </c>
      <c r="R487" s="1" t="s">
        <v>2192</v>
      </c>
      <c r="S487" s="1">
        <f>IFERROR(VLOOKUP(C487,[1]meteoriteQuery!$D$2:$F$517,1,FALSE),"")</f>
        <v>52360</v>
      </c>
    </row>
    <row r="488" spans="1:19" x14ac:dyDescent="0.25">
      <c r="A488" s="1">
        <v>438</v>
      </c>
      <c r="B488" s="1" t="s">
        <v>2195</v>
      </c>
      <c r="C488" s="1">
        <v>52368</v>
      </c>
      <c r="D488" s="1" t="s">
        <v>2193</v>
      </c>
      <c r="E488" s="1" t="s">
        <v>2194</v>
      </c>
      <c r="F488" s="1">
        <v>7</v>
      </c>
      <c r="G488" s="1" t="s">
        <v>14</v>
      </c>
      <c r="H488" s="1" t="s">
        <v>2196</v>
      </c>
      <c r="I488" s="1"/>
      <c r="J488" s="1">
        <v>49585</v>
      </c>
      <c r="K488" s="1" t="str">
        <f t="shared" si="14"/>
        <v>1:1:49585:1</v>
      </c>
      <c r="L488" s="1">
        <v>0</v>
      </c>
      <c r="M488" s="1" t="str">
        <f t="shared" si="15"/>
        <v/>
      </c>
      <c r="N488" s="1">
        <v>0</v>
      </c>
      <c r="O488" s="1" t="s">
        <v>2249</v>
      </c>
      <c r="P488" s="3" t="str" cm="1">
        <f t="array" ref="P488">IFERROR(mindat_longid(O488),"")</f>
        <v/>
      </c>
      <c r="Q488" s="1" t="str">
        <f>IFERROR(VLOOKUP(O488, [1]meteoriteQuery!$D$2:$E$540,2,FALSE),"")</f>
        <v/>
      </c>
      <c r="R488" s="1" t="s">
        <v>2197</v>
      </c>
      <c r="S488" s="1">
        <f>IFERROR(VLOOKUP(C488,[1]meteoriteQuery!$D$2:$F$517,1,FALSE),"")</f>
        <v>52368</v>
      </c>
    </row>
    <row r="489" spans="1:19" x14ac:dyDescent="0.25">
      <c r="A489" s="1">
        <v>439</v>
      </c>
      <c r="B489" s="1" t="s">
        <v>2200</v>
      </c>
      <c r="C489" s="1">
        <v>52369</v>
      </c>
      <c r="D489" s="1" t="s">
        <v>2198</v>
      </c>
      <c r="E489" s="1" t="s">
        <v>2199</v>
      </c>
      <c r="F489" s="1">
        <v>7</v>
      </c>
      <c r="G489" s="1" t="s">
        <v>14</v>
      </c>
      <c r="H489" s="1" t="s">
        <v>2201</v>
      </c>
      <c r="I489" s="1"/>
      <c r="J489" s="1">
        <v>49514</v>
      </c>
      <c r="K489" s="1" t="str">
        <f t="shared" si="14"/>
        <v>1:1:49514:3</v>
      </c>
      <c r="L489" s="1">
        <v>0</v>
      </c>
      <c r="M489" s="1" t="str">
        <f t="shared" si="15"/>
        <v/>
      </c>
      <c r="N489" s="1">
        <v>0</v>
      </c>
      <c r="O489" s="1" t="s">
        <v>2249</v>
      </c>
      <c r="P489" s="3" t="str" cm="1">
        <f t="array" ref="P489">IFERROR(mindat_longid(O489),"")</f>
        <v/>
      </c>
      <c r="Q489" s="1" t="str">
        <f>IFERROR(VLOOKUP(O489, [1]meteoriteQuery!$D$2:$E$540,2,FALSE),"")</f>
        <v/>
      </c>
      <c r="R489" s="1" t="s">
        <v>2202</v>
      </c>
      <c r="S489" s="1">
        <f>IFERROR(VLOOKUP(C489,[1]meteoriteQuery!$D$2:$F$517,1,FALSE),"")</f>
        <v>52369</v>
      </c>
    </row>
    <row r="490" spans="1:19" x14ac:dyDescent="0.25">
      <c r="A490" s="1">
        <v>440</v>
      </c>
      <c r="B490" s="1" t="s">
        <v>2205</v>
      </c>
      <c r="C490" s="1">
        <v>52370</v>
      </c>
      <c r="D490" s="1" t="s">
        <v>2203</v>
      </c>
      <c r="E490" s="1" t="s">
        <v>2204</v>
      </c>
      <c r="F490" s="1">
        <v>7</v>
      </c>
      <c r="G490" s="1" t="s">
        <v>14</v>
      </c>
      <c r="H490" s="1" t="s">
        <v>2206</v>
      </c>
      <c r="I490" s="1"/>
      <c r="J490" s="1">
        <v>49919</v>
      </c>
      <c r="K490" s="1" t="str">
        <f t="shared" si="14"/>
        <v>1:1:49919:4</v>
      </c>
      <c r="L490" s="1">
        <v>0</v>
      </c>
      <c r="M490" s="1" t="str">
        <f t="shared" si="15"/>
        <v/>
      </c>
      <c r="N490" s="1">
        <v>0</v>
      </c>
      <c r="O490" s="1" t="s">
        <v>2249</v>
      </c>
      <c r="P490" s="3" t="str" cm="1">
        <f t="array" ref="P490">IFERROR(mindat_longid(O490),"")</f>
        <v/>
      </c>
      <c r="Q490" s="1" t="str">
        <f>IFERROR(VLOOKUP(O490, [1]meteoriteQuery!$D$2:$E$540,2,FALSE),"")</f>
        <v/>
      </c>
      <c r="R490" s="1" t="s">
        <v>2207</v>
      </c>
      <c r="S490" s="1">
        <f>IFERROR(VLOOKUP(C490,[1]meteoriteQuery!$D$2:$F$517,1,FALSE),"")</f>
        <v>52370</v>
      </c>
    </row>
    <row r="491" spans="1:19" x14ac:dyDescent="0.25">
      <c r="A491" s="1">
        <v>441</v>
      </c>
      <c r="B491" s="1" t="s">
        <v>2210</v>
      </c>
      <c r="C491" s="1">
        <v>52371</v>
      </c>
      <c r="D491" s="1" t="s">
        <v>2208</v>
      </c>
      <c r="E491" s="1" t="s">
        <v>2209</v>
      </c>
      <c r="F491" s="1">
        <v>7</v>
      </c>
      <c r="G491" s="1" t="s">
        <v>14</v>
      </c>
      <c r="H491" s="1" t="s">
        <v>2211</v>
      </c>
      <c r="I491" s="1"/>
      <c r="J491" s="1">
        <v>49898</v>
      </c>
      <c r="K491" s="1" t="str">
        <f t="shared" si="14"/>
        <v>1:1:49898:2</v>
      </c>
      <c r="L491" s="1">
        <v>0</v>
      </c>
      <c r="M491" s="1" t="str">
        <f t="shared" si="15"/>
        <v/>
      </c>
      <c r="N491" s="1">
        <v>0</v>
      </c>
      <c r="O491" s="1" t="s">
        <v>2249</v>
      </c>
      <c r="P491" s="3" t="str" cm="1">
        <f t="array" ref="P491">IFERROR(mindat_longid(O491),"")</f>
        <v/>
      </c>
      <c r="Q491" s="1" t="str">
        <f>IFERROR(VLOOKUP(O491, [1]meteoriteQuery!$D$2:$E$540,2,FALSE),"")</f>
        <v/>
      </c>
      <c r="R491" s="1" t="s">
        <v>2212</v>
      </c>
      <c r="S491" s="1">
        <f>IFERROR(VLOOKUP(C491,[1]meteoriteQuery!$D$2:$F$517,1,FALSE),"")</f>
        <v>52371</v>
      </c>
    </row>
    <row r="492" spans="1:19" x14ac:dyDescent="0.25">
      <c r="A492" s="1">
        <v>442</v>
      </c>
      <c r="B492" s="1" t="s">
        <v>2215</v>
      </c>
      <c r="C492" s="1">
        <v>52372</v>
      </c>
      <c r="D492" s="1" t="s">
        <v>2213</v>
      </c>
      <c r="E492" s="1" t="s">
        <v>2214</v>
      </c>
      <c r="F492" s="1">
        <v>7</v>
      </c>
      <c r="G492" s="1" t="s">
        <v>14</v>
      </c>
      <c r="H492" s="1" t="s">
        <v>2216</v>
      </c>
      <c r="I492" s="1"/>
      <c r="J492" s="1">
        <v>49873</v>
      </c>
      <c r="K492" s="1" t="str">
        <f t="shared" si="14"/>
        <v>1:1:49873:3</v>
      </c>
      <c r="L492" s="1">
        <v>0</v>
      </c>
      <c r="M492" s="1" t="str">
        <f t="shared" si="15"/>
        <v/>
      </c>
      <c r="N492" s="1">
        <v>0</v>
      </c>
      <c r="O492" s="1" t="s">
        <v>2249</v>
      </c>
      <c r="P492" s="3" t="str" cm="1">
        <f t="array" ref="P492">IFERROR(mindat_longid(O492),"")</f>
        <v/>
      </c>
      <c r="Q492" s="1" t="str">
        <f>IFERROR(VLOOKUP(O492, [1]meteoriteQuery!$D$2:$E$540,2,FALSE),"")</f>
        <v/>
      </c>
      <c r="R492" s="1" t="s">
        <v>2217</v>
      </c>
      <c r="S492" s="1">
        <f>IFERROR(VLOOKUP(C492,[1]meteoriteQuery!$D$2:$F$517,1,FALSE),"")</f>
        <v>52372</v>
      </c>
    </row>
    <row r="493" spans="1:19" x14ac:dyDescent="0.25">
      <c r="A493" s="1">
        <v>443</v>
      </c>
      <c r="B493" s="1" t="s">
        <v>2220</v>
      </c>
      <c r="C493" s="1">
        <v>52373</v>
      </c>
      <c r="D493" s="1" t="s">
        <v>2218</v>
      </c>
      <c r="E493" s="1" t="s">
        <v>2219</v>
      </c>
      <c r="F493" s="1">
        <v>7</v>
      </c>
      <c r="G493" s="1" t="s">
        <v>14</v>
      </c>
      <c r="H493" s="1" t="s">
        <v>2221</v>
      </c>
      <c r="I493" s="1"/>
      <c r="J493" s="1">
        <v>49960</v>
      </c>
      <c r="K493" s="1" t="str">
        <f t="shared" si="14"/>
        <v>1:1:49960:8</v>
      </c>
      <c r="L493" s="1">
        <v>0</v>
      </c>
      <c r="M493" s="1" t="str">
        <f t="shared" si="15"/>
        <v/>
      </c>
      <c r="N493" s="1">
        <v>0</v>
      </c>
      <c r="O493" s="1" t="s">
        <v>2249</v>
      </c>
      <c r="P493" s="3" t="str" cm="1">
        <f t="array" ref="P493">IFERROR(mindat_longid(O493),"")</f>
        <v/>
      </c>
      <c r="Q493" s="1" t="str">
        <f>IFERROR(VLOOKUP(O493, [1]meteoriteQuery!$D$2:$E$540,2,FALSE),"")</f>
        <v/>
      </c>
      <c r="R493" s="1" t="s">
        <v>2222</v>
      </c>
      <c r="S493" s="1">
        <f>IFERROR(VLOOKUP(C493,[1]meteoriteQuery!$D$2:$F$517,1,FALSE),"")</f>
        <v>52373</v>
      </c>
    </row>
    <row r="494" spans="1:19" x14ac:dyDescent="0.25">
      <c r="A494" s="1">
        <v>444</v>
      </c>
      <c r="B494" s="1" t="s">
        <v>2225</v>
      </c>
      <c r="C494" s="1">
        <v>52374</v>
      </c>
      <c r="D494" s="1" t="s">
        <v>2223</v>
      </c>
      <c r="E494" s="1" t="s">
        <v>2224</v>
      </c>
      <c r="F494" s="1">
        <v>7</v>
      </c>
      <c r="G494" s="1" t="s">
        <v>14</v>
      </c>
      <c r="H494" s="1" t="s">
        <v>2226</v>
      </c>
      <c r="I494" s="1"/>
      <c r="J494" s="1">
        <v>49581</v>
      </c>
      <c r="K494" s="1" t="str">
        <f t="shared" si="14"/>
        <v>1:1:49581:5</v>
      </c>
      <c r="L494" s="1">
        <v>0</v>
      </c>
      <c r="M494" s="1" t="str">
        <f t="shared" si="15"/>
        <v/>
      </c>
      <c r="N494" s="1">
        <v>0</v>
      </c>
      <c r="O494" s="1" t="s">
        <v>2249</v>
      </c>
      <c r="P494" s="3" t="str" cm="1">
        <f t="array" ref="P494">IFERROR(mindat_longid(O494),"")</f>
        <v/>
      </c>
      <c r="Q494" s="1" t="str">
        <f>IFERROR(VLOOKUP(O494, [1]meteoriteQuery!$D$2:$E$540,2,FALSE),"")</f>
        <v/>
      </c>
      <c r="R494" s="1" t="s">
        <v>2227</v>
      </c>
      <c r="S494" s="1">
        <f>IFERROR(VLOOKUP(C494,[1]meteoriteQuery!$D$2:$F$517,1,FALSE),"")</f>
        <v>52374</v>
      </c>
    </row>
    <row r="495" spans="1:19" x14ac:dyDescent="0.25">
      <c r="A495" s="1">
        <v>445</v>
      </c>
      <c r="B495" s="1" t="s">
        <v>2230</v>
      </c>
      <c r="C495" s="1">
        <v>52393</v>
      </c>
      <c r="D495" s="1" t="s">
        <v>2228</v>
      </c>
      <c r="E495" s="1" t="s">
        <v>2229</v>
      </c>
      <c r="F495" s="1">
        <v>7</v>
      </c>
      <c r="G495" s="1" t="s">
        <v>14</v>
      </c>
      <c r="H495" s="1" t="s">
        <v>2231</v>
      </c>
      <c r="I495" s="1"/>
      <c r="J495" s="1">
        <v>49851</v>
      </c>
      <c r="K495" s="1" t="str">
        <f t="shared" si="14"/>
        <v>1:1:49851:1</v>
      </c>
      <c r="L495" s="1">
        <v>0</v>
      </c>
      <c r="M495" s="1" t="str">
        <f t="shared" si="15"/>
        <v/>
      </c>
      <c r="N495" s="1">
        <v>0</v>
      </c>
      <c r="O495" s="1" t="s">
        <v>2249</v>
      </c>
      <c r="P495" s="3" t="str" cm="1">
        <f t="array" ref="P495">IFERROR(mindat_longid(O495),"")</f>
        <v/>
      </c>
      <c r="Q495" s="1" t="str">
        <f>IFERROR(VLOOKUP(O495, [1]meteoriteQuery!$D$2:$E$540,2,FALSE),"")</f>
        <v/>
      </c>
      <c r="R495" s="1" t="s">
        <v>2232</v>
      </c>
      <c r="S495" s="1">
        <v>52393</v>
      </c>
    </row>
    <row r="496" spans="1:19" x14ac:dyDescent="0.25">
      <c r="A496" s="1">
        <v>446</v>
      </c>
      <c r="B496" s="1" t="s">
        <v>2235</v>
      </c>
      <c r="C496" s="1">
        <v>52394</v>
      </c>
      <c r="D496" s="1" t="s">
        <v>2233</v>
      </c>
      <c r="E496" s="1" t="s">
        <v>2234</v>
      </c>
      <c r="F496" s="1">
        <v>7</v>
      </c>
      <c r="G496" s="1" t="s">
        <v>14</v>
      </c>
      <c r="H496" s="1" t="s">
        <v>2236</v>
      </c>
      <c r="I496" s="1"/>
      <c r="J496" s="1">
        <v>49745</v>
      </c>
      <c r="K496" s="1" t="str">
        <f t="shared" si="14"/>
        <v>1:1:49745:1</v>
      </c>
      <c r="L496" s="1">
        <v>0</v>
      </c>
      <c r="M496" s="1" t="str">
        <f t="shared" si="15"/>
        <v/>
      </c>
      <c r="N496" s="1">
        <v>0</v>
      </c>
      <c r="O496" s="1" t="s">
        <v>2249</v>
      </c>
      <c r="P496" s="3" t="str" cm="1">
        <f t="array" ref="P496">IFERROR(mindat_longid(O496),"")</f>
        <v/>
      </c>
      <c r="Q496" s="1" t="str">
        <f>IFERROR(VLOOKUP(O496, [1]meteoriteQuery!$D$2:$E$540,2,FALSE),"")</f>
        <v/>
      </c>
      <c r="R496" s="1" t="s">
        <v>2237</v>
      </c>
      <c r="S496" s="1">
        <v>52394</v>
      </c>
    </row>
    <row r="497" spans="1:19" x14ac:dyDescent="0.25">
      <c r="A497" s="1">
        <v>447</v>
      </c>
      <c r="B497" s="1" t="s">
        <v>2240</v>
      </c>
      <c r="C497" s="1">
        <v>52395</v>
      </c>
      <c r="D497" s="1" t="s">
        <v>2238</v>
      </c>
      <c r="E497" s="1" t="s">
        <v>2239</v>
      </c>
      <c r="F497" s="1">
        <v>7</v>
      </c>
      <c r="G497" s="1" t="s">
        <v>14</v>
      </c>
      <c r="H497" s="1" t="s">
        <v>2241</v>
      </c>
      <c r="I497" s="1"/>
      <c r="J497" s="1">
        <v>52226</v>
      </c>
      <c r="K497" s="1" t="str">
        <f t="shared" si="14"/>
        <v>1:1:52226:1</v>
      </c>
      <c r="L497" s="1">
        <v>0</v>
      </c>
      <c r="M497" s="1" t="str">
        <f t="shared" si="15"/>
        <v/>
      </c>
      <c r="N497" s="1">
        <v>0</v>
      </c>
      <c r="O497" s="1" t="s">
        <v>2249</v>
      </c>
      <c r="P497" s="3" t="str" cm="1">
        <f t="array" ref="P497">IFERROR(mindat_longid(O497),"")</f>
        <v/>
      </c>
      <c r="Q497" s="1" t="str">
        <f>IFERROR(VLOOKUP(O497, [1]meteoriteQuery!$D$2:$E$540,2,FALSE),"")</f>
        <v/>
      </c>
      <c r="R497" s="1" t="s">
        <v>2242</v>
      </c>
      <c r="S497" s="1">
        <v>52395</v>
      </c>
    </row>
    <row r="498" spans="1:19" x14ac:dyDescent="0.25">
      <c r="A498" s="1">
        <v>448</v>
      </c>
      <c r="B498" s="1" t="s">
        <v>2245</v>
      </c>
      <c r="C498" s="1">
        <v>52396</v>
      </c>
      <c r="D498" s="1" t="s">
        <v>2243</v>
      </c>
      <c r="E498" s="1" t="s">
        <v>2244</v>
      </c>
      <c r="F498" s="1">
        <v>7</v>
      </c>
      <c r="G498" s="1" t="s">
        <v>14</v>
      </c>
      <c r="H498" s="1" t="s">
        <v>2246</v>
      </c>
      <c r="I498" s="1"/>
      <c r="J498" s="1">
        <v>49560</v>
      </c>
      <c r="K498" s="1" t="str">
        <f t="shared" si="14"/>
        <v>1:1:49560:2</v>
      </c>
      <c r="L498" s="1">
        <v>0</v>
      </c>
      <c r="M498" s="1" t="str">
        <f t="shared" si="15"/>
        <v/>
      </c>
      <c r="N498" s="1">
        <v>0</v>
      </c>
      <c r="O498" s="1" t="s">
        <v>2249</v>
      </c>
      <c r="P498" s="3" t="str" cm="1">
        <f t="array" ref="P498">IFERROR(mindat_longid(O498),"")</f>
        <v/>
      </c>
      <c r="Q498" s="1" t="str">
        <f>IFERROR(VLOOKUP(O498, [1]meteoriteQuery!$D$2:$E$540,2,FALSE),"")</f>
        <v/>
      </c>
      <c r="R498" s="1" t="s">
        <v>2247</v>
      </c>
      <c r="S498" s="1">
        <v>52396</v>
      </c>
    </row>
    <row r="499" spans="1:19" x14ac:dyDescent="0.25">
      <c r="A499" s="1">
        <v>2</v>
      </c>
      <c r="B499" s="1" t="s">
        <v>2279</v>
      </c>
      <c r="C499" s="3">
        <v>52720</v>
      </c>
      <c r="D499" s="1" t="s">
        <v>2280</v>
      </c>
      <c r="E499" s="1" t="s">
        <v>2281</v>
      </c>
      <c r="F499" s="1">
        <v>7</v>
      </c>
      <c r="G499" s="1" t="s">
        <v>14</v>
      </c>
      <c r="H499" s="1" t="s">
        <v>2282</v>
      </c>
      <c r="I499" s="1"/>
      <c r="J499" s="3">
        <v>49960</v>
      </c>
      <c r="K499" s="1" t="str">
        <f t="shared" si="14"/>
        <v>1:1:49960:8</v>
      </c>
      <c r="L499" s="1">
        <v>0</v>
      </c>
      <c r="M499" s="1" t="str">
        <f t="shared" si="15"/>
        <v/>
      </c>
      <c r="N499" s="1">
        <v>0</v>
      </c>
      <c r="O499" s="1"/>
      <c r="P499" s="3" t="str" cm="1">
        <f t="array" ref="P499">IFERROR(mindat_longid(O499),"")</f>
        <v/>
      </c>
      <c r="Q499" s="1" t="str">
        <f>IFERROR(VLOOKUP(O499, [1]meteoriteQuery!$D$2:$E$540,2,FALSE),"")</f>
        <v/>
      </c>
      <c r="R499" s="1"/>
    </row>
    <row r="500" spans="1:19" x14ac:dyDescent="0.25">
      <c r="A500" s="1">
        <v>126</v>
      </c>
      <c r="B500" s="1" t="s">
        <v>2261</v>
      </c>
      <c r="C500" s="3">
        <v>52787</v>
      </c>
      <c r="D500" s="1" t="s">
        <v>2262</v>
      </c>
      <c r="E500" s="1" t="s">
        <v>2263</v>
      </c>
      <c r="F500" s="1">
        <v>7</v>
      </c>
      <c r="G500" s="1" t="s">
        <v>14</v>
      </c>
      <c r="H500" s="1" t="s">
        <v>2264</v>
      </c>
      <c r="I500" s="1"/>
      <c r="J500" s="3">
        <v>49960</v>
      </c>
      <c r="K500" s="1" t="str">
        <f t="shared" si="14"/>
        <v>1:1:49960:8</v>
      </c>
      <c r="L500" s="1">
        <v>0</v>
      </c>
      <c r="M500" s="1" t="str">
        <f t="shared" si="15"/>
        <v/>
      </c>
      <c r="N500" s="1">
        <v>0</v>
      </c>
      <c r="O500" s="1"/>
      <c r="P500" s="3" t="str" cm="1">
        <f t="array" ref="P500">IFERROR(mindat_longid(O500),"")</f>
        <v/>
      </c>
      <c r="Q500" s="1" t="str">
        <f>IFERROR(VLOOKUP(O500, [1]meteoriteQuery!$D$2:$E$540,2,FALSE),"")</f>
        <v/>
      </c>
      <c r="R500" s="1"/>
    </row>
    <row r="501" spans="1:19" x14ac:dyDescent="0.25">
      <c r="A501" s="1">
        <v>136</v>
      </c>
      <c r="B501" s="1" t="s">
        <v>2384</v>
      </c>
      <c r="C501" s="3">
        <v>54116</v>
      </c>
      <c r="D501" s="1" t="s">
        <v>2385</v>
      </c>
      <c r="E501" s="1" t="s">
        <v>2386</v>
      </c>
      <c r="F501" s="1">
        <v>7</v>
      </c>
      <c r="G501" s="1" t="s">
        <v>14</v>
      </c>
      <c r="H501" s="1" t="s">
        <v>2387</v>
      </c>
      <c r="I501" s="1"/>
      <c r="J501" s="3">
        <v>49960</v>
      </c>
      <c r="K501" s="1" t="str">
        <f t="shared" si="14"/>
        <v>1:1:49960:8</v>
      </c>
      <c r="L501" s="1">
        <v>0</v>
      </c>
      <c r="M501" s="1" t="str">
        <f t="shared" si="15"/>
        <v/>
      </c>
      <c r="N501" s="1">
        <v>0</v>
      </c>
      <c r="O501" s="1"/>
      <c r="P501" s="3" t="str" cm="1">
        <f t="array" ref="P501">IFERROR(mindat_longid(O501),"")</f>
        <v/>
      </c>
      <c r="Q501" s="1" t="str">
        <f>IFERROR(VLOOKUP(O501, [1]meteoriteQuery!$D$2:$E$540,2,FALSE),"")</f>
        <v/>
      </c>
      <c r="R501" s="1"/>
    </row>
    <row r="502" spans="1:19" x14ac:dyDescent="0.25">
      <c r="A502" s="1">
        <v>12</v>
      </c>
      <c r="B502" s="1" t="s">
        <v>2320</v>
      </c>
      <c r="C502" s="3">
        <v>54117</v>
      </c>
      <c r="D502" s="1" t="s">
        <v>2321</v>
      </c>
      <c r="E502" s="1" t="s">
        <v>2322</v>
      </c>
      <c r="F502" s="1">
        <v>7</v>
      </c>
      <c r="G502" s="1" t="s">
        <v>14</v>
      </c>
      <c r="H502" s="1" t="s">
        <v>2323</v>
      </c>
      <c r="I502" s="1"/>
      <c r="J502" s="3">
        <v>49960</v>
      </c>
      <c r="K502" s="1" t="str">
        <f t="shared" si="14"/>
        <v>1:1:49960:8</v>
      </c>
      <c r="L502" s="1">
        <v>0</v>
      </c>
      <c r="M502" s="1" t="str">
        <f t="shared" si="15"/>
        <v/>
      </c>
      <c r="N502" s="1">
        <v>0</v>
      </c>
      <c r="O502" s="1"/>
      <c r="P502" s="3" t="str" cm="1">
        <f t="array" ref="P502">IFERROR(mindat_longid(O502),"")</f>
        <v/>
      </c>
      <c r="Q502" s="1" t="str">
        <f>IFERROR(VLOOKUP(O502, [1]meteoriteQuery!$D$2:$E$540,2,FALSE),"")</f>
        <v/>
      </c>
      <c r="R502" s="1"/>
    </row>
  </sheetData>
  <autoFilter ref="A1:R502"/>
  <sortState xmlns:xlrd2="http://schemas.microsoft.com/office/spreadsheetml/2017/richdata2" ref="A2:S502">
    <sortCondition ref="C2:C502"/>
  </sortState>
  <phoneticPr fontId="20" type="noConversion"/>
  <hyperlinks>
    <hyperlink ref="H71" r:id="rId1" display="https://www.mindat.org/min-49559.html"/>
    <hyperlink ref="I422" r:id="rId2"/>
  </hyperlinks>
  <pageMargins left="0.7" right="0.7" top="0.75" bottom="0.75" header="0.3" footer="0.3"/>
  <pageSetup orientation="portrait"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filterMode="1"/>
  <dimension ref="A1:AJ502"/>
  <sheetViews>
    <sheetView topLeftCell="S1" workbookViewId="0">
      <pane ySplit="1" topLeftCell="A475" activePane="bottomLeft" state="frozen"/>
      <selection activeCell="W1" sqref="W1"/>
      <selection pane="bottomLeft" activeCell="AA2" activeCellId="1" sqref="U2:U498 AA2:AA498"/>
    </sheetView>
  </sheetViews>
  <sheetFormatPr defaultRowHeight="15" x14ac:dyDescent="0.25"/>
  <cols>
    <col min="1" max="1" width="6" style="8" bestFit="1" customWidth="1"/>
    <col min="2" max="3" width="9.140625" style="8"/>
    <col min="4" max="4" width="10.7109375" style="8" bestFit="1" customWidth="1"/>
    <col min="5" max="5" width="7.42578125" style="8" customWidth="1"/>
    <col min="6" max="6" width="9.7109375" style="9" hidden="1" customWidth="1"/>
    <col min="7" max="7" width="0" style="9" hidden="1" customWidth="1"/>
    <col min="8" max="8" width="77.7109375" style="1" customWidth="1"/>
    <col min="9" max="9" width="8.5703125" style="8" customWidth="1"/>
    <col min="10" max="10" width="13.85546875" style="8" bestFit="1" customWidth="1"/>
    <col min="11" max="11" width="16.5703125" style="8" bestFit="1" customWidth="1"/>
    <col min="12" max="12" width="19.85546875" style="9" hidden="1" customWidth="1"/>
    <col min="13" max="13" width="20" style="8" bestFit="1" customWidth="1"/>
    <col min="14" max="14" width="0" style="9" hidden="1" customWidth="1"/>
    <col min="15" max="15" width="12.85546875" style="9" hidden="1" customWidth="1"/>
    <col min="16" max="16" width="12.5703125" style="8" customWidth="1"/>
    <col min="17" max="17" width="12" style="8" customWidth="1"/>
    <col min="18" max="18" width="19.140625" style="8" customWidth="1"/>
    <col min="19" max="19" width="23.42578125" style="11" customWidth="1"/>
    <col min="20" max="20" width="13.5703125" style="8" customWidth="1"/>
    <col min="21" max="21" width="20.7109375" style="8" customWidth="1"/>
    <col min="22" max="22" width="19.85546875" style="8" customWidth="1"/>
    <col min="23" max="23" width="35.7109375" style="8" customWidth="1"/>
    <col min="24" max="24" width="26" style="8" customWidth="1"/>
    <col min="25" max="25" width="12.85546875" style="8" customWidth="1"/>
    <col min="26" max="27" width="27.28515625" style="8" customWidth="1"/>
    <col min="28" max="28" width="32.7109375" style="8" customWidth="1"/>
    <col min="29" max="29" width="31.7109375" style="8" customWidth="1"/>
    <col min="30" max="30" width="66.85546875" style="10" customWidth="1"/>
    <col min="31" max="31" width="20.140625" style="8" customWidth="1"/>
    <col min="32" max="16384" width="9.140625" style="8"/>
  </cols>
  <sheetData>
    <row r="1" spans="1:31" x14ac:dyDescent="0.25">
      <c r="A1" s="8" t="s">
        <v>2252</v>
      </c>
      <c r="B1" s="8" t="s">
        <v>3</v>
      </c>
      <c r="C1" s="8" t="s">
        <v>0</v>
      </c>
      <c r="D1" s="8" t="s">
        <v>1</v>
      </c>
      <c r="E1" s="8" t="s">
        <v>2</v>
      </c>
      <c r="F1" s="9" t="s">
        <v>4</v>
      </c>
      <c r="G1" s="9" t="s">
        <v>5</v>
      </c>
      <c r="H1" s="1" t="s">
        <v>6</v>
      </c>
      <c r="I1" s="8" t="s">
        <v>2472</v>
      </c>
      <c r="J1" s="8" t="s">
        <v>7</v>
      </c>
      <c r="K1" s="8" t="s">
        <v>2254</v>
      </c>
      <c r="L1" s="9" t="s">
        <v>8</v>
      </c>
      <c r="M1" s="8" t="s">
        <v>2255</v>
      </c>
      <c r="N1" s="9" t="s">
        <v>9</v>
      </c>
      <c r="O1" s="9" t="s">
        <v>2248</v>
      </c>
      <c r="P1" s="8" t="s">
        <v>2456</v>
      </c>
      <c r="Q1" s="8" t="s">
        <v>2457</v>
      </c>
      <c r="R1" s="8" t="s">
        <v>10</v>
      </c>
      <c r="S1" s="11" t="s">
        <v>2541</v>
      </c>
      <c r="U1" s="8" t="s">
        <v>2542</v>
      </c>
      <c r="V1" s="8" t="s">
        <v>2543</v>
      </c>
      <c r="W1" s="8" t="s">
        <v>2544</v>
      </c>
      <c r="X1" s="8" t="s">
        <v>2545</v>
      </c>
      <c r="Y1" s="8" t="s">
        <v>2546</v>
      </c>
      <c r="Z1" s="8" t="s">
        <v>2547</v>
      </c>
      <c r="AA1" s="8" t="s">
        <v>2592</v>
      </c>
      <c r="AB1" s="8" t="s">
        <v>2548</v>
      </c>
      <c r="AC1" s="8" t="s">
        <v>2549</v>
      </c>
      <c r="AD1" s="10" t="s">
        <v>2550</v>
      </c>
      <c r="AE1" s="8" t="s">
        <v>2590</v>
      </c>
    </row>
    <row r="2" spans="1:31" x14ac:dyDescent="0.25">
      <c r="A2" s="8">
        <v>0</v>
      </c>
      <c r="B2" s="8" t="s">
        <v>13</v>
      </c>
      <c r="C2" s="8">
        <v>11263</v>
      </c>
      <c r="D2" s="8" t="s">
        <v>11</v>
      </c>
      <c r="E2" s="8" t="s">
        <v>12</v>
      </c>
      <c r="F2" s="9">
        <v>7</v>
      </c>
      <c r="G2" s="9" t="s">
        <v>14</v>
      </c>
      <c r="H2" s="1" t="s">
        <v>15</v>
      </c>
      <c r="I2" s="8" t="str">
        <f>"https://www.mindat.org/min-"&amp; C2 &amp; ".html"</f>
        <v>https://www.mindat.org/min-11263.html</v>
      </c>
      <c r="J2" s="8">
        <v>49847</v>
      </c>
      <c r="K2" s="8" t="s">
        <v>1448</v>
      </c>
      <c r="N2" s="9">
        <v>1</v>
      </c>
      <c r="O2" s="9" t="s">
        <v>2249</v>
      </c>
      <c r="R2" s="8" t="s">
        <v>16</v>
      </c>
      <c r="S2" s="11">
        <v>43049.471412037034</v>
      </c>
      <c r="U2" s="8" t="str">
        <f>"&lt;etma:"&amp;D2&amp; "&gt;  rdf:type skos:Concept ;  "</f>
        <v xml:space="preserve">&lt;etma:1:1:11263:9&gt;  rdf:type skos:Concept ;  </v>
      </c>
      <c r="V2" s="8" t="str">
        <f xml:space="preserve"> " dcterms:source """ &amp; I2 &amp; """ ; "</f>
        <v xml:space="preserve"> dcterms:source "https://www.mindat.org/min-11263.html" ; </v>
      </c>
      <c r="W2" s="8" t="str">
        <f>"skos:definition """ &amp; H2 &amp; """@en ; "</f>
        <v xml:space="preserve">skos:definition "Lodranites can be described as chondrites that were heated to the point where FeNi and FeS reach an eutectic point. At this point partial melting occurred and some of the metal and silica melt was removed."@en ; </v>
      </c>
      <c r="X2" s="8" t="str">
        <f>" skos:inScheme &lt;https://mindat.org/etmat/cscheme&gt; ;  "</f>
        <v xml:space="preserve"> skos:inScheme &lt;https://mindat.org/etmat/cscheme&gt; ;  </v>
      </c>
      <c r="Y2" s="8" t="str">
        <f>"skos:prefLabel """ &amp; B2 &amp; """@en ; rdfs:label """ &amp; B2 &amp; """@en ; "</f>
        <v xml:space="preserve">skos:prefLabel "Lodranite meteorite"@en ; rdfs:label "Lodranite meteorite"@en ; </v>
      </c>
      <c r="Z2" s="8" t="str">
        <f>IF(ISBLANK(Q2),"", "skos:altLabel """&amp;Q2&amp;"""@en ; ") &amp; IF(ISBLANK(P2),"", "skos:exactMatch  &lt;etma:"&amp;P2&amp;"&gt; ; ") &amp;  IF(ISBLANK(R2),"", " skos:notation  """&amp; R2 &amp;"""@en ; ")</f>
        <v xml:space="preserve"> skos:notation  "Lodranite"@en ; </v>
      </c>
      <c r="AA2" s="8" t="str">
        <f>IF(NOT(ISBLANK(R2)), "dcterms:source ""https://www.lpi.usra.edu/meteor/metbullclass.php?sea=" &amp; SUBSTITUTE(R2," ","%20") &amp; """;","")</f>
        <v>dcterms:source "https://www.lpi.usra.edu/meteor/metbullclass.php?sea=Lodranite";</v>
      </c>
      <c r="AB2" s="8" t="str">
        <f>"skos:broader &lt;etma:"&amp;K2&amp;"&gt;" &amp; IF(ISBLANK(M2),"", ", &lt;etma:"&amp;M2&amp;"&gt;") &amp; " ; "</f>
        <v xml:space="preserve">skos:broader &lt;etma:1:1:49847:8&gt; ; </v>
      </c>
      <c r="AC2" s="8" t="str">
        <f>"dcterms:modified """&amp;  TEXT(S2,"YYYY-MM-DDTHH:MM") &amp;""";  ."</f>
        <v>dcterms:modified "2017-11-10T11:18";  .</v>
      </c>
      <c r="AD2" s="10" t="str">
        <f>_xlfn.TEXTJOIN("  ", TRUE, U2:AC2)</f>
        <v>&lt;etma:1:1:11263:9&gt;  rdf:type skos:Concept ;     dcterms:source "https://www.mindat.org/min-11263.html" ;   skos:definition "Lodranites can be described as chondrites that were heated to the point where FeNi and FeS reach an eutectic point. At this point partial melting occurred and some of the metal and silica melt was removed."@en ;    skos:inScheme &lt;https://mindat.org/etmat/cscheme&gt; ;    skos:prefLabel "Lodranite meteorite"@en ; rdfs:label "Lodranite meteorite"@en ;    skos:notation  "Lodranite"@en ;   dcterms:source "https://www.lpi.usra.edu/meteor/metbullclass.php?sea=Lodranite";  skos:broader &lt;etma:1:1:49847:8&gt; ;   dcterms:modified "2017-11-10T11:18";  .</v>
      </c>
      <c r="AE2" s="8" t="s">
        <v>2591</v>
      </c>
    </row>
    <row r="3" spans="1:31" hidden="1" x14ac:dyDescent="0.25">
      <c r="A3" s="8">
        <v>246</v>
      </c>
      <c r="B3" s="8" t="s">
        <v>2351</v>
      </c>
      <c r="C3" s="8">
        <v>48145</v>
      </c>
      <c r="D3" s="8" t="s">
        <v>2352</v>
      </c>
      <c r="E3" s="8" t="s">
        <v>2353</v>
      </c>
      <c r="F3" s="9">
        <v>7</v>
      </c>
      <c r="G3" s="9" t="s">
        <v>14</v>
      </c>
      <c r="H3" s="1" t="s">
        <v>2354</v>
      </c>
      <c r="I3" s="8" t="str">
        <f t="shared" ref="I3:I17" si="0">"https://www.mindat.org/min-"&amp; C3 &amp; ".html"</f>
        <v>https://www.mindat.org/min-48145.html</v>
      </c>
      <c r="J3" s="8">
        <v>49507</v>
      </c>
      <c r="K3" s="8" t="s">
        <v>2325</v>
      </c>
      <c r="L3" s="9">
        <v>48144</v>
      </c>
      <c r="M3" s="8" t="s">
        <v>2452</v>
      </c>
      <c r="N3" s="9">
        <v>0</v>
      </c>
      <c r="S3" s="11">
        <f ca="1">NOW()</f>
        <v>45097.373057407407</v>
      </c>
      <c r="U3" s="8" t="str">
        <f t="shared" ref="U3:U17" si="1">"&lt;etma:"&amp;D3&amp; "&gt;  rdf:type skos:Concept ;  "</f>
        <v xml:space="preserve">&lt;etma:1:1:48145:0&gt;  rdf:type skos:Concept ;  </v>
      </c>
      <c r="V3" s="8" t="str">
        <f t="shared" ref="V3:V17" si="2" xml:space="preserve"> " dcterms:source """ &amp; I3 &amp; """ ; "</f>
        <v xml:space="preserve"> dcterms:source "https://www.mindat.org/min-48145.html" ; </v>
      </c>
      <c r="W3" s="8" t="str">
        <f t="shared" ref="W3:W17" si="3">"skos:definition """ &amp; H3 &amp; """@en ; "</f>
        <v xml:space="preserve">skos:definition "Fragments of this material have been found in lunar breccias and soils."@en ; </v>
      </c>
      <c r="X3" s="8" t="str">
        <f t="shared" ref="X3:X23" si="4">" skos:inScheme &lt;https://mindat.org/etmat/cscheme&gt; ;  "</f>
        <v xml:space="preserve"> skos:inScheme &lt;https://mindat.org/etmat/cscheme&gt; ;  </v>
      </c>
      <c r="Y3" s="8" t="str">
        <f t="shared" ref="Y3:Y17" si="5">"skos:prefLabel """ &amp; B3 &amp; """@en ; rdfs:label """ &amp; B3 &amp; """@en ; "</f>
        <v xml:space="preserve">skos:prefLabel "Lunar granophyric granite"@en ; rdfs:label "Lunar granophyric granite"@en ; </v>
      </c>
      <c r="Z3" s="8" t="str">
        <f t="shared" ref="Z3:Z17" si="6">IF(ISBLANK(Q3),"", "skos:altLabel """&amp;Q3&amp;"""@en ; ") &amp; IF(ISBLANK(P3),"", "skos:exactMatch  &lt;etma:"&amp;P3&amp;"&gt; ; ") &amp;  IF(ISBLANK(R3),"", " skos:notation  """&amp; R3 &amp;"""@en ; ")</f>
        <v/>
      </c>
      <c r="AA3" s="8" t="str">
        <f t="shared" ref="AA3:AA66" si="7">IF(NOT(ISBLANK(R3)), "dcterms:source ""https://www.lpi.usra.edu/meteor/metbullclass.php?sea=" &amp; SUBSTITUTE(R3," ","%20") &amp; """;","")</f>
        <v/>
      </c>
      <c r="AB3" s="8" t="str">
        <f>"skos:broader &lt;etma:"&amp;K3&amp;"&gt;" &amp; IF(ISBLANK(M3),"", ", &lt;etma:"&amp;M3&amp;"&gt;") &amp; " ; "</f>
        <v xml:space="preserve">skos:broader &lt;etma:1:1:49507:3&gt;, &lt;etma:1:1:48144:1&gt; ; </v>
      </c>
      <c r="AC3" s="8" t="str">
        <f t="shared" ref="AC3:AC66" ca="1" si="8">"dcterms:modified """&amp;  TEXT(S3,"YYYY-MM-DDTHH:MM") &amp;""";  ."</f>
        <v>dcterms:modified "2023-06-20T08:57";  .</v>
      </c>
      <c r="AD3" s="10" t="str">
        <f t="shared" ref="AD3:AD18" ca="1" si="9">_xlfn.TEXTJOIN("  ", TRUE, U3:AC3)</f>
        <v>&lt;etma:1:1:48145:0&gt;  rdf:type skos:Concept ;     dcterms:source "https://www.mindat.org/min-48145.html" ;   skos:definition "Fragments of this material have been found in lunar breccias and soils."@en ;    skos:inScheme &lt;https://mindat.org/etmat/cscheme&gt; ;    skos:prefLabel "Lunar granophyric granite"@en ; rdfs:label "Lunar granophyric granite"@en ;   skos:broader &lt;etma:1:1:49507:3&gt;, &lt;etma:1:1:48144:1&gt; ;   dcterms:modified "2023-06-20T08:57";  .</v>
      </c>
      <c r="AE3" s="8" t="s">
        <v>2591</v>
      </c>
    </row>
    <row r="4" spans="1:31" hidden="1" x14ac:dyDescent="0.25">
      <c r="B4" s="8" t="s">
        <v>2447</v>
      </c>
      <c r="C4" s="8">
        <v>49089</v>
      </c>
      <c r="D4" s="8" t="s">
        <v>2448</v>
      </c>
      <c r="E4" s="8" t="s">
        <v>2449</v>
      </c>
      <c r="F4" s="9">
        <v>7</v>
      </c>
      <c r="G4" s="9" t="s">
        <v>14</v>
      </c>
      <c r="H4" s="1" t="s">
        <v>2450</v>
      </c>
      <c r="I4" s="8" t="str">
        <f t="shared" si="0"/>
        <v>https://www.mindat.org/min-49089.html</v>
      </c>
      <c r="J4" s="8">
        <v>49077</v>
      </c>
      <c r="K4" s="8" t="s">
        <v>2451</v>
      </c>
      <c r="S4" s="11">
        <f t="shared" ref="S4:S6" ca="1" si="10">NOW()</f>
        <v>45097.373057291668</v>
      </c>
      <c r="U4" s="8" t="str">
        <f t="shared" si="1"/>
        <v xml:space="preserve">&lt;etma:1:1:49089:2&gt;  rdf:type skos:Concept ;  </v>
      </c>
      <c r="V4" s="8" t="str">
        <f t="shared" si="2"/>
        <v xml:space="preserve"> dcterms:source "https://www.mindat.org/min-49089.html" ; </v>
      </c>
      <c r="W4" s="8" t="str">
        <f t="shared" si="3"/>
        <v xml:space="preserve">skos:definition "Impactites resulting from multiple collisions (eg on the moon or asteroids.)"@en ; </v>
      </c>
      <c r="X4" s="8" t="str">
        <f t="shared" si="4"/>
        <v xml:space="preserve"> skos:inScheme &lt;https://mindat.org/etmat/cscheme&gt; ;  </v>
      </c>
      <c r="Y4" s="8" t="str">
        <f t="shared" si="5"/>
        <v xml:space="preserve">skos:prefLabel "Multiple impact impactite"@en ; rdfs:label "Multiple impact impactite"@en ; </v>
      </c>
      <c r="Z4" s="8" t="str">
        <f t="shared" si="6"/>
        <v/>
      </c>
      <c r="AA4" s="8" t="str">
        <f t="shared" si="7"/>
        <v/>
      </c>
      <c r="AB4" s="8" t="str">
        <f>"skos:broader &lt;etma:"&amp;K4&amp;"&gt;" &amp; IF(ISBLANK(M4),"", ", &lt;etma:"&amp;M4&amp;"&gt;") &amp; " ; "</f>
        <v xml:space="preserve">skos:broader &lt;etma:1:1:49077:7&gt; ; </v>
      </c>
      <c r="AC4" s="8" t="str">
        <f t="shared" ca="1" si="8"/>
        <v>dcterms:modified "2023-06-20T08:57";  .</v>
      </c>
      <c r="AD4" s="10" t="str">
        <f t="shared" ca="1" si="9"/>
        <v>&lt;etma:1:1:49089:2&gt;  rdf:type skos:Concept ;     dcterms:source "https://www.mindat.org/min-49089.html" ;   skos:definition "Impactites resulting from multiple collisions (eg on the moon or asteroids.)"@en ;    skos:inScheme &lt;https://mindat.org/etmat/cscheme&gt; ;    skos:prefLabel "Multiple impact impactite"@en ; rdfs:label "Multiple impact impactite"@en ;   skos:broader &lt;etma:1:1:49077:7&gt; ;   dcterms:modified "2023-06-20T08:57";  .</v>
      </c>
      <c r="AE4" s="8" t="s">
        <v>2591</v>
      </c>
    </row>
    <row r="5" spans="1:31" hidden="1" x14ac:dyDescent="0.25">
      <c r="A5" s="8">
        <v>87</v>
      </c>
      <c r="B5" s="8" t="s">
        <v>2424</v>
      </c>
      <c r="C5" s="8">
        <v>49091</v>
      </c>
      <c r="D5" s="8" t="s">
        <v>2425</v>
      </c>
      <c r="E5" s="8" t="s">
        <v>2426</v>
      </c>
      <c r="F5" s="9">
        <v>7</v>
      </c>
      <c r="G5" s="9" t="s">
        <v>14</v>
      </c>
      <c r="H5" s="1" t="s">
        <v>2427</v>
      </c>
      <c r="I5" s="8" t="str">
        <f t="shared" si="0"/>
        <v>https://www.mindat.org/min-49091.html</v>
      </c>
      <c r="J5" s="8">
        <v>49509</v>
      </c>
      <c r="K5" s="8" t="s">
        <v>2315</v>
      </c>
      <c r="L5" s="9">
        <v>49089</v>
      </c>
      <c r="M5" s="8" t="s">
        <v>2448</v>
      </c>
      <c r="N5" s="9">
        <v>1</v>
      </c>
      <c r="S5" s="11">
        <f t="shared" ca="1" si="10"/>
        <v>45097.373057291668</v>
      </c>
      <c r="U5" s="8" t="str">
        <f t="shared" si="1"/>
        <v xml:space="preserve">&lt;etma:1:1:49091:7&gt;  rdf:type skos:Concept ;  </v>
      </c>
      <c r="V5" s="8" t="str">
        <f t="shared" si="2"/>
        <v xml:space="preserve"> dcterms:source "https://www.mindat.org/min-49091.html" ; </v>
      </c>
      <c r="W5" s="8" t="str">
        <f t="shared" si="3"/>
        <v xml:space="preserve">skos:definition "Consolidated clastic impact debris."@en ; </v>
      </c>
      <c r="X5" s="8" t="str">
        <f t="shared" si="4"/>
        <v xml:space="preserve"> skos:inScheme &lt;https://mindat.org/etmat/cscheme&gt; ;  </v>
      </c>
      <c r="Y5" s="8" t="str">
        <f t="shared" si="5"/>
        <v xml:space="preserve">skos:prefLabel "Shock lithified impact regolith"@en ; rdfs:label "Shock lithified impact regolith"@en ; </v>
      </c>
      <c r="Z5" s="8" t="str">
        <f t="shared" si="6"/>
        <v/>
      </c>
      <c r="AA5" s="8" t="str">
        <f t="shared" si="7"/>
        <v/>
      </c>
      <c r="AB5" s="8" t="str">
        <f>"skos:broader &lt;etma:"&amp;K5&amp;"&gt;" &amp; IF(ISBLANK(M5),"", ", &lt;etma:"&amp;M5&amp;"&gt;") &amp; " ; "</f>
        <v xml:space="preserve">skos:broader &lt;etma:1:1:49509:1&gt;, &lt;etma:1:1:49089:2&gt; ; </v>
      </c>
      <c r="AC5" s="8" t="str">
        <f t="shared" ca="1" si="8"/>
        <v>dcterms:modified "2023-06-20T08:57";  .</v>
      </c>
      <c r="AD5" s="10" t="str">
        <f t="shared" ca="1" si="9"/>
        <v>&lt;etma:1:1:49091:7&gt;  rdf:type skos:Concept ;     dcterms:source "https://www.mindat.org/min-49091.html" ;   skos:definition "Consolidated clastic impact debris."@en ;    skos:inScheme &lt;https://mindat.org/etmat/cscheme&gt; ;    skos:prefLabel "Shock lithified impact regolith"@en ; rdfs:label "Shock lithified impact regolith"@en ;   skos:broader &lt;etma:1:1:49509:1&gt;, &lt;etma:1:1:49089:2&gt; ;   dcterms:modified "2023-06-20T08:57";  .</v>
      </c>
      <c r="AE5" s="8" t="s">
        <v>2591</v>
      </c>
    </row>
    <row r="6" spans="1:31" hidden="1" x14ac:dyDescent="0.25">
      <c r="A6" s="8">
        <v>207</v>
      </c>
      <c r="B6" s="8" t="s">
        <v>2377</v>
      </c>
      <c r="C6" s="8">
        <v>49093</v>
      </c>
      <c r="D6" s="8" t="s">
        <v>2378</v>
      </c>
      <c r="E6" s="8" t="s">
        <v>2379</v>
      </c>
      <c r="F6" s="9">
        <v>7</v>
      </c>
      <c r="G6" s="9" t="s">
        <v>14</v>
      </c>
      <c r="H6" s="1" t="s">
        <v>2380</v>
      </c>
      <c r="I6" s="8" t="str">
        <f t="shared" si="0"/>
        <v>https://www.mindat.org/min-49093.html</v>
      </c>
      <c r="J6" s="8">
        <v>49938</v>
      </c>
      <c r="K6" s="8" t="s">
        <v>1817</v>
      </c>
      <c r="L6" s="9">
        <v>49092</v>
      </c>
      <c r="M6" s="8" t="s">
        <v>2453</v>
      </c>
      <c r="N6" s="9">
        <v>0</v>
      </c>
      <c r="S6" s="11">
        <f t="shared" ca="1" si="10"/>
        <v>45097.373057291668</v>
      </c>
      <c r="U6" s="8" t="str">
        <f t="shared" si="1"/>
        <v xml:space="preserve">&lt;etma:1:1:49093:5&gt;  rdf:type skos:Concept ;  </v>
      </c>
      <c r="V6" s="8" t="str">
        <f t="shared" si="2"/>
        <v xml:space="preserve"> dcterms:source "https://www.mindat.org/min-49093.html" ; </v>
      </c>
      <c r="W6" s="8" t="str">
        <f t="shared" si="3"/>
        <v xml:space="preserve">skos:definition "Known from meteoriet NWA7034, it is a volcanic breccia with a porphyritic appearance."@en ; </v>
      </c>
      <c r="X6" s="8" t="str">
        <f t="shared" si="4"/>
        <v xml:space="preserve"> skos:inScheme &lt;https://mindat.org/etmat/cscheme&gt; ;  </v>
      </c>
      <c r="Y6" s="8" t="str">
        <f t="shared" si="5"/>
        <v xml:space="preserve">skos:prefLabel "Martian basaltic breccia"@en ; rdfs:label "Martian basaltic breccia"@en ; </v>
      </c>
      <c r="Z6" s="8" t="str">
        <f t="shared" si="6"/>
        <v/>
      </c>
      <c r="AA6" s="8" t="str">
        <f t="shared" si="7"/>
        <v/>
      </c>
      <c r="AB6" s="8" t="str">
        <f>"skos:broader &lt;etma:"&amp;K6&amp;"&gt;" &amp; IF(ISBLANK(M6),"", ", &lt;etma:"&amp;M6&amp;"&gt;") &amp; " ; "</f>
        <v xml:space="preserve">skos:broader &lt;etma:1:1:49938:9&gt;, &lt;etma:1:1:49092:6&gt; ; </v>
      </c>
      <c r="AC6" s="8" t="str">
        <f t="shared" ca="1" si="8"/>
        <v>dcterms:modified "2023-06-20T08:57";  .</v>
      </c>
      <c r="AD6" s="10" t="str">
        <f t="shared" ca="1" si="9"/>
        <v>&lt;etma:1:1:49093:5&gt;  rdf:type skos:Concept ;     dcterms:source "https://www.mindat.org/min-49093.html" ;   skos:definition "Known from meteoriet NWA7034, it is a volcanic breccia with a porphyritic appearance."@en ;    skos:inScheme &lt;https://mindat.org/etmat/cscheme&gt; ;    skos:prefLabel "Martian basaltic breccia"@en ; rdfs:label "Martian basaltic breccia"@en ;   skos:broader &lt;etma:1:1:49938:9&gt;, &lt;etma:1:1:49092:6&gt; ;   dcterms:modified "2023-06-20T08:57";  .</v>
      </c>
      <c r="AE6" s="8" t="s">
        <v>2591</v>
      </c>
    </row>
    <row r="7" spans="1:31" hidden="1" x14ac:dyDescent="0.25">
      <c r="B7" s="8" t="s">
        <v>2434</v>
      </c>
      <c r="C7" s="8">
        <v>49504</v>
      </c>
      <c r="D7" s="8" t="s">
        <v>2350</v>
      </c>
      <c r="E7" s="8" t="s">
        <v>2435</v>
      </c>
      <c r="H7" s="1" t="s">
        <v>2436</v>
      </c>
      <c r="I7" s="8" t="str">
        <f t="shared" si="0"/>
        <v>https://www.mindat.org/min-49504.html</v>
      </c>
      <c r="K7" s="8" t="s">
        <v>2249</v>
      </c>
      <c r="S7" s="11">
        <v>43338.986759259256</v>
      </c>
      <c r="U7" s="8" t="str">
        <f t="shared" si="1"/>
        <v xml:space="preserve">&lt;etma:1:1:49504:6&gt;  rdf:type skos:Concept ;  </v>
      </c>
      <c r="V7" s="8" t="str">
        <f t="shared" si="2"/>
        <v xml:space="preserve"> dcterms:source "https://www.mindat.org/min-49504.html" ; </v>
      </c>
      <c r="W7" s="8" t="str">
        <f t="shared" si="3"/>
        <v xml:space="preserve">skos:definition "Includes meteorites, Lunar rock and sediment, and rock and sediment from other extraterrestrial bodies."@en ; </v>
      </c>
      <c r="X7" s="8" t="str">
        <f t="shared" si="4"/>
        <v xml:space="preserve"> skos:inScheme &lt;https://mindat.org/etmat/cscheme&gt; ;  </v>
      </c>
      <c r="Y7" s="8" t="str">
        <f t="shared" si="5"/>
        <v xml:space="preserve">skos:prefLabel "Meteorite and other extra-terrestrial rock and sediment"@en ; rdfs:label "Meteorite and other extra-terrestrial rock and sediment"@en ; </v>
      </c>
      <c r="Z7" s="8" t="str">
        <f t="shared" si="6"/>
        <v/>
      </c>
      <c r="AA7" s="8" t="str">
        <f t="shared" si="7"/>
        <v/>
      </c>
      <c r="AB7" s="8" t="s">
        <v>2587</v>
      </c>
      <c r="AC7" s="8" t="str">
        <f t="shared" si="8"/>
        <v>dcterms:modified "2018-08-26T23:40";  .</v>
      </c>
      <c r="AD7" s="10" t="str">
        <f t="shared" si="9"/>
        <v>&lt;etma:1:1:49504:6&gt;  rdf:type skos:Concept ;     dcterms:source "https://www.mindat.org/min-49504.html" ;   skos:definition "Includes meteorites, Lunar rock and sediment, and rock and sediment from other extraterrestrial bodies."@en ;    skos:inScheme &lt;https://mindat.org/etmat/cscheme&gt; ;    skos:prefLabel "Meteorite and other extra-terrestrial rock and sediment"@en ; rdfs:label "Meteorite and other extra-terrestrial rock and sediment"@en ;   skos:topConceptOf &lt;https://mindat.org/etmat/cscheme&gt; ;  dcterms:modified "2018-08-26T23:40";  .</v>
      </c>
      <c r="AE7" s="8" t="s">
        <v>2591</v>
      </c>
    </row>
    <row r="8" spans="1:31" hidden="1" x14ac:dyDescent="0.25">
      <c r="A8" s="8">
        <v>32</v>
      </c>
      <c r="B8" s="8" t="s">
        <v>2360</v>
      </c>
      <c r="C8" s="8">
        <v>49505</v>
      </c>
      <c r="D8" s="8" t="s">
        <v>2328</v>
      </c>
      <c r="E8" s="8" t="s">
        <v>2361</v>
      </c>
      <c r="F8" s="9">
        <v>7</v>
      </c>
      <c r="G8" s="9" t="s">
        <v>14</v>
      </c>
      <c r="H8" s="1" t="s">
        <v>2362</v>
      </c>
      <c r="I8" s="8" t="str">
        <f t="shared" si="0"/>
        <v>https://www.mindat.org/min-49505.html</v>
      </c>
      <c r="J8" s="8">
        <v>49504</v>
      </c>
      <c r="K8" s="8" t="s">
        <v>2350</v>
      </c>
      <c r="N8" s="9">
        <v>1</v>
      </c>
      <c r="S8" s="11">
        <f t="shared" ref="S8:S11" ca="1" si="11">NOW()</f>
        <v>45097.373057291668</v>
      </c>
      <c r="U8" s="8" t="str">
        <f t="shared" si="1"/>
        <v xml:space="preserve">&lt;etma:1:1:49505:5&gt;  rdf:type skos:Concept ;  </v>
      </c>
      <c r="V8" s="8" t="str">
        <f t="shared" si="2"/>
        <v xml:space="preserve"> dcterms:source "https://www.mindat.org/min-49505.html" ; </v>
      </c>
      <c r="W8" s="8" t="str">
        <f t="shared" si="3"/>
        <v xml:space="preserve">skos:definition "Primary lunar igneous rocks."@en ; </v>
      </c>
      <c r="X8" s="8" t="str">
        <f t="shared" si="4"/>
        <v xml:space="preserve"> skos:inScheme &lt;https://mindat.org/etmat/cscheme&gt; ;  </v>
      </c>
      <c r="Y8" s="8" t="str">
        <f t="shared" si="5"/>
        <v xml:space="preserve">skos:prefLabel "Lunar igneous rock"@en ; rdfs:label "Lunar igneous rock"@en ; </v>
      </c>
      <c r="Z8" s="8" t="str">
        <f t="shared" si="6"/>
        <v/>
      </c>
      <c r="AA8" s="8" t="str">
        <f t="shared" si="7"/>
        <v/>
      </c>
      <c r="AB8" s="8" t="str">
        <f>"skos:broader &lt;etma:"&amp;K8&amp;"&gt;" &amp; IF(ISBLANK(M8),"", ", &lt;etma:"&amp;M8&amp;"&gt;") &amp; " ; "</f>
        <v xml:space="preserve">skos:broader &lt;etma:1:1:49504:6&gt; ; </v>
      </c>
      <c r="AC8" s="8" t="str">
        <f t="shared" ca="1" si="8"/>
        <v>dcterms:modified "2023-06-20T08:57";  .</v>
      </c>
      <c r="AD8" s="10" t="str">
        <f t="shared" ca="1" si="9"/>
        <v>&lt;etma:1:1:49505:5&gt;  rdf:type skos:Concept ;     dcterms:source "https://www.mindat.org/min-49505.html" ;   skos:definition "Primary lunar igneous rocks."@en ;    skos:inScheme &lt;https://mindat.org/etmat/cscheme&gt; ;    skos:prefLabel "Lunar igneous rock"@en ; rdfs:label "Lunar igneous rock"@en ;   skos:broader &lt;etma:1:1:49504:6&gt; ;   dcterms:modified "2023-06-20T08:57";  .</v>
      </c>
      <c r="AE8" s="8" t="s">
        <v>2591</v>
      </c>
    </row>
    <row r="9" spans="1:31" hidden="1" x14ac:dyDescent="0.25">
      <c r="A9" s="8">
        <v>135</v>
      </c>
      <c r="B9" s="8" t="s">
        <v>2373</v>
      </c>
      <c r="C9" s="8">
        <v>49506</v>
      </c>
      <c r="D9" s="8" t="s">
        <v>2374</v>
      </c>
      <c r="E9" s="8" t="s">
        <v>2375</v>
      </c>
      <c r="F9" s="9">
        <v>7</v>
      </c>
      <c r="G9" s="9" t="s">
        <v>14</v>
      </c>
      <c r="H9" s="1" t="s">
        <v>2376</v>
      </c>
      <c r="I9" s="8" t="str">
        <f t="shared" si="0"/>
        <v>https://www.mindat.org/min-49506.html</v>
      </c>
      <c r="J9" s="8">
        <v>49505</v>
      </c>
      <c r="K9" s="8" t="s">
        <v>2328</v>
      </c>
      <c r="N9" s="9">
        <v>1</v>
      </c>
      <c r="S9" s="11">
        <f t="shared" ca="1" si="11"/>
        <v>45097.373057291668</v>
      </c>
      <c r="U9" s="8" t="str">
        <f t="shared" si="1"/>
        <v xml:space="preserve">&lt;etma:1:1:49506:4&gt;  rdf:type skos:Concept ;  </v>
      </c>
      <c r="V9" s="8" t="str">
        <f t="shared" si="2"/>
        <v xml:space="preserve"> dcterms:source "https://www.mindat.org/min-49506.html" ; </v>
      </c>
      <c r="W9" s="8" t="str">
        <f t="shared" si="3"/>
        <v xml:space="preserve">skos:definition "Basalt from the lunar maria."@en ; </v>
      </c>
      <c r="X9" s="8" t="str">
        <f t="shared" si="4"/>
        <v xml:space="preserve"> skos:inScheme &lt;https://mindat.org/etmat/cscheme&gt; ;  </v>
      </c>
      <c r="Y9" s="8" t="str">
        <f t="shared" si="5"/>
        <v xml:space="preserve">skos:prefLabel "Mare basalt"@en ; rdfs:label "Mare basalt"@en ; </v>
      </c>
      <c r="Z9" s="8" t="str">
        <f t="shared" si="6"/>
        <v/>
      </c>
      <c r="AA9" s="8" t="str">
        <f t="shared" si="7"/>
        <v/>
      </c>
      <c r="AB9" s="8" t="str">
        <f>"skos:broader &lt;etma:"&amp;K9&amp;"&gt;" &amp; IF(ISBLANK(M9),"", ", &lt;etma:"&amp;M9&amp;"&gt;") &amp; " ; "</f>
        <v xml:space="preserve">skos:broader &lt;etma:1:1:49505:5&gt; ; </v>
      </c>
      <c r="AC9" s="8" t="str">
        <f t="shared" ca="1" si="8"/>
        <v>dcterms:modified "2023-06-20T08:57";  .</v>
      </c>
      <c r="AD9" s="10" t="str">
        <f t="shared" ca="1" si="9"/>
        <v>&lt;etma:1:1:49506:4&gt;  rdf:type skos:Concept ;     dcterms:source "https://www.mindat.org/min-49506.html" ;   skos:definition "Basalt from the lunar maria."@en ;    skos:inScheme &lt;https://mindat.org/etmat/cscheme&gt; ;    skos:prefLabel "Mare basalt"@en ; rdfs:label "Mare basalt"@en ;   skos:broader &lt;etma:1:1:49505:5&gt; ;   dcterms:modified "2023-06-20T08:57";  .</v>
      </c>
      <c r="AE9" s="8" t="s">
        <v>2591</v>
      </c>
    </row>
    <row r="10" spans="1:31" hidden="1" x14ac:dyDescent="0.25">
      <c r="A10" s="8">
        <v>39</v>
      </c>
      <c r="B10" s="8" t="s">
        <v>2324</v>
      </c>
      <c r="C10" s="8">
        <v>49507</v>
      </c>
      <c r="D10" s="8" t="s">
        <v>2325</v>
      </c>
      <c r="E10" s="8" t="s">
        <v>2326</v>
      </c>
      <c r="F10" s="9">
        <v>7</v>
      </c>
      <c r="G10" s="9" t="s">
        <v>14</v>
      </c>
      <c r="H10" s="1" t="s">
        <v>2327</v>
      </c>
      <c r="I10" s="8" t="str">
        <f t="shared" si="0"/>
        <v>https://www.mindat.org/min-49507.html</v>
      </c>
      <c r="J10" s="8">
        <v>49505</v>
      </c>
      <c r="K10" s="8" t="s">
        <v>2328</v>
      </c>
      <c r="N10" s="9">
        <v>1</v>
      </c>
      <c r="S10" s="11">
        <f t="shared" ca="1" si="11"/>
        <v>45097.373057407407</v>
      </c>
      <c r="U10" s="8" t="str">
        <f t="shared" si="1"/>
        <v xml:space="preserve">&lt;etma:1:1:49507:3&gt;  rdf:type skos:Concept ;  </v>
      </c>
      <c r="V10" s="8" t="str">
        <f t="shared" si="2"/>
        <v xml:space="preserve"> dcterms:source "https://www.mindat.org/min-49507.html" ; </v>
      </c>
      <c r="W10" s="8" t="str">
        <f t="shared" si="3"/>
        <v xml:space="preserve">skos:definition "Older, highland lunar rock."@en ; </v>
      </c>
      <c r="X10" s="8" t="str">
        <f t="shared" si="4"/>
        <v xml:space="preserve"> skos:inScheme &lt;https://mindat.org/etmat/cscheme&gt; ;  </v>
      </c>
      <c r="Y10" s="8" t="str">
        <f t="shared" si="5"/>
        <v xml:space="preserve">skos:prefLabel "Highland rock"@en ; rdfs:label "Highland rock"@en ; </v>
      </c>
      <c r="Z10" s="8" t="str">
        <f t="shared" si="6"/>
        <v/>
      </c>
      <c r="AA10" s="8" t="str">
        <f t="shared" si="7"/>
        <v/>
      </c>
      <c r="AB10" s="8" t="str">
        <f>"skos:broader &lt;etma:"&amp;K10&amp;"&gt;" &amp; IF(ISBLANK(M10),"", ", &lt;etma:"&amp;M10&amp;"&gt;") &amp; " ; "</f>
        <v xml:space="preserve">skos:broader &lt;etma:1:1:49505:5&gt; ; </v>
      </c>
      <c r="AC10" s="8" t="str">
        <f t="shared" ca="1" si="8"/>
        <v>dcterms:modified "2023-06-20T08:57";  .</v>
      </c>
      <c r="AD10" s="10" t="str">
        <f t="shared" ca="1" si="9"/>
        <v>&lt;etma:1:1:49507:3&gt;  rdf:type skos:Concept ;     dcterms:source "https://www.mindat.org/min-49507.html" ;   skos:definition "Older, highland lunar rock."@en ;    skos:inScheme &lt;https://mindat.org/etmat/cscheme&gt; ;    skos:prefLabel "Highland rock"@en ; rdfs:label "Highland rock"@en ;   skos:broader &lt;etma:1:1:49505:5&gt; ;   dcterms:modified "2023-06-20T08:57";  .</v>
      </c>
      <c r="AE10" s="8" t="s">
        <v>2591</v>
      </c>
    </row>
    <row r="11" spans="1:31" hidden="1" x14ac:dyDescent="0.25">
      <c r="A11" s="8">
        <v>219</v>
      </c>
      <c r="B11" s="8" t="s">
        <v>2347</v>
      </c>
      <c r="C11" s="8">
        <v>49508</v>
      </c>
      <c r="D11" s="8" t="s">
        <v>2345</v>
      </c>
      <c r="E11" s="8" t="s">
        <v>2348</v>
      </c>
      <c r="F11" s="9">
        <v>7</v>
      </c>
      <c r="G11" s="9" t="s">
        <v>14</v>
      </c>
      <c r="H11" s="1" t="s">
        <v>2349</v>
      </c>
      <c r="I11" s="8" t="str">
        <f t="shared" si="0"/>
        <v>https://www.mindat.org/min-49508.html</v>
      </c>
      <c r="J11" s="8">
        <v>49504</v>
      </c>
      <c r="K11" s="8" t="s">
        <v>2350</v>
      </c>
      <c r="N11" s="9">
        <v>1</v>
      </c>
      <c r="S11" s="11">
        <f t="shared" ca="1" si="11"/>
        <v>45097.373057291668</v>
      </c>
      <c r="U11" s="8" t="str">
        <f t="shared" si="1"/>
        <v xml:space="preserve">&lt;etma:1:1:49508:2&gt;  rdf:type skos:Concept ;  </v>
      </c>
      <c r="V11" s="8" t="str">
        <f t="shared" si="2"/>
        <v xml:space="preserve"> dcterms:source "https://www.mindat.org/min-49508.html" ; </v>
      </c>
      <c r="W11" s="8" t="str">
        <f t="shared" si="3"/>
        <v xml:space="preserve">skos:definition "Lunar rock and soils composed of fragments of older rocks."@en ; </v>
      </c>
      <c r="X11" s="8" t="str">
        <f t="shared" si="4"/>
        <v xml:space="preserve"> skos:inScheme &lt;https://mindat.org/etmat/cscheme&gt; ;  </v>
      </c>
      <c r="Y11" s="8" t="str">
        <f t="shared" si="5"/>
        <v xml:space="preserve">skos:prefLabel "Lunar fragmental rock and sediment"@en ; rdfs:label "Lunar fragmental rock and sediment"@en ; </v>
      </c>
      <c r="Z11" s="8" t="str">
        <f t="shared" si="6"/>
        <v/>
      </c>
      <c r="AA11" s="8" t="str">
        <f t="shared" si="7"/>
        <v/>
      </c>
      <c r="AB11" s="8" t="str">
        <f>"skos:broader &lt;etma:"&amp;K11&amp;"&gt;" &amp; IF(ISBLANK(M11),"", ", &lt;etma:"&amp;M11&amp;"&gt;") &amp; " ; "</f>
        <v xml:space="preserve">skos:broader &lt;etma:1:1:49504:6&gt; ; </v>
      </c>
      <c r="AC11" s="8" t="str">
        <f t="shared" ca="1" si="8"/>
        <v>dcterms:modified "2023-06-20T08:57";  .</v>
      </c>
      <c r="AD11" s="10" t="str">
        <f t="shared" ca="1" si="9"/>
        <v>&lt;etma:1:1:49508:2&gt;  rdf:type skos:Concept ;     dcterms:source "https://www.mindat.org/min-49508.html" ;   skos:definition "Lunar rock and soils composed of fragments of older rocks."@en ;    skos:inScheme &lt;https://mindat.org/etmat/cscheme&gt; ;    skos:prefLabel "Lunar fragmental rock and sediment"@en ; rdfs:label "Lunar fragmental rock and sediment"@en ;   skos:broader &lt;etma:1:1:49504:6&gt; ;   dcterms:modified "2023-06-20T08:57";  .</v>
      </c>
      <c r="AE11" s="8" t="s">
        <v>2591</v>
      </c>
    </row>
    <row r="12" spans="1:31" hidden="1" x14ac:dyDescent="0.25">
      <c r="A12" s="8">
        <v>196</v>
      </c>
      <c r="B12" s="8" t="s">
        <v>2342</v>
      </c>
      <c r="C12" s="8">
        <v>49509</v>
      </c>
      <c r="D12" s="8" t="s">
        <v>2315</v>
      </c>
      <c r="E12" s="8" t="s">
        <v>2343</v>
      </c>
      <c r="F12" s="9">
        <v>7</v>
      </c>
      <c r="G12" s="9" t="s">
        <v>14</v>
      </c>
      <c r="H12" s="1" t="s">
        <v>2344</v>
      </c>
      <c r="I12" s="8" t="str">
        <f t="shared" si="0"/>
        <v>https://www.mindat.org/min-49509.html</v>
      </c>
      <c r="J12" s="8">
        <v>49508</v>
      </c>
      <c r="K12" s="8" t="s">
        <v>2345</v>
      </c>
      <c r="L12" s="9">
        <v>51453</v>
      </c>
      <c r="M12" s="8" t="s">
        <v>2346</v>
      </c>
      <c r="N12" s="9">
        <v>1</v>
      </c>
      <c r="S12" s="11">
        <v>43856.911574074074</v>
      </c>
      <c r="U12" s="8" t="str">
        <f t="shared" si="1"/>
        <v xml:space="preserve">&lt;etma:1:1:49509:1&gt;  rdf:type skos:Concept ;  </v>
      </c>
      <c r="V12" s="8" t="str">
        <f t="shared" si="2"/>
        <v xml:space="preserve"> dcterms:source "https://www.mindat.org/min-49509.html" ; </v>
      </c>
      <c r="W12" s="8" t="str">
        <f t="shared" si="3"/>
        <v xml:space="preserve">skos:definition "Lunar rocks composed of sharp angular fragments of older rocks, often including reworked fragments of previous lunar breccias."@en ; </v>
      </c>
      <c r="X12" s="8" t="str">
        <f t="shared" si="4"/>
        <v xml:space="preserve"> skos:inScheme &lt;https://mindat.org/etmat/cscheme&gt; ;  </v>
      </c>
      <c r="Y12" s="8" t="str">
        <f t="shared" si="5"/>
        <v xml:space="preserve">skos:prefLabel "Lunar breccia"@en ; rdfs:label "Lunar breccia"@en ; </v>
      </c>
      <c r="Z12" s="8" t="str">
        <f t="shared" si="6"/>
        <v/>
      </c>
      <c r="AA12" s="8" t="str">
        <f t="shared" si="7"/>
        <v/>
      </c>
      <c r="AB12" s="8" t="str">
        <f>"skos:broader &lt;etma:"&amp;K12&amp;"&gt;" &amp; IF(ISBLANK(M12),"", ", &lt;etma:"&amp;M12&amp;"&gt;") &amp; " ; "</f>
        <v xml:space="preserve">skos:broader &lt;etma:1:1:49508:2&gt;, &lt;etma:1:1:51453:6&gt; ; </v>
      </c>
      <c r="AC12" s="8" t="str">
        <f t="shared" si="8"/>
        <v>dcterms:modified "2020-01-26T21:52";  .</v>
      </c>
      <c r="AD12" s="10" t="str">
        <f t="shared" si="9"/>
        <v>&lt;etma:1:1:49509:1&gt;  rdf:type skos:Concept ;     dcterms:source "https://www.mindat.org/min-49509.html" ;   skos:definition "Lunar rocks composed of sharp angular fragments of older rocks, often including reworked fragments of previous lunar breccias."@en ;    skos:inScheme &lt;https://mindat.org/etmat/cscheme&gt; ;    skos:prefLabel "Lunar breccia"@en ; rdfs:label "Lunar breccia"@en ;   skos:broader &lt;etma:1:1:49508:2&gt;, &lt;etma:1:1:51453:6&gt; ;   dcterms:modified "2020-01-26T21:52";  .</v>
      </c>
      <c r="AE12" s="8" t="s">
        <v>2591</v>
      </c>
    </row>
    <row r="13" spans="1:31" hidden="1" x14ac:dyDescent="0.25">
      <c r="A13" s="8">
        <v>43</v>
      </c>
      <c r="B13" s="8" t="s">
        <v>2311</v>
      </c>
      <c r="C13" s="8">
        <v>49510</v>
      </c>
      <c r="D13" s="8" t="s">
        <v>2312</v>
      </c>
      <c r="E13" s="8" t="s">
        <v>2313</v>
      </c>
      <c r="F13" s="9">
        <v>7</v>
      </c>
      <c r="G13" s="9" t="s">
        <v>14</v>
      </c>
      <c r="H13" s="1" t="s">
        <v>2314</v>
      </c>
      <c r="I13" s="8" t="str">
        <f t="shared" si="0"/>
        <v>https://www.mindat.org/min-49510.html</v>
      </c>
      <c r="J13" s="8">
        <v>49509</v>
      </c>
      <c r="K13" s="8" t="s">
        <v>2315</v>
      </c>
      <c r="N13" s="9">
        <v>1</v>
      </c>
      <c r="S13" s="11">
        <f t="shared" ref="S13:S16" ca="1" si="12">NOW()</f>
        <v>45097.373057407407</v>
      </c>
      <c r="U13" s="8" t="str">
        <f t="shared" si="1"/>
        <v xml:space="preserve">&lt;etma:1:1:49510:7&gt;  rdf:type skos:Concept ;  </v>
      </c>
      <c r="V13" s="8" t="str">
        <f t="shared" si="2"/>
        <v xml:space="preserve"> dcterms:source "https://www.mindat.org/min-49510.html" ; </v>
      </c>
      <c r="W13" s="8" t="str">
        <f t="shared" si="3"/>
        <v xml:space="preserve">skos:definition "A lunar breccia rich in feldspar"@en ; </v>
      </c>
      <c r="X13" s="8" t="str">
        <f t="shared" si="4"/>
        <v xml:space="preserve"> skos:inScheme &lt;https://mindat.org/etmat/cscheme&gt; ;  </v>
      </c>
      <c r="Y13" s="8" t="str">
        <f t="shared" si="5"/>
        <v xml:space="preserve">skos:prefLabel "Feldspathic breccia"@en ; rdfs:label "Feldspathic breccia"@en ; </v>
      </c>
      <c r="Z13" s="8" t="str">
        <f t="shared" si="6"/>
        <v/>
      </c>
      <c r="AA13" s="8" t="str">
        <f t="shared" si="7"/>
        <v/>
      </c>
      <c r="AB13" s="8" t="str">
        <f>"skos:broader &lt;etma:"&amp;K13&amp;"&gt;" &amp; IF(ISBLANK(M13),"", ", &lt;etma:"&amp;M13&amp;"&gt;") &amp; " ; "</f>
        <v xml:space="preserve">skos:broader &lt;etma:1:1:49509:1&gt; ; </v>
      </c>
      <c r="AC13" s="8" t="str">
        <f t="shared" ca="1" si="8"/>
        <v>dcterms:modified "2023-06-20T08:57";  .</v>
      </c>
      <c r="AD13" s="10" t="str">
        <f t="shared" ca="1" si="9"/>
        <v>&lt;etma:1:1:49510:7&gt;  rdf:type skos:Concept ;     dcterms:source "https://www.mindat.org/min-49510.html" ;   skos:definition "A lunar breccia rich in feldspar"@en ;    skos:inScheme &lt;https://mindat.org/etmat/cscheme&gt; ;    skos:prefLabel "Feldspathic breccia"@en ; rdfs:label "Feldspathic breccia"@en ;   skos:broader &lt;etma:1:1:49509:1&gt; ;   dcterms:modified "2023-06-20T08:57";  .</v>
      </c>
      <c r="AE13" s="8" t="s">
        <v>2591</v>
      </c>
    </row>
    <row r="14" spans="1:31" hidden="1" x14ac:dyDescent="0.25">
      <c r="A14" s="8">
        <v>83</v>
      </c>
      <c r="B14" s="8" t="s">
        <v>2367</v>
      </c>
      <c r="C14" s="8">
        <v>49511</v>
      </c>
      <c r="D14" s="8" t="s">
        <v>2359</v>
      </c>
      <c r="E14" s="8" t="s">
        <v>2368</v>
      </c>
      <c r="F14" s="9">
        <v>7</v>
      </c>
      <c r="G14" s="9" t="s">
        <v>14</v>
      </c>
      <c r="H14" s="1" t="s">
        <v>2369</v>
      </c>
      <c r="I14" s="8" t="str">
        <f t="shared" si="0"/>
        <v>https://www.mindat.org/min-49511.html</v>
      </c>
      <c r="J14" s="8">
        <v>49508</v>
      </c>
      <c r="K14" s="8" t="s">
        <v>2345</v>
      </c>
      <c r="N14" s="9">
        <v>1</v>
      </c>
      <c r="S14" s="11">
        <f t="shared" ca="1" si="12"/>
        <v>45097.373057291668</v>
      </c>
      <c r="U14" s="8" t="str">
        <f t="shared" si="1"/>
        <v xml:space="preserve">&lt;etma:1:1:49511:6&gt;  rdf:type skos:Concept ;  </v>
      </c>
      <c r="V14" s="8" t="str">
        <f t="shared" si="2"/>
        <v xml:space="preserve"> dcterms:source "https://www.mindat.org/min-49511.html" ; </v>
      </c>
      <c r="W14" s="8" t="str">
        <f t="shared" si="3"/>
        <v xml:space="preserve">skos:definition "Lunar soil."@en ; </v>
      </c>
      <c r="X14" s="8" t="str">
        <f t="shared" si="4"/>
        <v xml:space="preserve"> skos:inScheme &lt;https://mindat.org/etmat/cscheme&gt; ;  </v>
      </c>
      <c r="Y14" s="8" t="str">
        <f t="shared" si="5"/>
        <v xml:space="preserve">skos:prefLabel "Lunar regolith"@en ; rdfs:label "Lunar regolith"@en ; </v>
      </c>
      <c r="Z14" s="8" t="str">
        <f t="shared" si="6"/>
        <v/>
      </c>
      <c r="AA14" s="8" t="str">
        <f t="shared" si="7"/>
        <v/>
      </c>
      <c r="AB14" s="8" t="str">
        <f>"skos:broader &lt;etma:"&amp;K14&amp;"&gt;" &amp; IF(ISBLANK(M14),"", ", &lt;etma:"&amp;M14&amp;"&gt;") &amp; " ; "</f>
        <v xml:space="preserve">skos:broader &lt;etma:1:1:49508:2&gt; ; </v>
      </c>
      <c r="AC14" s="8" t="str">
        <f t="shared" ca="1" si="8"/>
        <v>dcterms:modified "2023-06-20T08:57";  .</v>
      </c>
      <c r="AD14" s="10" t="str">
        <f t="shared" ca="1" si="9"/>
        <v>&lt;etma:1:1:49511:6&gt;  rdf:type skos:Concept ;     dcterms:source "https://www.mindat.org/min-49511.html" ;   skos:definition "Lunar soil."@en ;    skos:inScheme &lt;https://mindat.org/etmat/cscheme&gt; ;    skos:prefLabel "Lunar regolith"@en ; rdfs:label "Lunar regolith"@en ;   skos:broader &lt;etma:1:1:49508:2&gt; ;   dcterms:modified "2023-06-20T08:57";  .</v>
      </c>
      <c r="AE14" s="8" t="s">
        <v>2591</v>
      </c>
    </row>
    <row r="15" spans="1:31" hidden="1" x14ac:dyDescent="0.25">
      <c r="A15" s="8">
        <v>7</v>
      </c>
      <c r="B15" s="8" t="s">
        <v>2355</v>
      </c>
      <c r="C15" s="8">
        <v>49512</v>
      </c>
      <c r="D15" s="8" t="s">
        <v>2356</v>
      </c>
      <c r="E15" s="8" t="s">
        <v>2357</v>
      </c>
      <c r="F15" s="9">
        <v>7</v>
      </c>
      <c r="G15" s="9" t="s">
        <v>14</v>
      </c>
      <c r="H15" s="1" t="s">
        <v>2358</v>
      </c>
      <c r="I15" s="8" t="str">
        <f t="shared" si="0"/>
        <v>https://www.mindat.org/min-49512.html</v>
      </c>
      <c r="J15" s="8">
        <v>49511</v>
      </c>
      <c r="K15" s="8" t="s">
        <v>2359</v>
      </c>
      <c r="N15" s="9">
        <v>1</v>
      </c>
      <c r="S15" s="11">
        <f t="shared" ca="1" si="12"/>
        <v>45097.373057291668</v>
      </c>
      <c r="U15" s="8" t="str">
        <f t="shared" si="1"/>
        <v xml:space="preserve">&lt;etma:1:1:49512:5&gt;  rdf:type skos:Concept ;  </v>
      </c>
      <c r="V15" s="8" t="str">
        <f t="shared" si="2"/>
        <v xml:space="preserve"> dcterms:source "https://www.mindat.org/min-49512.html" ; </v>
      </c>
      <c r="W15" s="8" t="str">
        <f t="shared" si="3"/>
        <v xml:space="preserve">skos:definition "A lunar soil from the lunar highlands. Commonly contains felspathic breccias, agglutinates, feldspar framents and occasional mare basalt fragments."@en ; </v>
      </c>
      <c r="X15" s="8" t="str">
        <f t="shared" si="4"/>
        <v xml:space="preserve"> skos:inScheme &lt;https://mindat.org/etmat/cscheme&gt; ;  </v>
      </c>
      <c r="Y15" s="8" t="str">
        <f t="shared" si="5"/>
        <v xml:space="preserve">skos:prefLabel "Lunar highland regolith"@en ; rdfs:label "Lunar highland regolith"@en ; </v>
      </c>
      <c r="Z15" s="8" t="str">
        <f t="shared" si="6"/>
        <v/>
      </c>
      <c r="AA15" s="8" t="str">
        <f t="shared" si="7"/>
        <v/>
      </c>
      <c r="AB15" s="8" t="str">
        <f>"skos:broader &lt;etma:"&amp;K15&amp;"&gt;" &amp; IF(ISBLANK(M15),"", ", &lt;etma:"&amp;M15&amp;"&gt;") &amp; " ; "</f>
        <v xml:space="preserve">skos:broader &lt;etma:1:1:49511:6&gt; ; </v>
      </c>
      <c r="AC15" s="8" t="str">
        <f t="shared" ca="1" si="8"/>
        <v>dcterms:modified "2023-06-20T08:57";  .</v>
      </c>
      <c r="AD15" s="10" t="str">
        <f t="shared" ca="1" si="9"/>
        <v>&lt;etma:1:1:49512:5&gt;  rdf:type skos:Concept ;     dcterms:source "https://www.mindat.org/min-49512.html" ;   skos:definition "A lunar soil from the lunar highlands. Commonly contains felspathic breccias, agglutinates, feldspar framents and occasional mare basalt fragments."@en ;    skos:inScheme &lt;https://mindat.org/etmat/cscheme&gt; ;    skos:prefLabel "Lunar highland regolith"@en ; rdfs:label "Lunar highland regolith"@en ;   skos:broader &lt;etma:1:1:49511:6&gt; ;   dcterms:modified "2023-06-20T08:57";  .</v>
      </c>
      <c r="AE15" s="8" t="s">
        <v>2591</v>
      </c>
    </row>
    <row r="16" spans="1:31" hidden="1" x14ac:dyDescent="0.25">
      <c r="A16" s="8">
        <v>57</v>
      </c>
      <c r="B16" s="8" t="s">
        <v>2363</v>
      </c>
      <c r="C16" s="8">
        <v>49513</v>
      </c>
      <c r="D16" s="8" t="s">
        <v>2364</v>
      </c>
      <c r="E16" s="8" t="s">
        <v>2365</v>
      </c>
      <c r="F16" s="9">
        <v>7</v>
      </c>
      <c r="G16" s="9" t="s">
        <v>14</v>
      </c>
      <c r="H16" s="1" t="s">
        <v>2366</v>
      </c>
      <c r="I16" s="8" t="str">
        <f t="shared" si="0"/>
        <v>https://www.mindat.org/min-49513.html</v>
      </c>
      <c r="J16" s="8">
        <v>49511</v>
      </c>
      <c r="K16" s="8" t="s">
        <v>2359</v>
      </c>
      <c r="N16" s="9">
        <v>1</v>
      </c>
      <c r="S16" s="11">
        <f t="shared" ca="1" si="12"/>
        <v>45097.373057291668</v>
      </c>
      <c r="U16" s="8" t="str">
        <f t="shared" si="1"/>
        <v xml:space="preserve">&lt;etma:1:1:49513:4&gt;  rdf:type skos:Concept ;  </v>
      </c>
      <c r="V16" s="8" t="str">
        <f t="shared" si="2"/>
        <v xml:space="preserve"> dcterms:source "https://www.mindat.org/min-49513.html" ; </v>
      </c>
      <c r="W16" s="8" t="str">
        <f t="shared" si="3"/>
        <v xml:space="preserve">skos:definition "A lunar soil from the lunar maria (dark basaltic plains.) Mostly derived from High-Ti basalts."@en ; </v>
      </c>
      <c r="X16" s="8" t="str">
        <f t="shared" si="4"/>
        <v xml:space="preserve"> skos:inScheme &lt;https://mindat.org/etmat/cscheme&gt; ;  </v>
      </c>
      <c r="Y16" s="8" t="str">
        <f t="shared" si="5"/>
        <v xml:space="preserve">skos:prefLabel "Lunar mare regolith"@en ; rdfs:label "Lunar mare regolith"@en ; </v>
      </c>
      <c r="Z16" s="8" t="str">
        <f t="shared" si="6"/>
        <v/>
      </c>
      <c r="AA16" s="8" t="str">
        <f t="shared" si="7"/>
        <v/>
      </c>
      <c r="AB16" s="8" t="str">
        <f>"skos:broader &lt;etma:"&amp;K16&amp;"&gt;" &amp; IF(ISBLANK(M16),"", ", &lt;etma:"&amp;M16&amp;"&gt;") &amp; " ; "</f>
        <v xml:space="preserve">skos:broader &lt;etma:1:1:49511:6&gt; ; </v>
      </c>
      <c r="AC16" s="8" t="str">
        <f t="shared" ca="1" si="8"/>
        <v>dcterms:modified "2023-06-20T08:57";  .</v>
      </c>
      <c r="AD16" s="10" t="str">
        <f t="shared" ca="1" si="9"/>
        <v>&lt;etma:1:1:49513:4&gt;  rdf:type skos:Concept ;     dcterms:source "https://www.mindat.org/min-49513.html" ;   skos:definition "A lunar soil from the lunar maria (dark basaltic plains.) Mostly derived from High-Ti basalts."@en ;    skos:inScheme &lt;https://mindat.org/etmat/cscheme&gt; ;    skos:prefLabel "Lunar mare regolith"@en ; rdfs:label "Lunar mare regolith"@en ;   skos:broader &lt;etma:1:1:49511:6&gt; ;   dcterms:modified "2023-06-20T08:57";  .</v>
      </c>
      <c r="AE16" s="8" t="s">
        <v>2591</v>
      </c>
    </row>
    <row r="17" spans="1:31" hidden="1" x14ac:dyDescent="0.25">
      <c r="A17" s="8">
        <v>33</v>
      </c>
      <c r="B17" s="8" t="s">
        <v>2381</v>
      </c>
      <c r="C17" s="8">
        <v>49514</v>
      </c>
      <c r="D17" s="8" t="s">
        <v>2302</v>
      </c>
      <c r="E17" s="8" t="s">
        <v>2382</v>
      </c>
      <c r="F17" s="9">
        <v>7</v>
      </c>
      <c r="G17" s="9" t="s">
        <v>14</v>
      </c>
      <c r="H17" s="1" t="s">
        <v>2383</v>
      </c>
      <c r="I17" s="8" t="str">
        <f t="shared" si="0"/>
        <v>https://www.mindat.org/min-49514.html</v>
      </c>
      <c r="J17" s="8">
        <v>49504</v>
      </c>
      <c r="K17" s="8" t="s">
        <v>2350</v>
      </c>
      <c r="N17" s="9">
        <v>1</v>
      </c>
      <c r="S17" s="11">
        <v>44804.483923611115</v>
      </c>
      <c r="U17" s="8" t="str">
        <f t="shared" si="1"/>
        <v xml:space="preserve">&lt;etma:1:1:49514:3&gt;  rdf:type skos:Concept ;  </v>
      </c>
      <c r="V17" s="8" t="str">
        <f t="shared" si="2"/>
        <v xml:space="preserve"> dcterms:source "https://www.mindat.org/min-49514.html" ; </v>
      </c>
      <c r="W17" s="8" t="str">
        <f t="shared" si="3"/>
        <v xml:space="preserve">skos:definition "Rock types associated with meteorites and asteroids. Meteorite Mineralogy: An Explicitly Planetological-Planetochemical Perspective"@en ; </v>
      </c>
      <c r="X17" s="8" t="str">
        <f t="shared" si="4"/>
        <v xml:space="preserve"> skos:inScheme &lt;https://mindat.org/etmat/cscheme&gt; ;  </v>
      </c>
      <c r="Y17" s="8" t="str">
        <f t="shared" si="5"/>
        <v xml:space="preserve">skos:prefLabel "Meteorite"@en ; rdfs:label "Meteorite"@en ; </v>
      </c>
      <c r="Z17" s="8" t="str">
        <f t="shared" si="6"/>
        <v/>
      </c>
      <c r="AA17" s="8" t="str">
        <f t="shared" si="7"/>
        <v/>
      </c>
      <c r="AB17" s="8" t="str">
        <f>"skos:broader &lt;etma:"&amp;K17&amp;"&gt;" &amp; IF(ISBLANK(M17),"", ", &lt;etma:"&amp;M17&amp;"&gt;") &amp; " ; "</f>
        <v xml:space="preserve">skos:broader &lt;etma:1:1:49504:6&gt; ; </v>
      </c>
      <c r="AC17" s="8" t="str">
        <f t="shared" si="8"/>
        <v>dcterms:modified "2022-08-31T11:36";  .</v>
      </c>
      <c r="AD17" s="10" t="str">
        <f t="shared" si="9"/>
        <v>&lt;etma:1:1:49514:3&gt;  rdf:type skos:Concept ;     dcterms:source "https://www.mindat.org/min-49514.html" ;   skos:definition "Rock types associated with meteorites and asteroids. Meteorite Mineralogy: An Explicitly Planetological-Planetochemical Perspective"@en ;    skos:inScheme &lt;https://mindat.org/etmat/cscheme&gt; ;    skos:prefLabel "Meteorite"@en ; rdfs:label "Meteorite"@en ;   skos:broader &lt;etma:1:1:49504:6&gt; ;   dcterms:modified "2022-08-31T11:36";  .</v>
      </c>
      <c r="AE17" s="8" t="s">
        <v>2591</v>
      </c>
    </row>
    <row r="18" spans="1:31" s="9" customFormat="1" x14ac:dyDescent="0.25">
      <c r="A18" s="9">
        <v>1</v>
      </c>
      <c r="B18" s="9" t="s">
        <v>19</v>
      </c>
      <c r="C18" s="9">
        <v>49515</v>
      </c>
      <c r="D18" s="9" t="s">
        <v>17</v>
      </c>
      <c r="E18" s="9" t="s">
        <v>18</v>
      </c>
      <c r="F18" s="9">
        <v>7</v>
      </c>
      <c r="G18" s="9" t="s">
        <v>14</v>
      </c>
      <c r="H18" s="1" t="s">
        <v>2470</v>
      </c>
      <c r="I18" s="9" t="s">
        <v>2471</v>
      </c>
      <c r="J18" s="9">
        <v>49514</v>
      </c>
      <c r="K18" s="9" t="s">
        <v>2302</v>
      </c>
      <c r="N18" s="9">
        <v>1</v>
      </c>
      <c r="O18" s="9" t="s">
        <v>2249</v>
      </c>
      <c r="R18" s="9" t="s">
        <v>20</v>
      </c>
      <c r="S18" s="11">
        <f ca="1">NOW()</f>
        <v>45097.373057291668</v>
      </c>
      <c r="U18" s="8" t="str">
        <f t="shared" ref="U18" si="13">"&lt;etma:"&amp;D18&amp; "&gt;  rdf:type skos:Concept ;  "</f>
        <v xml:space="preserve">&lt;etma:1:1:49515:2&gt;  rdf:type skos:Concept ;  </v>
      </c>
      <c r="V18" s="8" t="str">
        <f t="shared" ref="V18" si="14" xml:space="preserve"> " dcterms:source """ &amp; I18 &amp; """ ; "</f>
        <v xml:space="preserve"> dcterms:source "https://www.lpi.usra.edu/meteor/metbullclass.php?sea=Chondrite-uncl" ; </v>
      </c>
      <c r="W18" s="8" t="str">
        <f t="shared" ref="W18" si="15">"skos:definition """ &amp; H18 &amp; """@en ; "</f>
        <v xml:space="preserve">skos:definition " A primitive meteorite, usually bearing chondrules, that has not experienced igneous differentiation on its parent body."@en ; </v>
      </c>
      <c r="X18" s="8" t="str">
        <f t="shared" si="4"/>
        <v xml:space="preserve"> skos:inScheme &lt;https://mindat.org/etmat/cscheme&gt; ;  </v>
      </c>
      <c r="Y18" s="8" t="str">
        <f t="shared" ref="Y18" si="16">"skos:prefLabel """ &amp; B18 &amp; """@en ; rdfs:label """ &amp; B18 &amp; """@en ; "</f>
        <v xml:space="preserve">skos:prefLabel "Chondrite meteorite"@en ; rdfs:label "Chondrite meteorite"@en ; </v>
      </c>
      <c r="Z18" s="8" t="str">
        <f t="shared" ref="Z18" si="17">IF(ISBLANK(Q18),"", "skos:altLabel """&amp;Q18&amp;"""@en ; ") &amp; IF(ISBLANK(P18),"", "skos:exactMatch  &lt;etma:"&amp;P18&amp;"&gt; ; ") &amp;  IF(ISBLANK(R18),"", " skos:notation  """&amp; R18 &amp;"""@en ; ")</f>
        <v xml:space="preserve"> skos:notation  "Chondrite-uncl"@en ; </v>
      </c>
      <c r="AA18" s="8" t="str">
        <f t="shared" si="7"/>
        <v>dcterms:source "https://www.lpi.usra.edu/meteor/metbullclass.php?sea=Chondrite-uncl";</v>
      </c>
      <c r="AB18" s="8" t="str">
        <f>"skos:broader &lt;etma:"&amp;K18&amp;"&gt;" &amp; IF(ISBLANK(M18),"", ", &lt;etma:"&amp;M18&amp;"&gt;") &amp; " ; "</f>
        <v xml:space="preserve">skos:broader &lt;etma:1:1:49514:3&gt; ; </v>
      </c>
      <c r="AC18" s="8" t="str">
        <f t="shared" ca="1" si="8"/>
        <v>dcterms:modified "2023-06-20T08:57";  .</v>
      </c>
      <c r="AD18" s="10" t="str">
        <f t="shared" ca="1" si="9"/>
        <v>&lt;etma:1:1:49515:2&gt;  rdf:type skos:Concept ;     dcterms:source "https://www.lpi.usra.edu/meteor/metbullclass.php?sea=Chondrite-uncl" ;   skos:definition " A primitive meteorite, usually bearing chondrules, that has not experienced igneous differentiation on its parent body."@en ;    skos:inScheme &lt;https://mindat.org/etmat/cscheme&gt; ;    skos:prefLabel "Chondrite meteorite"@en ; rdfs:label "Chondrite meteorite"@en ;    skos:notation  "Chondrite-uncl"@en ;   dcterms:source "https://www.lpi.usra.edu/meteor/metbullclass.php?sea=Chondrite-uncl";  skos:broader &lt;etma:1:1:49514:3&gt; ;   dcterms:modified "2023-06-20T08:57";  .</v>
      </c>
      <c r="AE18" s="8" t="s">
        <v>2591</v>
      </c>
    </row>
    <row r="19" spans="1:31" x14ac:dyDescent="0.25">
      <c r="A19" s="8">
        <v>2</v>
      </c>
      <c r="B19" s="8" t="s">
        <v>23</v>
      </c>
      <c r="C19" s="8">
        <v>49517</v>
      </c>
      <c r="D19" s="8" t="s">
        <v>21</v>
      </c>
      <c r="E19" s="8" t="s">
        <v>22</v>
      </c>
      <c r="F19" s="9">
        <v>7</v>
      </c>
      <c r="G19" s="9" t="s">
        <v>14</v>
      </c>
      <c r="H19" s="1" t="s">
        <v>24</v>
      </c>
      <c r="I19" s="8" t="str">
        <f t="shared" ref="I19:I82" si="18">"https://www.mindat.org/min-"&amp; C19 &amp; ".html"</f>
        <v>https://www.mindat.org/min-49517.html</v>
      </c>
      <c r="J19" s="8">
        <v>49515</v>
      </c>
      <c r="K19" s="8" t="s">
        <v>17</v>
      </c>
      <c r="N19" s="9">
        <v>0</v>
      </c>
      <c r="O19" s="9" t="s">
        <v>2249</v>
      </c>
      <c r="R19" s="8" t="s">
        <v>25</v>
      </c>
      <c r="S19" s="11">
        <v>43049.789664351854</v>
      </c>
      <c r="U19" s="8" t="str">
        <f t="shared" ref="U19:U82" si="19">"&lt;etma:"&amp;D19&amp; "&gt;  rdf:type skos:Concept ;  "</f>
        <v xml:space="preserve">&lt;etma:1:1:49517:0&gt;  rdf:type skos:Concept ;  </v>
      </c>
      <c r="V19" s="8" t="str">
        <f t="shared" ref="V19:V82" si="20" xml:space="preserve"> " dcterms:source """ &amp; I19 &amp; """ ; "</f>
        <v xml:space="preserve"> dcterms:source "https://www.mindat.org/min-49517.html" ; </v>
      </c>
      <c r="W19" s="8" t="str">
        <f t="shared" ref="W19:W82" si="21">"skos:definition """ &amp; H19 &amp; """@en ; "</f>
        <v xml:space="preserve">skos:definition "A piece of fusion crust that became detatched from a chondrite."@en ; </v>
      </c>
      <c r="X19" s="8" t="str">
        <f t="shared" si="4"/>
        <v xml:space="preserve"> skos:inScheme &lt;https://mindat.org/etmat/cscheme&gt; ;  </v>
      </c>
      <c r="Y19" s="8" t="str">
        <f t="shared" ref="Y19:Y82" si="22">"skos:prefLabel """ &amp; B19 &amp; """@en ; rdfs:label """ &amp; B19 &amp; """@en ; "</f>
        <v xml:space="preserve">skos:prefLabel "Chondrite-fusion crust meteorite"@en ; rdfs:label "Chondrite-fusion crust meteorite"@en ; </v>
      </c>
      <c r="Z19" s="8" t="str">
        <f t="shared" ref="Z19:Z82" si="23">IF(ISBLANK(Q19),"", "skos:altLabel """&amp;Q19&amp;"""@en ; ") &amp; IF(ISBLANK(P19),"", "skos:exactMatch  &lt;etma:"&amp;P19&amp;"&gt; ; ") &amp;  IF(ISBLANK(R19),"", " skos:notation  """&amp; R19 &amp;"""@en ; ")</f>
        <v xml:space="preserve"> skos:notation  "Chondrite-fusion crust"@en ; </v>
      </c>
      <c r="AA19" s="8" t="str">
        <f t="shared" si="7"/>
        <v>dcterms:source "https://www.lpi.usra.edu/meteor/metbullclass.php?sea=Chondrite-fusion%20crust";</v>
      </c>
      <c r="AB19" s="8" t="str">
        <f>"skos:broader &lt;etma:"&amp;K19&amp;"&gt;" &amp; IF(ISBLANK(M19),"", ", &lt;etma:"&amp;M19&amp;"&gt;") &amp; " ; "</f>
        <v xml:space="preserve">skos:broader &lt;etma:1:1:49515:2&gt; ; </v>
      </c>
      <c r="AC19" s="8" t="str">
        <f t="shared" si="8"/>
        <v>dcterms:modified "2017-11-10T18:57";  .</v>
      </c>
      <c r="AD19" s="10" t="str">
        <f t="shared" ref="AD19:AD82" si="24">_xlfn.TEXTJOIN("  ", TRUE, U19:AC19)</f>
        <v>&lt;etma:1:1:49517:0&gt;  rdf:type skos:Concept ;     dcterms:source "https://www.mindat.org/min-49517.html" ;   skos:definition "A piece of fusion crust that became detatched from a chondrite."@en ;    skos:inScheme &lt;https://mindat.org/etmat/cscheme&gt; ;    skos:prefLabel "Chondrite-fusion crust meteorite"@en ; rdfs:label "Chondrite-fusion crust meteorite"@en ;    skos:notation  "Chondrite-fusion crust"@en ;   dcterms:source "https://www.lpi.usra.edu/meteor/metbullclass.php?sea=Chondrite-fusion%20crust";  skos:broader &lt;etma:1:1:49515:2&gt; ;   dcterms:modified "2017-11-10T18:57";  .</v>
      </c>
      <c r="AE19" s="8" t="s">
        <v>2591</v>
      </c>
    </row>
    <row r="20" spans="1:31" x14ac:dyDescent="0.25">
      <c r="A20" s="8">
        <v>3</v>
      </c>
      <c r="B20" s="8" t="s">
        <v>28</v>
      </c>
      <c r="C20" s="8">
        <v>49518</v>
      </c>
      <c r="D20" s="8" t="s">
        <v>26</v>
      </c>
      <c r="E20" s="8" t="s">
        <v>27</v>
      </c>
      <c r="F20" s="9">
        <v>7</v>
      </c>
      <c r="G20" s="9" t="s">
        <v>14</v>
      </c>
      <c r="H20" s="1" t="s">
        <v>29</v>
      </c>
      <c r="I20" s="8" t="str">
        <f t="shared" si="18"/>
        <v>https://www.mindat.org/min-49518.html</v>
      </c>
      <c r="J20" s="8">
        <v>49515</v>
      </c>
      <c r="K20" s="8" t="s">
        <v>17</v>
      </c>
      <c r="N20" s="9">
        <v>0</v>
      </c>
      <c r="O20" s="9" t="s">
        <v>2249</v>
      </c>
      <c r="R20" s="8" t="s">
        <v>30</v>
      </c>
      <c r="S20" s="11">
        <v>43049.79005787037</v>
      </c>
      <c r="U20" s="8" t="str">
        <f t="shared" si="19"/>
        <v xml:space="preserve">&lt;etma:1:1:49518:9&gt;  rdf:type skos:Concept ;  </v>
      </c>
      <c r="V20" s="8" t="str">
        <f t="shared" si="20"/>
        <v xml:space="preserve"> dcterms:source "https://www.mindat.org/min-49518.html" ; </v>
      </c>
      <c r="W20" s="8" t="str">
        <f t="shared" si="21"/>
        <v xml:space="preserve">skos:definition "An ungrouped chondrite."@en ; </v>
      </c>
      <c r="X20" s="8" t="str">
        <f t="shared" si="4"/>
        <v xml:space="preserve"> skos:inScheme &lt;https://mindat.org/etmat/cscheme&gt; ;  </v>
      </c>
      <c r="Y20" s="8" t="str">
        <f t="shared" si="22"/>
        <v xml:space="preserve">skos:prefLabel "Ungrouped chondrite meteorite"@en ; rdfs:label "Ungrouped chondrite meteorite"@en ; </v>
      </c>
      <c r="Z20" s="8" t="str">
        <f t="shared" si="23"/>
        <v xml:space="preserve"> skos:notation  "Chondrite-ung"@en ; </v>
      </c>
      <c r="AA20" s="8" t="str">
        <f t="shared" si="7"/>
        <v>dcterms:source "https://www.lpi.usra.edu/meteor/metbullclass.php?sea=Chondrite-ung";</v>
      </c>
      <c r="AB20" s="8" t="str">
        <f>"skos:broader &lt;etma:"&amp;K20&amp;"&gt;" &amp; IF(ISBLANK(M20),"", ", &lt;etma:"&amp;M20&amp;"&gt;") &amp; " ; "</f>
        <v xml:space="preserve">skos:broader &lt;etma:1:1:49515:2&gt; ; </v>
      </c>
      <c r="AC20" s="8" t="str">
        <f t="shared" si="8"/>
        <v>dcterms:modified "2017-11-10T18:57";  .</v>
      </c>
      <c r="AD20" s="10" t="str">
        <f t="shared" si="24"/>
        <v>&lt;etma:1:1:49518:9&gt;  rdf:type skos:Concept ;     dcterms:source "https://www.mindat.org/min-49518.html" ;   skos:definition "An ungrouped chondrite."@en ;    skos:inScheme &lt;https://mindat.org/etmat/cscheme&gt; ;    skos:prefLabel "Ungrouped chondrite meteorite"@en ; rdfs:label "Ungrouped chondrite meteorite"@en ;    skos:notation  "Chondrite-ung"@en ;   dcterms:source "https://www.lpi.usra.edu/meteor/metbullclass.php?sea=Chondrite-ung";  skos:broader &lt;etma:1:1:49515:2&gt; ;   dcterms:modified "2017-11-10T18:57";  .</v>
      </c>
      <c r="AE20" s="8" t="s">
        <v>2591</v>
      </c>
    </row>
    <row r="21" spans="1:31" x14ac:dyDescent="0.25">
      <c r="A21" s="8">
        <v>4</v>
      </c>
      <c r="B21" s="8" t="s">
        <v>33</v>
      </c>
      <c r="C21" s="8">
        <v>49519</v>
      </c>
      <c r="D21" s="8" t="s">
        <v>31</v>
      </c>
      <c r="E21" s="8" t="s">
        <v>32</v>
      </c>
      <c r="F21" s="9">
        <v>7</v>
      </c>
      <c r="G21" s="9" t="s">
        <v>14</v>
      </c>
      <c r="H21" s="1" t="s">
        <v>2551</v>
      </c>
      <c r="I21" s="8" t="str">
        <f t="shared" si="18"/>
        <v>https://www.mindat.org/min-49519.html</v>
      </c>
      <c r="J21" s="8">
        <v>49515</v>
      </c>
      <c r="K21" s="8" t="s">
        <v>17</v>
      </c>
      <c r="N21" s="9">
        <v>1</v>
      </c>
      <c r="O21" s="9" t="s">
        <v>2249</v>
      </c>
      <c r="R21" s="8" t="s">
        <v>35</v>
      </c>
      <c r="S21" s="11">
        <v>44804.481296296297</v>
      </c>
      <c r="U21" s="8" t="str">
        <f t="shared" si="19"/>
        <v xml:space="preserve">&lt;etma:1:1:49519:8&gt;  rdf:type skos:Concept ;  </v>
      </c>
      <c r="V21" s="8" t="str">
        <f t="shared" si="20"/>
        <v xml:space="preserve"> dcterms:source "https://www.mindat.org/min-49519.html" ; </v>
      </c>
      <c r="W21" s="8" t="str">
        <f t="shared" si="21"/>
        <v xml:space="preserve">skos:definition "Stony (non-metallic) meteorites that have not been modified due to melting or differentiation of the parent body. They include some of the most primitive known meteorites. The C chondrites represent only a small proportion (4.6%) of meteorite falls."@en ; </v>
      </c>
      <c r="X21" s="8" t="str">
        <f t="shared" si="4"/>
        <v xml:space="preserve"> skos:inScheme &lt;https://mindat.org/etmat/cscheme&gt; ;  </v>
      </c>
      <c r="Y21" s="8" t="str">
        <f t="shared" si="22"/>
        <v xml:space="preserve">skos:prefLabel "Carbonaceous chondrite meteorite"@en ; rdfs:label "Carbonaceous chondrite meteorite"@en ; </v>
      </c>
      <c r="Z21" s="8" t="str">
        <f t="shared" si="23"/>
        <v xml:space="preserve"> skos:notation  "C"@en ; </v>
      </c>
      <c r="AA21" s="8" t="str">
        <f t="shared" si="7"/>
        <v>dcterms:source "https://www.lpi.usra.edu/meteor/metbullclass.php?sea=C";</v>
      </c>
      <c r="AB21" s="8" t="str">
        <f>"skos:broader &lt;etma:"&amp;K21&amp;"&gt;" &amp; IF(ISBLANK(M21),"", ", &lt;etma:"&amp;M21&amp;"&gt;") &amp; " ; "</f>
        <v xml:space="preserve">skos:broader &lt;etma:1:1:49515:2&gt; ; </v>
      </c>
      <c r="AC21" s="8" t="str">
        <f t="shared" si="8"/>
        <v>dcterms:modified "2022-08-31T11:33";  .</v>
      </c>
      <c r="AD21" s="10" t="str">
        <f t="shared" si="24"/>
        <v>&lt;etma:1:1:49519:8&gt;  rdf:type skos:Concept ;     dcterms:source "https://www.mindat.org/min-49519.html" ;   skos:definition "Stony (non-metallic) meteorites that have not been modified due to melting or differentiation of the parent body. They include some of the most primitive known meteorites. The C chondrites represent only a small proportion (4.6%) of meteorite falls."@en ;    skos:inScheme &lt;https://mindat.org/etmat/cscheme&gt; ;    skos:prefLabel "Carbonaceous chondrite meteorite"@en ; rdfs:label "Carbonaceous chondrite meteorite"@en ;    skos:notation  "C"@en ;   dcterms:source "https://www.lpi.usra.edu/meteor/metbullclass.php?sea=C";  skos:broader &lt;etma:1:1:49515:2&gt; ;   dcterms:modified "2022-08-31T11:33";  .</v>
      </c>
      <c r="AE21" s="8" t="s">
        <v>2591</v>
      </c>
    </row>
    <row r="22" spans="1:31" x14ac:dyDescent="0.25">
      <c r="A22" s="8">
        <v>5</v>
      </c>
      <c r="B22" s="8" t="s">
        <v>38</v>
      </c>
      <c r="C22" s="8">
        <v>49520</v>
      </c>
      <c r="D22" s="8" t="s">
        <v>36</v>
      </c>
      <c r="E22" s="8" t="s">
        <v>37</v>
      </c>
      <c r="F22" s="9">
        <v>7</v>
      </c>
      <c r="G22" s="9" t="s">
        <v>14</v>
      </c>
      <c r="H22" s="1" t="s">
        <v>39</v>
      </c>
      <c r="I22" s="8" t="str">
        <f t="shared" si="18"/>
        <v>https://www.mindat.org/min-49520.html</v>
      </c>
      <c r="J22" s="8">
        <v>49519</v>
      </c>
      <c r="K22" s="8" t="s">
        <v>31</v>
      </c>
      <c r="N22" s="9">
        <v>1</v>
      </c>
      <c r="O22" s="9" t="s">
        <v>2249</v>
      </c>
      <c r="R22" s="8" t="s">
        <v>35</v>
      </c>
      <c r="S22" s="11">
        <v>44804.474756944444</v>
      </c>
      <c r="U22" s="8" t="str">
        <f t="shared" si="19"/>
        <v xml:space="preserve">&lt;etma:1:1:49520:4&gt;  rdf:type skos:Concept ;  </v>
      </c>
      <c r="V22" s="8" t="str">
        <f t="shared" si="20"/>
        <v xml:space="preserve"> dcterms:source "https://www.mindat.org/min-49520.html" ; </v>
      </c>
      <c r="W22" s="8" t="str">
        <f t="shared" si="21"/>
        <v xml:space="preserve">skos:definition "Undifferentiated carbonaceous chondrites."@en ; </v>
      </c>
      <c r="X22" s="8" t="str">
        <f t="shared" si="4"/>
        <v xml:space="preserve"> skos:inScheme &lt;https://mindat.org/etmat/cscheme&gt; ;  </v>
      </c>
      <c r="Y22" s="8" t="str">
        <f t="shared" si="22"/>
        <v xml:space="preserve">skos:prefLabel "C chondrite meteorite"@en ; rdfs:label "C chondrite meteorite"@en ; </v>
      </c>
      <c r="Z22" s="8" t="str">
        <f t="shared" si="23"/>
        <v xml:space="preserve"> skos:notation  "C"@en ; </v>
      </c>
      <c r="AA22" s="8" t="str">
        <f t="shared" si="7"/>
        <v>dcterms:source "https://www.lpi.usra.edu/meteor/metbullclass.php?sea=C";</v>
      </c>
      <c r="AB22" s="8" t="str">
        <f>"skos:broader &lt;etma:"&amp;K22&amp;"&gt;" &amp; IF(ISBLANK(M22),"", ", &lt;etma:"&amp;M22&amp;"&gt;") &amp; " ; "</f>
        <v xml:space="preserve">skos:broader &lt;etma:1:1:49519:8&gt; ; </v>
      </c>
      <c r="AC22" s="8" t="str">
        <f t="shared" si="8"/>
        <v>dcterms:modified "2022-08-31T11:23";  .</v>
      </c>
      <c r="AD22" s="10" t="str">
        <f t="shared" si="24"/>
        <v>&lt;etma:1:1:49520:4&gt;  rdf:type skos:Concept ;     dcterms:source "https://www.mindat.org/min-49520.html" ;   skos:definition "Undifferentiated carbonaceous chondrites."@en ;    skos:inScheme &lt;https://mindat.org/etmat/cscheme&gt; ;    skos:prefLabel "C chondrite meteorite"@en ; rdfs:label "C chondrite meteorite"@en ;    skos:notation  "C"@en ;   dcterms:source "https://www.lpi.usra.edu/meteor/metbullclass.php?sea=C";  skos:broader &lt;etma:1:1:49519:8&gt; ;   dcterms:modified "2022-08-31T11:23";  .</v>
      </c>
      <c r="AE22" s="8" t="s">
        <v>2591</v>
      </c>
    </row>
    <row r="23" spans="1:31" hidden="1" x14ac:dyDescent="0.25">
      <c r="A23" s="8">
        <v>89</v>
      </c>
      <c r="B23" s="8" t="s">
        <v>2269</v>
      </c>
      <c r="C23" s="8">
        <v>49521</v>
      </c>
      <c r="D23" s="8" t="s">
        <v>2270</v>
      </c>
      <c r="E23" s="8" t="s">
        <v>2271</v>
      </c>
      <c r="F23" s="9">
        <v>7</v>
      </c>
      <c r="G23" s="9" t="s">
        <v>14</v>
      </c>
      <c r="H23" s="1" t="s">
        <v>2272</v>
      </c>
      <c r="I23" s="8" t="str">
        <f t="shared" si="18"/>
        <v>https://www.mindat.org/min-49521.html</v>
      </c>
      <c r="J23" s="8">
        <v>49520</v>
      </c>
      <c r="K23" s="8" t="s">
        <v>36</v>
      </c>
      <c r="L23" s="9">
        <v>49840</v>
      </c>
      <c r="M23" s="8" t="s">
        <v>2273</v>
      </c>
      <c r="N23" s="9">
        <v>1</v>
      </c>
      <c r="S23" s="11">
        <f ca="1">NOW()</f>
        <v>45097.373057291668</v>
      </c>
      <c r="U23" s="8" t="str">
        <f t="shared" si="19"/>
        <v xml:space="preserve">&lt;etma:1:1:49521:3&gt;  rdf:type skos:Concept ;  </v>
      </c>
      <c r="V23" s="8" t="str">
        <f t="shared" si="20"/>
        <v xml:space="preserve"> dcterms:source "https://www.mindat.org/min-49521.html" ; </v>
      </c>
      <c r="W23" s="8" t="str">
        <f t="shared" si="21"/>
        <v xml:space="preserve">skos:definition "A C chondrite that is petrologic type 1."@en ; </v>
      </c>
      <c r="X23" s="8" t="str">
        <f t="shared" si="4"/>
        <v xml:space="preserve"> skos:inScheme &lt;https://mindat.org/etmat/cscheme&gt; ;  </v>
      </c>
      <c r="Y23" s="8" t="str">
        <f t="shared" si="22"/>
        <v xml:space="preserve">skos:prefLabel "C1 chondrite meteorite"@en ; rdfs:label "C1 chondrite meteorite"@en ; </v>
      </c>
      <c r="Z23" s="8" t="str">
        <f t="shared" si="23"/>
        <v/>
      </c>
      <c r="AA23" s="8" t="str">
        <f t="shared" si="7"/>
        <v/>
      </c>
      <c r="AB23" s="8" t="str">
        <f>"skos:broader &lt;etma:"&amp;K23&amp;"&gt;" &amp; IF(ISBLANK(M23),"", ", &lt;etma:"&amp;M23&amp;"&gt;") &amp; " ; "</f>
        <v xml:space="preserve">skos:broader &lt;etma:1:1:49520:4&gt;, &lt;etma:1:1:49840:5&gt; ; </v>
      </c>
      <c r="AC23" s="8" t="str">
        <f t="shared" ca="1" si="8"/>
        <v>dcterms:modified "2023-06-20T08:57";  .</v>
      </c>
      <c r="AD23" s="10" t="str">
        <f t="shared" ca="1" si="24"/>
        <v>&lt;etma:1:1:49521:3&gt;  rdf:type skos:Concept ;     dcterms:source "https://www.mindat.org/min-49521.html" ;   skos:definition "A C chondrite that is petrologic type 1."@en ;    skos:inScheme &lt;https://mindat.org/etmat/cscheme&gt; ;    skos:prefLabel "C1 chondrite meteorite"@en ; rdfs:label "C1 chondrite meteorite"@en ;   skos:broader &lt;etma:1:1:49520:4&gt;, &lt;etma:1:1:49840:5&gt; ;   dcterms:modified "2023-06-20T08:57";  .</v>
      </c>
      <c r="AE23" s="8" t="s">
        <v>2591</v>
      </c>
    </row>
    <row r="24" spans="1:31" x14ac:dyDescent="0.25">
      <c r="A24" s="8">
        <v>6</v>
      </c>
      <c r="B24" s="8" t="s">
        <v>42</v>
      </c>
      <c r="C24" s="8">
        <v>49522</v>
      </c>
      <c r="D24" s="8" t="s">
        <v>40</v>
      </c>
      <c r="E24" s="8" t="s">
        <v>41</v>
      </c>
      <c r="F24" s="9">
        <v>7</v>
      </c>
      <c r="G24" s="9" t="s">
        <v>14</v>
      </c>
      <c r="H24" s="1" t="s">
        <v>43</v>
      </c>
      <c r="I24" s="8" t="str">
        <f t="shared" si="18"/>
        <v>https://www.mindat.org/min-49522.html</v>
      </c>
      <c r="J24" s="8">
        <v>49521</v>
      </c>
      <c r="K24" s="8" t="s">
        <v>2270</v>
      </c>
      <c r="N24" s="9">
        <v>0</v>
      </c>
      <c r="O24" s="9">
        <v>52364</v>
      </c>
      <c r="P24" s="8" t="s">
        <v>2483</v>
      </c>
      <c r="Q24" s="8" t="s">
        <v>2484</v>
      </c>
      <c r="R24" s="8" t="s">
        <v>44</v>
      </c>
      <c r="S24" s="11">
        <v>43050.459247685183</v>
      </c>
      <c r="U24" s="8" t="str">
        <f t="shared" si="19"/>
        <v xml:space="preserve">&lt;etma:1:1:49522:2&gt;  rdf:type skos:Concept ;  </v>
      </c>
      <c r="V24" s="8" t="str">
        <f t="shared" si="20"/>
        <v xml:space="preserve"> dcterms:source "https://www.mindat.org/min-49522.html" ; </v>
      </c>
      <c r="W24" s="8" t="str">
        <f t="shared" si="21"/>
        <v xml:space="preserve">skos:definition "A C chondrite that is petrologic type 1, ungrouped."@en ; </v>
      </c>
      <c r="X24" s="8" t="str">
        <f t="shared" ref="X19:X82" si="25">" skos:inScheme &lt;http://example.org/mindat/etmat/cscheme&gt; ;  "</f>
        <v xml:space="preserve"> skos:inScheme &lt;http://example.org/mindat/etmat/cscheme&gt; ;  </v>
      </c>
      <c r="Y24" s="8" t="str">
        <f t="shared" si="22"/>
        <v xml:space="preserve">skos:prefLabel "Ungrouped C1 chondrite meteorite"@en ; rdfs:label "Ungrouped C1 chondrite meteorite"@en ; </v>
      </c>
      <c r="Z24" s="8" t="str">
        <f t="shared" si="23"/>
        <v xml:space="preserve">skos:altLabel "C1-ung chondrite meteorite"@en ; skos:exactMatch  &lt;etma:1:1:52364:0&gt; ;  skos:notation  "C1-ung"@en ; </v>
      </c>
      <c r="AA24" s="8" t="str">
        <f t="shared" si="7"/>
        <v>dcterms:source "https://www.lpi.usra.edu/meteor/metbullclass.php?sea=C1-ung";</v>
      </c>
      <c r="AB24" s="8" t="str">
        <f>"skos:broader &lt;etma:"&amp;K24&amp;"&gt;" &amp; IF(ISBLANK(M24),"", ", &lt;etma:"&amp;M24&amp;"&gt;") &amp; " ; "</f>
        <v xml:space="preserve">skos:broader &lt;etma:1:1:49521:3&gt; ; </v>
      </c>
      <c r="AC24" s="8" t="str">
        <f t="shared" si="8"/>
        <v>dcterms:modified "2017-11-11T11:01";  .</v>
      </c>
      <c r="AD24" s="10" t="str">
        <f t="shared" si="24"/>
        <v>&lt;etma:1:1:49522:2&gt;  rdf:type skos:Concept ;     dcterms:source "https://www.mindat.org/min-49522.html" ;   skos:definition "A C chondrite that is petrologic type 1, ungrouped."@en ;    skos:inScheme &lt;http://example.org/mindat/etmat/cscheme&gt; ;    skos:prefLabel "Ungrouped C1 chondrite meteorite"@en ; rdfs:label "Ungrouped C1 chondrite meteorite"@en ;   skos:altLabel "C1-ung chondrite meteorite"@en ; skos:exactMatch  &lt;etma:1:1:52364:0&gt; ;  skos:notation  "C1-ung"@en ;   dcterms:source "https://www.lpi.usra.edu/meteor/metbullclass.php?sea=C1-ung";  skos:broader &lt;etma:1:1:49521:3&gt; ;   dcterms:modified "2017-11-11T11:01";  .</v>
      </c>
      <c r="AE24" s="8" t="s">
        <v>2591</v>
      </c>
    </row>
    <row r="25" spans="1:31" x14ac:dyDescent="0.25">
      <c r="A25" s="8">
        <v>7</v>
      </c>
      <c r="B25" s="8" t="s">
        <v>47</v>
      </c>
      <c r="C25" s="8">
        <v>49523</v>
      </c>
      <c r="D25" s="8" t="s">
        <v>45</v>
      </c>
      <c r="E25" s="8" t="s">
        <v>46</v>
      </c>
      <c r="F25" s="9">
        <v>7</v>
      </c>
      <c r="G25" s="9" t="s">
        <v>14</v>
      </c>
      <c r="H25" s="1" t="s">
        <v>48</v>
      </c>
      <c r="I25" s="8" t="str">
        <f t="shared" si="18"/>
        <v>https://www.mindat.org/min-49523.html</v>
      </c>
      <c r="J25" s="8">
        <v>49521</v>
      </c>
      <c r="K25" s="8" t="s">
        <v>2270</v>
      </c>
      <c r="L25" s="9">
        <v>49524</v>
      </c>
      <c r="M25" s="8" t="s">
        <v>50</v>
      </c>
      <c r="N25" s="9">
        <v>0</v>
      </c>
      <c r="O25" s="9">
        <v>52365</v>
      </c>
      <c r="P25" s="8" t="s">
        <v>2485</v>
      </c>
      <c r="Q25" s="8" t="s">
        <v>2486</v>
      </c>
      <c r="R25" s="8" t="s">
        <v>49</v>
      </c>
      <c r="S25" s="11">
        <v>43050.459629629629</v>
      </c>
      <c r="U25" s="8" t="str">
        <f t="shared" si="19"/>
        <v xml:space="preserve">&lt;etma:1:1:49523:1&gt;  rdf:type skos:Concept ;  </v>
      </c>
      <c r="V25" s="8" t="str">
        <f t="shared" si="20"/>
        <v xml:space="preserve"> dcterms:source "https://www.mindat.org/min-49523.html" ; </v>
      </c>
      <c r="W25" s="8" t="str">
        <f t="shared" si="21"/>
        <v xml:space="preserve">skos:definition "A C chondrite that is transitional between petrologic type 1 and 2, ungrouped"@en ; </v>
      </c>
      <c r="X25" s="8" t="str">
        <f t="shared" si="25"/>
        <v xml:space="preserve"> skos:inScheme &lt;http://example.org/mindat/etmat/cscheme&gt; ;  </v>
      </c>
      <c r="Y25" s="8" t="str">
        <f t="shared" si="22"/>
        <v xml:space="preserve">skos:prefLabel "Ungrouped C1/2 chondrite meteorite"@en ; rdfs:label "Ungrouped C1/2 chondrite meteorite"@en ; </v>
      </c>
      <c r="Z25" s="8" t="str">
        <f t="shared" si="23"/>
        <v xml:space="preserve">skos:altLabel "C1/2-ung chondrite meteorite"@en ; skos:exactMatch  &lt;etma:1:1:52365:9&gt; ;  skos:notation  "C1/2-ung"@en ; </v>
      </c>
      <c r="AA25" s="8" t="str">
        <f t="shared" si="7"/>
        <v>dcterms:source "https://www.lpi.usra.edu/meteor/metbullclass.php?sea=C1/2-ung";</v>
      </c>
      <c r="AB25" s="8" t="str">
        <f>"skos:broader &lt;etma:"&amp;K25&amp;"&gt;" &amp; IF(ISBLANK(M25),"", ", &lt;etma:"&amp;M25&amp;"&gt;") &amp; " ; "</f>
        <v xml:space="preserve">skos:broader &lt;etma:1:1:49521:3&gt;, &lt;etma:1:1:49524:0&gt; ; </v>
      </c>
      <c r="AC25" s="8" t="str">
        <f t="shared" si="8"/>
        <v>dcterms:modified "2017-11-11T11:01";  .</v>
      </c>
      <c r="AD25" s="10" t="str">
        <f t="shared" si="24"/>
        <v>&lt;etma:1:1:49523:1&gt;  rdf:type skos:Concept ;     dcterms:source "https://www.mindat.org/min-49523.html" ;   skos:definition "A C chondrite that is transitional between petrologic type 1 and 2, ungrouped"@en ;    skos:inScheme &lt;http://example.org/mindat/etmat/cscheme&gt; ;    skos:prefLabel "Ungrouped C1/2 chondrite meteorite"@en ; rdfs:label "Ungrouped C1/2 chondrite meteorite"@en ;   skos:altLabel "C1/2-ung chondrite meteorite"@en ; skos:exactMatch  &lt;etma:1:1:52365:9&gt; ;  skos:notation  "C1/2-ung"@en ;   dcterms:source "https://www.lpi.usra.edu/meteor/metbullclass.php?sea=C1/2-ung";  skos:broader &lt;etma:1:1:49521:3&gt;, &lt;etma:1:1:49524:0&gt; ;   dcterms:modified "2017-11-11T11:01";  .</v>
      </c>
      <c r="AE25" s="8" t="s">
        <v>2591</v>
      </c>
    </row>
    <row r="26" spans="1:31" x14ac:dyDescent="0.25">
      <c r="A26" s="8">
        <v>8</v>
      </c>
      <c r="B26" s="8" t="s">
        <v>52</v>
      </c>
      <c r="C26" s="8">
        <v>49524</v>
      </c>
      <c r="D26" s="8" t="s">
        <v>50</v>
      </c>
      <c r="E26" s="8" t="s">
        <v>51</v>
      </c>
      <c r="F26" s="9">
        <v>7</v>
      </c>
      <c r="G26" s="9" t="s">
        <v>14</v>
      </c>
      <c r="H26" s="1" t="s">
        <v>53</v>
      </c>
      <c r="I26" s="8" t="str">
        <f t="shared" si="18"/>
        <v>https://www.mindat.org/min-49524.html</v>
      </c>
      <c r="J26" s="8">
        <v>49520</v>
      </c>
      <c r="K26" s="8" t="s">
        <v>36</v>
      </c>
      <c r="L26" s="9">
        <v>49841</v>
      </c>
      <c r="M26" s="8" t="s">
        <v>2396</v>
      </c>
      <c r="N26" s="9">
        <v>1</v>
      </c>
      <c r="O26" s="9" t="s">
        <v>2249</v>
      </c>
      <c r="R26" s="8" t="s">
        <v>54</v>
      </c>
      <c r="S26" s="11">
        <f ca="1">NOW()</f>
        <v>45097.373057407407</v>
      </c>
      <c r="U26" s="8" t="str">
        <f t="shared" si="19"/>
        <v xml:space="preserve">&lt;etma:1:1:49524:0&gt;  rdf:type skos:Concept ;  </v>
      </c>
      <c r="V26" s="8" t="str">
        <f t="shared" si="20"/>
        <v xml:space="preserve"> dcterms:source "https://www.mindat.org/min-49524.html" ; </v>
      </c>
      <c r="W26" s="8" t="str">
        <f t="shared" si="21"/>
        <v xml:space="preserve">skos:definition "A C chondrite that is petrologic type 2."@en ; </v>
      </c>
      <c r="X26" s="8" t="str">
        <f>" skos:inScheme &lt;https://mindat.org/etmat/cscheme&gt; ;  "</f>
        <v xml:space="preserve"> skos:inScheme &lt;https://mindat.org/etmat/cscheme&gt; ;  </v>
      </c>
      <c r="Y26" s="8" t="str">
        <f t="shared" si="22"/>
        <v xml:space="preserve">skos:prefLabel "C2 chondrite meteorite"@en ; rdfs:label "C2 chondrite meteorite"@en ; </v>
      </c>
      <c r="Z26" s="8" t="str">
        <f t="shared" si="23"/>
        <v xml:space="preserve"> skos:notation  "C2"@en ; </v>
      </c>
      <c r="AA26" s="8" t="str">
        <f t="shared" si="7"/>
        <v>dcterms:source "https://www.lpi.usra.edu/meteor/metbullclass.php?sea=C2";</v>
      </c>
      <c r="AB26" s="8" t="str">
        <f>"skos:broader &lt;etma:"&amp;K26&amp;"&gt;" &amp; IF(ISBLANK(M26),"", ", &lt;etma:"&amp;M26&amp;"&gt;") &amp; " ; "</f>
        <v xml:space="preserve">skos:broader &lt;etma:1:1:49520:4&gt;, &lt;etma:1:1:49841:4&gt; ; </v>
      </c>
      <c r="AC26" s="8" t="str">
        <f t="shared" ca="1" si="8"/>
        <v>dcterms:modified "2023-06-20T08:57";  .</v>
      </c>
      <c r="AD26" s="10" t="str">
        <f t="shared" ca="1" si="24"/>
        <v>&lt;etma:1:1:49524:0&gt;  rdf:type skos:Concept ;     dcterms:source "https://www.mindat.org/min-49524.html" ;   skos:definition "A C chondrite that is petrologic type 2."@en ;    skos:inScheme &lt;https://mindat.org/etmat/cscheme&gt; ;    skos:prefLabel "C2 chondrite meteorite"@en ; rdfs:label "C2 chondrite meteorite"@en ;    skos:notation  "C2"@en ;   dcterms:source "https://www.lpi.usra.edu/meteor/metbullclass.php?sea=C2";  skos:broader &lt;etma:1:1:49520:4&gt;, &lt;etma:1:1:49841:4&gt; ;   dcterms:modified "2023-06-20T08:57";  .</v>
      </c>
      <c r="AE26" s="8" t="s">
        <v>2591</v>
      </c>
    </row>
    <row r="27" spans="1:31" x14ac:dyDescent="0.25">
      <c r="A27" s="8">
        <v>9</v>
      </c>
      <c r="B27" s="8" t="s">
        <v>57</v>
      </c>
      <c r="C27" s="8">
        <v>49525</v>
      </c>
      <c r="D27" s="8" t="s">
        <v>55</v>
      </c>
      <c r="E27" s="8" t="s">
        <v>56</v>
      </c>
      <c r="F27" s="9">
        <v>7</v>
      </c>
      <c r="G27" s="9" t="s">
        <v>14</v>
      </c>
      <c r="H27" s="1" t="s">
        <v>58</v>
      </c>
      <c r="I27" s="8" t="str">
        <f t="shared" si="18"/>
        <v>https://www.mindat.org/min-49525.html</v>
      </c>
      <c r="J27" s="8">
        <v>49524</v>
      </c>
      <c r="K27" s="8" t="s">
        <v>50</v>
      </c>
      <c r="N27" s="9">
        <v>0</v>
      </c>
      <c r="O27" s="9">
        <v>52366</v>
      </c>
      <c r="P27" s="8" t="s">
        <v>2487</v>
      </c>
      <c r="Q27" s="8" t="s">
        <v>2488</v>
      </c>
      <c r="R27" s="8" t="s">
        <v>59</v>
      </c>
      <c r="S27" s="11">
        <v>43050.460011574076</v>
      </c>
      <c r="U27" s="8" t="str">
        <f t="shared" si="19"/>
        <v xml:space="preserve">&lt;etma:1:1:49525:9&gt;  rdf:type skos:Concept ;  </v>
      </c>
      <c r="V27" s="8" t="str">
        <f t="shared" si="20"/>
        <v xml:space="preserve"> dcterms:source "https://www.mindat.org/min-49525.html" ; </v>
      </c>
      <c r="W27" s="8" t="str">
        <f t="shared" si="21"/>
        <v xml:space="preserve">skos:definition "A C chondrite that is petrologic type 2, ungrouped."@en ; </v>
      </c>
      <c r="X27" s="8" t="str">
        <f t="shared" si="25"/>
        <v xml:space="preserve"> skos:inScheme &lt;http://example.org/mindat/etmat/cscheme&gt; ;  </v>
      </c>
      <c r="Y27" s="8" t="str">
        <f t="shared" si="22"/>
        <v xml:space="preserve">skos:prefLabel "Ungrouped C2 chondrite meteorite"@en ; rdfs:label "Ungrouped C2 chondrite meteorite"@en ; </v>
      </c>
      <c r="Z27" s="8" t="str">
        <f t="shared" si="23"/>
        <v xml:space="preserve">skos:altLabel "C2-ung chondrite meteorite"@en ; skos:exactMatch  &lt;etma:1:1:52366:8&gt; ;  skos:notation  "C2-ung"@en ; </v>
      </c>
      <c r="AA27" s="8" t="str">
        <f t="shared" si="7"/>
        <v>dcterms:source "https://www.lpi.usra.edu/meteor/metbullclass.php?sea=C2-ung";</v>
      </c>
      <c r="AB27" s="8" t="str">
        <f>"skos:broader &lt;etma:"&amp;K27&amp;"&gt;" &amp; IF(ISBLANK(M27),"", ", &lt;etma:"&amp;M27&amp;"&gt;") &amp; " ; "</f>
        <v xml:space="preserve">skos:broader &lt;etma:1:1:49524:0&gt; ; </v>
      </c>
      <c r="AC27" s="8" t="str">
        <f t="shared" si="8"/>
        <v>dcterms:modified "2017-11-11T11:02";  .</v>
      </c>
      <c r="AD27" s="10" t="str">
        <f t="shared" si="24"/>
        <v>&lt;etma:1:1:49525:9&gt;  rdf:type skos:Concept ;     dcterms:source "https://www.mindat.org/min-49525.html" ;   skos:definition "A C chondrite that is petrologic type 2, ungrouped."@en ;    skos:inScheme &lt;http://example.org/mindat/etmat/cscheme&gt; ;    skos:prefLabel "Ungrouped C2 chondrite meteorite"@en ; rdfs:label "Ungrouped C2 chondrite meteorite"@en ;   skos:altLabel "C2-ung chondrite meteorite"@en ; skos:exactMatch  &lt;etma:1:1:52366:8&gt; ;  skos:notation  "C2-ung"@en ;   dcterms:source "https://www.lpi.usra.edu/meteor/metbullclass.php?sea=C2-ung";  skos:broader &lt;etma:1:1:49524:0&gt; ;   dcterms:modified "2017-11-11T11:02";  .</v>
      </c>
      <c r="AE27" s="8" t="s">
        <v>2591</v>
      </c>
    </row>
    <row r="28" spans="1:31" x14ac:dyDescent="0.25">
      <c r="A28" s="8">
        <v>10</v>
      </c>
      <c r="B28" s="8" t="s">
        <v>62</v>
      </c>
      <c r="C28" s="8">
        <v>49526</v>
      </c>
      <c r="D28" s="8" t="s">
        <v>60</v>
      </c>
      <c r="E28" s="8" t="s">
        <v>61</v>
      </c>
      <c r="F28" s="9">
        <v>7</v>
      </c>
      <c r="G28" s="9" t="s">
        <v>14</v>
      </c>
      <c r="H28" s="1" t="s">
        <v>63</v>
      </c>
      <c r="I28" s="8" t="str">
        <f t="shared" si="18"/>
        <v>https://www.mindat.org/min-49526.html</v>
      </c>
      <c r="J28" s="8">
        <v>49520</v>
      </c>
      <c r="K28" s="8" t="s">
        <v>36</v>
      </c>
      <c r="L28" s="9">
        <v>49842</v>
      </c>
      <c r="M28" s="8" t="s">
        <v>2400</v>
      </c>
      <c r="N28" s="9">
        <v>1</v>
      </c>
      <c r="O28" s="9" t="s">
        <v>2249</v>
      </c>
      <c r="R28" s="8" t="s">
        <v>64</v>
      </c>
      <c r="S28" s="11">
        <f ca="1">NOW()</f>
        <v>45097.373057291668</v>
      </c>
      <c r="U28" s="8" t="str">
        <f t="shared" si="19"/>
        <v xml:space="preserve">&lt;etma:1:1:49526:8&gt;  rdf:type skos:Concept ;  </v>
      </c>
      <c r="V28" s="8" t="str">
        <f t="shared" si="20"/>
        <v xml:space="preserve"> dcterms:source "https://www.mindat.org/min-49526.html" ; </v>
      </c>
      <c r="W28" s="8" t="str">
        <f t="shared" si="21"/>
        <v xml:space="preserve">skos:definition "A C chondrite that is petrologic type 3."@en ; </v>
      </c>
      <c r="X28" s="8" t="str">
        <f>" skos:inScheme &lt;https://mindat.org/etmat/cscheme&gt; ;  "</f>
        <v xml:space="preserve"> skos:inScheme &lt;https://mindat.org/etmat/cscheme&gt; ;  </v>
      </c>
      <c r="Y28" s="8" t="str">
        <f t="shared" si="22"/>
        <v xml:space="preserve">skos:prefLabel "C3 chondrite meteorite"@en ; rdfs:label "C3 chondrite meteorite"@en ; </v>
      </c>
      <c r="Z28" s="8" t="str">
        <f t="shared" si="23"/>
        <v xml:space="preserve"> skos:notation  "C3"@en ; </v>
      </c>
      <c r="AA28" s="8" t="str">
        <f t="shared" si="7"/>
        <v>dcterms:source "https://www.lpi.usra.edu/meteor/metbullclass.php?sea=C3";</v>
      </c>
      <c r="AB28" s="8" t="str">
        <f>"skos:broader &lt;etma:"&amp;K28&amp;"&gt;" &amp; IF(ISBLANK(M28),"", ", &lt;etma:"&amp;M28&amp;"&gt;") &amp; " ; "</f>
        <v xml:space="preserve">skos:broader &lt;etma:1:1:49520:4&gt;, &lt;etma:1:1:49842:3&gt; ; </v>
      </c>
      <c r="AC28" s="8" t="str">
        <f t="shared" ca="1" si="8"/>
        <v>dcterms:modified "2023-06-20T08:57";  .</v>
      </c>
      <c r="AD28" s="10" t="str">
        <f t="shared" ca="1" si="24"/>
        <v>&lt;etma:1:1:49526:8&gt;  rdf:type skos:Concept ;     dcterms:source "https://www.mindat.org/min-49526.html" ;   skos:definition "A C chondrite that is petrologic type 3."@en ;    skos:inScheme &lt;https://mindat.org/etmat/cscheme&gt; ;    skos:prefLabel "C3 chondrite meteorite"@en ; rdfs:label "C3 chondrite meteorite"@en ;    skos:notation  "C3"@en ;   dcterms:source "https://www.lpi.usra.edu/meteor/metbullclass.php?sea=C3";  skos:broader &lt;etma:1:1:49520:4&gt;, &lt;etma:1:1:49842:3&gt; ;   dcterms:modified "2023-06-20T08:57";  .</v>
      </c>
      <c r="AE28" s="8" t="s">
        <v>2591</v>
      </c>
    </row>
    <row r="29" spans="1:31" x14ac:dyDescent="0.25">
      <c r="A29" s="8">
        <v>11</v>
      </c>
      <c r="B29" s="8" t="s">
        <v>67</v>
      </c>
      <c r="C29" s="8">
        <v>49527</v>
      </c>
      <c r="D29" s="8" t="s">
        <v>65</v>
      </c>
      <c r="E29" s="8" t="s">
        <v>66</v>
      </c>
      <c r="F29" s="9">
        <v>7</v>
      </c>
      <c r="G29" s="9" t="s">
        <v>14</v>
      </c>
      <c r="H29" s="1" t="s">
        <v>68</v>
      </c>
      <c r="I29" s="8" t="str">
        <f t="shared" si="18"/>
        <v>https://www.mindat.org/min-49527.html</v>
      </c>
      <c r="J29" s="8">
        <v>49526</v>
      </c>
      <c r="K29" s="8" t="s">
        <v>60</v>
      </c>
      <c r="N29" s="9">
        <v>0</v>
      </c>
      <c r="O29" s="9">
        <v>52367</v>
      </c>
      <c r="P29" s="8" t="s">
        <v>2489</v>
      </c>
      <c r="Q29" s="8" t="s">
        <v>2490</v>
      </c>
      <c r="R29" s="8" t="s">
        <v>69</v>
      </c>
      <c r="S29" s="11">
        <v>43050.460520833331</v>
      </c>
      <c r="U29" s="8" t="str">
        <f t="shared" si="19"/>
        <v xml:space="preserve">&lt;etma:1:1:49527:7&gt;  rdf:type skos:Concept ;  </v>
      </c>
      <c r="V29" s="8" t="str">
        <f t="shared" si="20"/>
        <v xml:space="preserve"> dcterms:source "https://www.mindat.org/min-49527.html" ; </v>
      </c>
      <c r="W29" s="8" t="str">
        <f t="shared" si="21"/>
        <v xml:space="preserve">skos:definition "A C chondrite that is petrologic type 3, ungrouped."@en ; </v>
      </c>
      <c r="X29" s="8" t="str">
        <f t="shared" si="25"/>
        <v xml:space="preserve"> skos:inScheme &lt;http://example.org/mindat/etmat/cscheme&gt; ;  </v>
      </c>
      <c r="Y29" s="8" t="str">
        <f t="shared" si="22"/>
        <v xml:space="preserve">skos:prefLabel "Ungrouped C3 chondrite meteorite"@en ; rdfs:label "Ungrouped C3 chondrite meteorite"@en ; </v>
      </c>
      <c r="Z29" s="8" t="str">
        <f t="shared" si="23"/>
        <v xml:space="preserve">skos:altLabel "C3-ung chondrite meteorite"@en ; skos:exactMatch  &lt;etma:1:1:52367:7&gt; ;  skos:notation  "C3-ung"@en ; </v>
      </c>
      <c r="AA29" s="8" t="str">
        <f t="shared" si="7"/>
        <v>dcterms:source "https://www.lpi.usra.edu/meteor/metbullclass.php?sea=C3-ung";</v>
      </c>
      <c r="AB29" s="8" t="str">
        <f>"skos:broader &lt;etma:"&amp;K29&amp;"&gt;" &amp; IF(ISBLANK(M29),"", ", &lt;etma:"&amp;M29&amp;"&gt;") &amp; " ; "</f>
        <v xml:space="preserve">skos:broader &lt;etma:1:1:49526:8&gt; ; </v>
      </c>
      <c r="AC29" s="8" t="str">
        <f t="shared" si="8"/>
        <v>dcterms:modified "2017-11-11T11:03";  .</v>
      </c>
      <c r="AD29" s="10" t="str">
        <f t="shared" si="24"/>
        <v>&lt;etma:1:1:49527:7&gt;  rdf:type skos:Concept ;     dcterms:source "https://www.mindat.org/min-49527.html" ;   skos:definition "A C chondrite that is petrologic type 3, ungrouped."@en ;    skos:inScheme &lt;http://example.org/mindat/etmat/cscheme&gt; ;    skos:prefLabel "Ungrouped C3 chondrite meteorite"@en ; rdfs:label "Ungrouped C3 chondrite meteorite"@en ;   skos:altLabel "C3-ung chondrite meteorite"@en ; skos:exactMatch  &lt;etma:1:1:52367:7&gt; ;  skos:notation  "C3-ung"@en ;   dcterms:source "https://www.lpi.usra.edu/meteor/metbullclass.php?sea=C3-ung";  skos:broader &lt;etma:1:1:49526:8&gt; ;   dcterms:modified "2017-11-11T11:03";  .</v>
      </c>
      <c r="AE29" s="8" t="s">
        <v>2591</v>
      </c>
    </row>
    <row r="30" spans="1:31" x14ac:dyDescent="0.25">
      <c r="A30" s="8">
        <v>12</v>
      </c>
      <c r="B30" s="8" t="s">
        <v>72</v>
      </c>
      <c r="C30" s="8">
        <v>49528</v>
      </c>
      <c r="D30" s="8" t="s">
        <v>70</v>
      </c>
      <c r="E30" s="8" t="s">
        <v>71</v>
      </c>
      <c r="F30" s="9">
        <v>7</v>
      </c>
      <c r="G30" s="9" t="s">
        <v>14</v>
      </c>
      <c r="H30" s="1" t="s">
        <v>73</v>
      </c>
      <c r="I30" s="8" t="str">
        <f t="shared" si="18"/>
        <v>https://www.mindat.org/min-49528.html</v>
      </c>
      <c r="J30" s="8">
        <v>49526</v>
      </c>
      <c r="K30" s="8" t="s">
        <v>60</v>
      </c>
      <c r="N30" s="9">
        <v>0</v>
      </c>
      <c r="O30" s="9">
        <v>52378</v>
      </c>
      <c r="P30" s="8" t="s">
        <v>2491</v>
      </c>
      <c r="Q30" s="8" t="s">
        <v>2492</v>
      </c>
      <c r="R30" s="8" t="s">
        <v>74</v>
      </c>
      <c r="S30" s="11">
        <v>43050.918946759259</v>
      </c>
      <c r="U30" s="8" t="str">
        <f t="shared" si="19"/>
        <v xml:space="preserve">&lt;etma:1:1:49528:6&gt;  rdf:type skos:Concept ;  </v>
      </c>
      <c r="V30" s="8" t="str">
        <f t="shared" si="20"/>
        <v xml:space="preserve"> dcterms:source "https://www.mindat.org/min-49528.html" ; </v>
      </c>
      <c r="W30" s="8" t="str">
        <f t="shared" si="21"/>
        <v xml:space="preserve">skos:definition "A C chondrite that is petrologic type 3.0, ungrouped."@en ; </v>
      </c>
      <c r="X30" s="8" t="str">
        <f t="shared" si="25"/>
        <v xml:space="preserve"> skos:inScheme &lt;http://example.org/mindat/etmat/cscheme&gt; ;  </v>
      </c>
      <c r="Y30" s="8" t="str">
        <f t="shared" si="22"/>
        <v xml:space="preserve">skos:prefLabel "Ungrouped C3.0 chondrite meteorite"@en ; rdfs:label "Ungrouped C3.0 chondrite meteorite"@en ; </v>
      </c>
      <c r="Z30" s="8" t="str">
        <f t="shared" si="23"/>
        <v xml:space="preserve">skos:altLabel "C3.0-ung chondrite meteorite"@en ; skos:exactMatch  &lt;etma:1:1:52378:3&gt; ;  skos:notation  "C3.0-ung"@en ; </v>
      </c>
      <c r="AA30" s="8" t="str">
        <f t="shared" si="7"/>
        <v>dcterms:source "https://www.lpi.usra.edu/meteor/metbullclass.php?sea=C3.0-ung";</v>
      </c>
      <c r="AB30" s="8" t="str">
        <f>"skos:broader &lt;etma:"&amp;K30&amp;"&gt;" &amp; IF(ISBLANK(M30),"", ", &lt;etma:"&amp;M30&amp;"&gt;") &amp; " ; "</f>
        <v xml:space="preserve">skos:broader &lt;etma:1:1:49526:8&gt; ; </v>
      </c>
      <c r="AC30" s="8" t="str">
        <f t="shared" si="8"/>
        <v>dcterms:modified "2017-11-11T22:03";  .</v>
      </c>
      <c r="AD30" s="10" t="str">
        <f t="shared" si="24"/>
        <v>&lt;etma:1:1:49528:6&gt;  rdf:type skos:Concept ;     dcterms:source "https://www.mindat.org/min-49528.html" ;   skos:definition "A C chondrite that is petrologic type 3.0, ungrouped."@en ;    skos:inScheme &lt;http://example.org/mindat/etmat/cscheme&gt; ;    skos:prefLabel "Ungrouped C3.0 chondrite meteorite"@en ; rdfs:label "Ungrouped C3.0 chondrite meteorite"@en ;   skos:altLabel "C3.0-ung chondrite meteorite"@en ; skos:exactMatch  &lt;etma:1:1:52378:3&gt; ;  skos:notation  "C3.0-ung"@en ;   dcterms:source "https://www.lpi.usra.edu/meteor/metbullclass.php?sea=C3.0-ung";  skos:broader &lt;etma:1:1:49526:8&gt; ;   dcterms:modified "2017-11-11T22:03";  .</v>
      </c>
      <c r="AE30" s="8" t="s">
        <v>2591</v>
      </c>
    </row>
    <row r="31" spans="1:31" x14ac:dyDescent="0.25">
      <c r="A31" s="8">
        <v>13</v>
      </c>
      <c r="B31" s="8" t="s">
        <v>77</v>
      </c>
      <c r="C31" s="8">
        <v>49529</v>
      </c>
      <c r="D31" s="8" t="s">
        <v>75</v>
      </c>
      <c r="E31" s="8" t="s">
        <v>76</v>
      </c>
      <c r="F31" s="9">
        <v>7</v>
      </c>
      <c r="G31" s="9" t="s">
        <v>14</v>
      </c>
      <c r="H31" s="1" t="s">
        <v>78</v>
      </c>
      <c r="I31" s="8" t="str">
        <f t="shared" si="18"/>
        <v>https://www.mindat.org/min-49529.html</v>
      </c>
      <c r="J31" s="8">
        <v>49526</v>
      </c>
      <c r="K31" s="8" t="s">
        <v>60</v>
      </c>
      <c r="L31" s="9">
        <v>49530</v>
      </c>
      <c r="M31" s="8" t="s">
        <v>80</v>
      </c>
      <c r="N31" s="9">
        <v>0</v>
      </c>
      <c r="O31" s="9">
        <v>52379</v>
      </c>
      <c r="P31" s="8" t="s">
        <v>2493</v>
      </c>
      <c r="Q31" s="8" t="s">
        <v>2494</v>
      </c>
      <c r="R31" s="8" t="s">
        <v>79</v>
      </c>
      <c r="S31" s="11">
        <v>43050.919293981482</v>
      </c>
      <c r="U31" s="8" t="str">
        <f t="shared" si="19"/>
        <v xml:space="preserve">&lt;etma:1:1:49529:5&gt;  rdf:type skos:Concept ;  </v>
      </c>
      <c r="V31" s="8" t="str">
        <f t="shared" si="20"/>
        <v xml:space="preserve"> dcterms:source "https://www.mindat.org/min-49529.html" ; </v>
      </c>
      <c r="W31" s="8" t="str">
        <f t="shared" si="21"/>
        <v xml:space="preserve">skos:definition "A C chondrite that is transitional between petrologic type 3 and 4, ungrouped"@en ; </v>
      </c>
      <c r="X31" s="8" t="str">
        <f t="shared" si="25"/>
        <v xml:space="preserve"> skos:inScheme &lt;http://example.org/mindat/etmat/cscheme&gt; ;  </v>
      </c>
      <c r="Y31" s="8" t="str">
        <f t="shared" si="22"/>
        <v xml:space="preserve">skos:prefLabel "Ungrouped C3/4 chondrite meteorite"@en ; rdfs:label "Ungrouped C3/4 chondrite meteorite"@en ; </v>
      </c>
      <c r="Z31" s="8" t="str">
        <f t="shared" si="23"/>
        <v xml:space="preserve">skos:altLabel "C3/4-ung chondrite meteorite"@en ; skos:exactMatch  &lt;etma:1:1:52379:2&gt; ;  skos:notation  "C3/4-ung"@en ; </v>
      </c>
      <c r="AA31" s="8" t="str">
        <f t="shared" si="7"/>
        <v>dcterms:source "https://www.lpi.usra.edu/meteor/metbullclass.php?sea=C3/4-ung";</v>
      </c>
      <c r="AB31" s="8" t="str">
        <f>"skos:broader &lt;etma:"&amp;K31&amp;"&gt;" &amp; IF(ISBLANK(M31),"", ", &lt;etma:"&amp;M31&amp;"&gt;") &amp; " ; "</f>
        <v xml:space="preserve">skos:broader &lt;etma:1:1:49526:8&gt;, &lt;etma:1:1:49530:1&gt; ; </v>
      </c>
      <c r="AC31" s="8" t="str">
        <f t="shared" si="8"/>
        <v>dcterms:modified "2017-11-11T22:03";  .</v>
      </c>
      <c r="AD31" s="10" t="str">
        <f t="shared" si="24"/>
        <v>&lt;etma:1:1:49529:5&gt;  rdf:type skos:Concept ;     dcterms:source "https://www.mindat.org/min-49529.html" ;   skos:definition "A C chondrite that is transitional between petrologic type 3 and 4, ungrouped"@en ;    skos:inScheme &lt;http://example.org/mindat/etmat/cscheme&gt; ;    skos:prefLabel "Ungrouped C3/4 chondrite meteorite"@en ; rdfs:label "Ungrouped C3/4 chondrite meteorite"@en ;   skos:altLabel "C3/4-ung chondrite meteorite"@en ; skos:exactMatch  &lt;etma:1:1:52379:2&gt; ;  skos:notation  "C3/4-ung"@en ;   dcterms:source "https://www.lpi.usra.edu/meteor/metbullclass.php?sea=C3/4-ung";  skos:broader &lt;etma:1:1:49526:8&gt;, &lt;etma:1:1:49530:1&gt; ;   dcterms:modified "2017-11-11T22:03";  .</v>
      </c>
      <c r="AE31" s="8" t="s">
        <v>2591</v>
      </c>
    </row>
    <row r="32" spans="1:31" x14ac:dyDescent="0.25">
      <c r="A32" s="8">
        <v>14</v>
      </c>
      <c r="B32" s="8" t="s">
        <v>82</v>
      </c>
      <c r="C32" s="8">
        <v>49530</v>
      </c>
      <c r="D32" s="8" t="s">
        <v>80</v>
      </c>
      <c r="E32" s="8" t="s">
        <v>81</v>
      </c>
      <c r="F32" s="9">
        <v>7</v>
      </c>
      <c r="G32" s="9" t="s">
        <v>14</v>
      </c>
      <c r="H32" s="1" t="s">
        <v>83</v>
      </c>
      <c r="I32" s="8" t="str">
        <f t="shared" si="18"/>
        <v>https://www.mindat.org/min-49530.html</v>
      </c>
      <c r="J32" s="8">
        <v>49520</v>
      </c>
      <c r="K32" s="8" t="s">
        <v>36</v>
      </c>
      <c r="L32" s="9">
        <v>49843</v>
      </c>
      <c r="M32" s="8" t="s">
        <v>2404</v>
      </c>
      <c r="N32" s="9">
        <v>1</v>
      </c>
      <c r="O32" s="9" t="s">
        <v>2249</v>
      </c>
      <c r="R32" s="8" t="s">
        <v>84</v>
      </c>
      <c r="S32" s="11">
        <f t="shared" ref="S32:S34" ca="1" si="26">NOW()</f>
        <v>45097.373057407407</v>
      </c>
      <c r="U32" s="8" t="str">
        <f t="shared" si="19"/>
        <v xml:space="preserve">&lt;etma:1:1:49530:1&gt;  rdf:type skos:Concept ;  </v>
      </c>
      <c r="V32" s="8" t="str">
        <f t="shared" si="20"/>
        <v xml:space="preserve"> dcterms:source "https://www.mindat.org/min-49530.html" ; </v>
      </c>
      <c r="W32" s="8" t="str">
        <f t="shared" si="21"/>
        <v xml:space="preserve">skos:definition "A C chondrite that is petrologic type 4."@en ; </v>
      </c>
      <c r="X32" s="8" t="str">
        <f t="shared" ref="X32:X46" si="27">" skos:inScheme &lt;https://mindat.org/etmat/cscheme&gt; ;  "</f>
        <v xml:space="preserve"> skos:inScheme &lt;https://mindat.org/etmat/cscheme&gt; ;  </v>
      </c>
      <c r="Y32" s="8" t="str">
        <f t="shared" si="22"/>
        <v xml:space="preserve">skos:prefLabel "C4 chondrite meteorite"@en ; rdfs:label "C4 chondrite meteorite"@en ; </v>
      </c>
      <c r="Z32" s="8" t="str">
        <f t="shared" si="23"/>
        <v xml:space="preserve"> skos:notation  "C4"@en ; </v>
      </c>
      <c r="AA32" s="8" t="str">
        <f t="shared" si="7"/>
        <v>dcterms:source "https://www.lpi.usra.edu/meteor/metbullclass.php?sea=C4";</v>
      </c>
      <c r="AB32" s="8" t="str">
        <f>"skos:broader &lt;etma:"&amp;K32&amp;"&gt;" &amp; IF(ISBLANK(M32),"", ", &lt;etma:"&amp;M32&amp;"&gt;") &amp; " ; "</f>
        <v xml:space="preserve">skos:broader &lt;etma:1:1:49520:4&gt;, &lt;etma:1:1:49843:2&gt; ; </v>
      </c>
      <c r="AC32" s="8" t="str">
        <f t="shared" ca="1" si="8"/>
        <v>dcterms:modified "2023-06-20T08:57";  .</v>
      </c>
      <c r="AD32" s="10" t="str">
        <f t="shared" ca="1" si="24"/>
        <v>&lt;etma:1:1:49530:1&gt;  rdf:type skos:Concept ;     dcterms:source "https://www.mindat.org/min-49530.html" ;   skos:definition "A C chondrite that is petrologic type 4."@en ;    skos:inScheme &lt;https://mindat.org/etmat/cscheme&gt; ;    skos:prefLabel "C4 chondrite meteorite"@en ; rdfs:label "C4 chondrite meteorite"@en ;    skos:notation  "C4"@en ;   dcterms:source "https://www.lpi.usra.edu/meteor/metbullclass.php?sea=C4";  skos:broader &lt;etma:1:1:49520:4&gt;, &lt;etma:1:1:49843:2&gt; ;   dcterms:modified "2023-06-20T08:57";  .</v>
      </c>
      <c r="AE32" s="8" t="s">
        <v>2591</v>
      </c>
    </row>
    <row r="33" spans="1:31" x14ac:dyDescent="0.25">
      <c r="A33" s="8">
        <v>15</v>
      </c>
      <c r="B33" s="8" t="s">
        <v>87</v>
      </c>
      <c r="C33" s="8">
        <v>49531</v>
      </c>
      <c r="D33" s="8" t="s">
        <v>85</v>
      </c>
      <c r="E33" s="8" t="s">
        <v>86</v>
      </c>
      <c r="F33" s="9">
        <v>7</v>
      </c>
      <c r="G33" s="9" t="s">
        <v>14</v>
      </c>
      <c r="H33" s="1" t="s">
        <v>88</v>
      </c>
      <c r="I33" s="8" t="str">
        <f t="shared" si="18"/>
        <v>https://www.mindat.org/min-49531.html</v>
      </c>
      <c r="J33" s="8">
        <v>49530</v>
      </c>
      <c r="K33" s="8" t="s">
        <v>80</v>
      </c>
      <c r="N33" s="9">
        <v>0</v>
      </c>
      <c r="O33" s="9" t="s">
        <v>2249</v>
      </c>
      <c r="R33" s="8" t="s">
        <v>89</v>
      </c>
      <c r="S33" s="11">
        <f t="shared" ca="1" si="26"/>
        <v>45097.373057291668</v>
      </c>
      <c r="U33" s="8" t="str">
        <f t="shared" si="19"/>
        <v xml:space="preserve">&lt;etma:1:1:49531:0&gt;  rdf:type skos:Concept ;  </v>
      </c>
      <c r="V33" s="8" t="str">
        <f t="shared" si="20"/>
        <v xml:space="preserve"> dcterms:source "https://www.mindat.org/min-49531.html" ; </v>
      </c>
      <c r="W33" s="8" t="str">
        <f t="shared" si="21"/>
        <v xml:space="preserve">skos:definition "A C chondrite that is petrologic type 4, ungrouped."@en ; </v>
      </c>
      <c r="X33" s="8" t="str">
        <f t="shared" si="27"/>
        <v xml:space="preserve"> skos:inScheme &lt;https://mindat.org/etmat/cscheme&gt; ;  </v>
      </c>
      <c r="Y33" s="8" t="str">
        <f t="shared" si="22"/>
        <v xml:space="preserve">skos:prefLabel "C4-ung chondrite meteorite"@en ; rdfs:label "C4-ung chondrite meteorite"@en ; </v>
      </c>
      <c r="Z33" s="8" t="str">
        <f t="shared" si="23"/>
        <v xml:space="preserve"> skos:notation  "C4-ung"@en ; </v>
      </c>
      <c r="AA33" s="8" t="str">
        <f t="shared" si="7"/>
        <v>dcterms:source "https://www.lpi.usra.edu/meteor/metbullclass.php?sea=C4-ung";</v>
      </c>
      <c r="AB33" s="8" t="str">
        <f>"skos:broader &lt;etma:"&amp;K33&amp;"&gt;" &amp; IF(ISBLANK(M33),"", ", &lt;etma:"&amp;M33&amp;"&gt;") &amp; " ; "</f>
        <v xml:space="preserve">skos:broader &lt;etma:1:1:49530:1&gt; ; </v>
      </c>
      <c r="AC33" s="8" t="str">
        <f t="shared" ca="1" si="8"/>
        <v>dcterms:modified "2023-06-20T08:57";  .</v>
      </c>
      <c r="AD33" s="10" t="str">
        <f t="shared" ca="1" si="24"/>
        <v>&lt;etma:1:1:49531:0&gt;  rdf:type skos:Concept ;     dcterms:source "https://www.mindat.org/min-49531.html" ;   skos:definition "A C chondrite that is petrologic type 4, ungrouped."@en ;    skos:inScheme &lt;https://mindat.org/etmat/cscheme&gt; ;    skos:prefLabel "C4-ung chondrite meteorite"@en ; rdfs:label "C4-ung chondrite meteorite"@en ;    skos:notation  "C4-ung"@en ;   dcterms:source "https://www.lpi.usra.edu/meteor/metbullclass.php?sea=C4-ung";  skos:broader &lt;etma:1:1:49530:1&gt; ;   dcterms:modified "2023-06-20T08:57";  .</v>
      </c>
      <c r="AE33" s="8" t="s">
        <v>2591</v>
      </c>
    </row>
    <row r="34" spans="1:31" x14ac:dyDescent="0.25">
      <c r="A34" s="8">
        <v>16</v>
      </c>
      <c r="B34" s="8" t="s">
        <v>92</v>
      </c>
      <c r="C34" s="8">
        <v>49532</v>
      </c>
      <c r="D34" s="8" t="s">
        <v>90</v>
      </c>
      <c r="E34" s="8" t="s">
        <v>91</v>
      </c>
      <c r="F34" s="9">
        <v>7</v>
      </c>
      <c r="G34" s="9" t="s">
        <v>14</v>
      </c>
      <c r="H34" s="1" t="s">
        <v>93</v>
      </c>
      <c r="I34" s="8" t="str">
        <f t="shared" si="18"/>
        <v>https://www.mindat.org/min-49532.html</v>
      </c>
      <c r="J34" s="8">
        <v>49530</v>
      </c>
      <c r="K34" s="8" t="s">
        <v>80</v>
      </c>
      <c r="L34" s="9">
        <v>49533</v>
      </c>
      <c r="M34" s="8" t="s">
        <v>2275</v>
      </c>
      <c r="N34" s="9">
        <v>0</v>
      </c>
      <c r="O34" s="9" t="s">
        <v>2249</v>
      </c>
      <c r="R34" s="8" t="s">
        <v>94</v>
      </c>
      <c r="S34" s="11">
        <f t="shared" ca="1" si="26"/>
        <v>45097.373057291668</v>
      </c>
      <c r="U34" s="8" t="str">
        <f t="shared" si="19"/>
        <v xml:space="preserve">&lt;etma:1:1:49532:9&gt;  rdf:type skos:Concept ;  </v>
      </c>
      <c r="V34" s="8" t="str">
        <f t="shared" si="20"/>
        <v xml:space="preserve"> dcterms:source "https://www.mindat.org/min-49532.html" ; </v>
      </c>
      <c r="W34" s="8" t="str">
        <f t="shared" si="21"/>
        <v xml:space="preserve">skos:definition "A C chondrite that is transitional between petrologic type 4 and 5."@en ; </v>
      </c>
      <c r="X34" s="8" t="str">
        <f t="shared" si="27"/>
        <v xml:space="preserve"> skos:inScheme &lt;https://mindat.org/etmat/cscheme&gt; ;  </v>
      </c>
      <c r="Y34" s="8" t="str">
        <f t="shared" si="22"/>
        <v xml:space="preserve">skos:prefLabel "C4/5 chondrite meteorite"@en ; rdfs:label "C4/5 chondrite meteorite"@en ; </v>
      </c>
      <c r="Z34" s="8" t="str">
        <f t="shared" si="23"/>
        <v xml:space="preserve"> skos:notation  "C4/5"@en ; </v>
      </c>
      <c r="AA34" s="8" t="str">
        <f t="shared" si="7"/>
        <v>dcterms:source "https://www.lpi.usra.edu/meteor/metbullclass.php?sea=C4/5";</v>
      </c>
      <c r="AB34" s="8" t="str">
        <f>"skos:broader &lt;etma:"&amp;K34&amp;"&gt;" &amp; IF(ISBLANK(M34),"", ", &lt;etma:"&amp;M34&amp;"&gt;") &amp; " ; "</f>
        <v xml:space="preserve">skos:broader &lt;etma:1:1:49530:1&gt;, &lt;etma:1:1:49533:8&gt; ; </v>
      </c>
      <c r="AC34" s="8" t="str">
        <f t="shared" ca="1" si="8"/>
        <v>dcterms:modified "2023-06-20T08:57";  .</v>
      </c>
      <c r="AD34" s="10" t="str">
        <f t="shared" ca="1" si="24"/>
        <v>&lt;etma:1:1:49532:9&gt;  rdf:type skos:Concept ;     dcterms:source "https://www.mindat.org/min-49532.html" ;   skos:definition "A C chondrite that is transitional between petrologic type 4 and 5."@en ;    skos:inScheme &lt;https://mindat.org/etmat/cscheme&gt; ;    skos:prefLabel "C4/5 chondrite meteorite"@en ; rdfs:label "C4/5 chondrite meteorite"@en ;    skos:notation  "C4/5"@en ;   dcterms:source "https://www.lpi.usra.edu/meteor/metbullclass.php?sea=C4/5";  skos:broader &lt;etma:1:1:49530:1&gt;, &lt;etma:1:1:49533:8&gt; ;   dcterms:modified "2023-06-20T08:57";  .</v>
      </c>
      <c r="AE34" s="8" t="s">
        <v>2591</v>
      </c>
    </row>
    <row r="35" spans="1:31" hidden="1" x14ac:dyDescent="0.25">
      <c r="A35" s="8">
        <v>191</v>
      </c>
      <c r="B35" s="8" t="s">
        <v>2274</v>
      </c>
      <c r="C35" s="8">
        <v>49533</v>
      </c>
      <c r="D35" s="8" t="s">
        <v>2275</v>
      </c>
      <c r="E35" s="8" t="s">
        <v>2276</v>
      </c>
      <c r="F35" s="9">
        <v>7</v>
      </c>
      <c r="G35" s="9" t="s">
        <v>14</v>
      </c>
      <c r="H35" s="1" t="s">
        <v>2277</v>
      </c>
      <c r="I35" s="8" t="str">
        <f t="shared" si="18"/>
        <v>https://www.mindat.org/min-49533.html</v>
      </c>
      <c r="J35" s="8">
        <v>49520</v>
      </c>
      <c r="K35" s="8" t="s">
        <v>36</v>
      </c>
      <c r="L35" s="9">
        <v>49844</v>
      </c>
      <c r="M35" s="8" t="s">
        <v>2278</v>
      </c>
      <c r="N35" s="9">
        <v>1</v>
      </c>
      <c r="S35" s="11">
        <v>43039.472766203704</v>
      </c>
      <c r="U35" s="8" t="str">
        <f t="shared" si="19"/>
        <v xml:space="preserve">&lt;etma:1:1:49533:8&gt;  rdf:type skos:Concept ;  </v>
      </c>
      <c r="V35" s="8" t="str">
        <f t="shared" si="20"/>
        <v xml:space="preserve"> dcterms:source "https://www.mindat.org/min-49533.html" ; </v>
      </c>
      <c r="W35" s="8" t="str">
        <f t="shared" si="21"/>
        <v xml:space="preserve">skos:definition "A C chondrite that is petrologic type 5."@en ; </v>
      </c>
      <c r="X35" s="8" t="str">
        <f t="shared" si="27"/>
        <v xml:space="preserve"> skos:inScheme &lt;https://mindat.org/etmat/cscheme&gt; ;  </v>
      </c>
      <c r="Y35" s="8" t="str">
        <f t="shared" si="22"/>
        <v xml:space="preserve">skos:prefLabel "C5 chondrite meteorite"@en ; rdfs:label "C5 chondrite meteorite"@en ; </v>
      </c>
      <c r="Z35" s="8" t="str">
        <f t="shared" si="23"/>
        <v/>
      </c>
      <c r="AA35" s="8" t="str">
        <f t="shared" si="7"/>
        <v/>
      </c>
      <c r="AB35" s="8" t="str">
        <f>"skos:broader &lt;etma:"&amp;K35&amp;"&gt;" &amp; IF(ISBLANK(M35),"", ", &lt;etma:"&amp;M35&amp;"&gt;") &amp; " ; "</f>
        <v xml:space="preserve">skos:broader &lt;etma:1:1:49520:4&gt;, &lt;etma:1:1:49844:1&gt; ; </v>
      </c>
      <c r="AC35" s="8" t="str">
        <f t="shared" si="8"/>
        <v>dcterms:modified "2017-10-31T11:20";  .</v>
      </c>
      <c r="AD35" s="10" t="str">
        <f t="shared" si="24"/>
        <v>&lt;etma:1:1:49533:8&gt;  rdf:type skos:Concept ;     dcterms:source "https://www.mindat.org/min-49533.html" ;   skos:definition "A C chondrite that is petrologic type 5."@en ;    skos:inScheme &lt;https://mindat.org/etmat/cscheme&gt; ;    skos:prefLabel "C5 chondrite meteorite"@en ; rdfs:label "C5 chondrite meteorite"@en ;   skos:broader &lt;etma:1:1:49520:4&gt;, &lt;etma:1:1:49844:1&gt; ;   dcterms:modified "2017-10-31T11:20";  .</v>
      </c>
      <c r="AE35" s="8" t="s">
        <v>2591</v>
      </c>
    </row>
    <row r="36" spans="1:31" x14ac:dyDescent="0.25">
      <c r="A36" s="8">
        <v>17</v>
      </c>
      <c r="B36" s="8" t="s">
        <v>97</v>
      </c>
      <c r="C36" s="8">
        <v>49534</v>
      </c>
      <c r="D36" s="8" t="s">
        <v>95</v>
      </c>
      <c r="E36" s="8" t="s">
        <v>96</v>
      </c>
      <c r="F36" s="9">
        <v>7</v>
      </c>
      <c r="G36" s="9" t="s">
        <v>14</v>
      </c>
      <c r="H36" s="1" t="s">
        <v>98</v>
      </c>
      <c r="I36" s="8" t="str">
        <f t="shared" si="18"/>
        <v>https://www.mindat.org/min-49534.html</v>
      </c>
      <c r="J36" s="8">
        <v>49533</v>
      </c>
      <c r="K36" s="8" t="s">
        <v>2275</v>
      </c>
      <c r="L36" s="9">
        <v>49535</v>
      </c>
      <c r="M36" s="8" t="s">
        <v>100</v>
      </c>
      <c r="N36" s="9">
        <v>0</v>
      </c>
      <c r="O36" s="9" t="s">
        <v>2249</v>
      </c>
      <c r="R36" s="8" t="s">
        <v>99</v>
      </c>
      <c r="S36" s="11">
        <f t="shared" ref="S36:S46" ca="1" si="28">NOW()</f>
        <v>45097.373057291668</v>
      </c>
      <c r="U36" s="8" t="str">
        <f t="shared" si="19"/>
        <v xml:space="preserve">&lt;etma:1:1:49534:7&gt;  rdf:type skos:Concept ;  </v>
      </c>
      <c r="V36" s="8" t="str">
        <f t="shared" si="20"/>
        <v xml:space="preserve"> dcterms:source "https://www.mindat.org/min-49534.html" ; </v>
      </c>
      <c r="W36" s="8" t="str">
        <f t="shared" si="21"/>
        <v xml:space="preserve">skos:definition "A C chondrite that is transitional between petrologic type 5 and 6, ungrouped"@en ; </v>
      </c>
      <c r="X36" s="8" t="str">
        <f t="shared" si="27"/>
        <v xml:space="preserve"> skos:inScheme &lt;https://mindat.org/etmat/cscheme&gt; ;  </v>
      </c>
      <c r="Y36" s="8" t="str">
        <f t="shared" si="22"/>
        <v xml:space="preserve">skos:prefLabel "C5/6-ung chondrite meteorite"@en ; rdfs:label "C5/6-ung chondrite meteorite"@en ; </v>
      </c>
      <c r="Z36" s="8" t="str">
        <f t="shared" si="23"/>
        <v xml:space="preserve"> skos:notation  "C5/6-ung"@en ; </v>
      </c>
      <c r="AA36" s="8" t="str">
        <f t="shared" si="7"/>
        <v>dcterms:source "https://www.lpi.usra.edu/meteor/metbullclass.php?sea=C5/6-ung";</v>
      </c>
      <c r="AB36" s="8" t="str">
        <f>"skos:broader &lt;etma:"&amp;K36&amp;"&gt;" &amp; IF(ISBLANK(M36),"", ", &lt;etma:"&amp;M36&amp;"&gt;") &amp; " ; "</f>
        <v xml:space="preserve">skos:broader &lt;etma:1:1:49533:8&gt;, &lt;etma:1:1:49535:6&gt; ; </v>
      </c>
      <c r="AC36" s="8" t="str">
        <f t="shared" ca="1" si="8"/>
        <v>dcterms:modified "2023-06-20T08:57";  .</v>
      </c>
      <c r="AD36" s="10" t="str">
        <f t="shared" ca="1" si="24"/>
        <v>&lt;etma:1:1:49534:7&gt;  rdf:type skos:Concept ;     dcterms:source "https://www.mindat.org/min-49534.html" ;   skos:definition "A C chondrite that is transitional between petrologic type 5 and 6, ungrouped"@en ;    skos:inScheme &lt;https://mindat.org/etmat/cscheme&gt; ;    skos:prefLabel "C5/6-ung chondrite meteorite"@en ; rdfs:label "C5/6-ung chondrite meteorite"@en ;    skos:notation  "C5/6-ung"@en ;   dcterms:source "https://www.lpi.usra.edu/meteor/metbullclass.php?sea=C5/6-ung";  skos:broader &lt;etma:1:1:49533:8&gt;, &lt;etma:1:1:49535:6&gt; ;   dcterms:modified "2023-06-20T08:57";  .</v>
      </c>
      <c r="AE36" s="8" t="s">
        <v>2591</v>
      </c>
    </row>
    <row r="37" spans="1:31" x14ac:dyDescent="0.25">
      <c r="A37" s="8">
        <v>18</v>
      </c>
      <c r="B37" s="8" t="s">
        <v>102</v>
      </c>
      <c r="C37" s="8">
        <v>49535</v>
      </c>
      <c r="D37" s="8" t="s">
        <v>100</v>
      </c>
      <c r="E37" s="8" t="s">
        <v>101</v>
      </c>
      <c r="F37" s="9">
        <v>7</v>
      </c>
      <c r="G37" s="9" t="s">
        <v>14</v>
      </c>
      <c r="H37" s="1" t="s">
        <v>103</v>
      </c>
      <c r="I37" s="8" t="str">
        <f t="shared" si="18"/>
        <v>https://www.mindat.org/min-49535.html</v>
      </c>
      <c r="J37" s="8">
        <v>49520</v>
      </c>
      <c r="K37" s="8" t="s">
        <v>36</v>
      </c>
      <c r="L37" s="9">
        <v>49845</v>
      </c>
      <c r="M37" s="8" t="s">
        <v>2411</v>
      </c>
      <c r="N37" s="9">
        <v>1</v>
      </c>
      <c r="O37" s="9" t="s">
        <v>2249</v>
      </c>
      <c r="R37" s="8" t="s">
        <v>104</v>
      </c>
      <c r="S37" s="11">
        <f t="shared" ca="1" si="28"/>
        <v>45097.373057291668</v>
      </c>
      <c r="U37" s="8" t="str">
        <f t="shared" si="19"/>
        <v xml:space="preserve">&lt;etma:1:1:49535:6&gt;  rdf:type skos:Concept ;  </v>
      </c>
      <c r="V37" s="8" t="str">
        <f t="shared" si="20"/>
        <v xml:space="preserve"> dcterms:source "https://www.mindat.org/min-49535.html" ; </v>
      </c>
      <c r="W37" s="8" t="str">
        <f t="shared" si="21"/>
        <v xml:space="preserve">skos:definition "A C chondrite that is petrologic type 6."@en ; </v>
      </c>
      <c r="X37" s="8" t="str">
        <f t="shared" si="27"/>
        <v xml:space="preserve"> skos:inScheme &lt;https://mindat.org/etmat/cscheme&gt; ;  </v>
      </c>
      <c r="Y37" s="8" t="str">
        <f t="shared" si="22"/>
        <v xml:space="preserve">skos:prefLabel "C6 chondrite meteorite"@en ; rdfs:label "C6 chondrite meteorite"@en ; </v>
      </c>
      <c r="Z37" s="8" t="str">
        <f t="shared" si="23"/>
        <v xml:space="preserve"> skos:notation  "C6"@en ; </v>
      </c>
      <c r="AA37" s="8" t="str">
        <f t="shared" si="7"/>
        <v>dcterms:source "https://www.lpi.usra.edu/meteor/metbullclass.php?sea=C6";</v>
      </c>
      <c r="AB37" s="8" t="str">
        <f>"skos:broader &lt;etma:"&amp;K37&amp;"&gt;" &amp; IF(ISBLANK(M37),"", ", &lt;etma:"&amp;M37&amp;"&gt;") &amp; " ; "</f>
        <v xml:space="preserve">skos:broader &lt;etma:1:1:49520:4&gt;, &lt;etma:1:1:49845:0&gt; ; </v>
      </c>
      <c r="AC37" s="8" t="str">
        <f t="shared" ca="1" si="8"/>
        <v>dcterms:modified "2023-06-20T08:57";  .</v>
      </c>
      <c r="AD37" s="10" t="str">
        <f t="shared" ca="1" si="24"/>
        <v>&lt;etma:1:1:49535:6&gt;  rdf:type skos:Concept ;     dcterms:source "https://www.mindat.org/min-49535.html" ;   skos:definition "A C chondrite that is petrologic type 6."@en ;    skos:inScheme &lt;https://mindat.org/etmat/cscheme&gt; ;    skos:prefLabel "C6 chondrite meteorite"@en ; rdfs:label "C6 chondrite meteorite"@en ;    skos:notation  "C6"@en ;   dcterms:source "https://www.lpi.usra.edu/meteor/metbullclass.php?sea=C6";  skos:broader &lt;etma:1:1:49520:4&gt;, &lt;etma:1:1:49845:0&gt; ;   dcterms:modified "2023-06-20T08:57";  .</v>
      </c>
      <c r="AE37" s="8" t="s">
        <v>2591</v>
      </c>
    </row>
    <row r="38" spans="1:31" x14ac:dyDescent="0.25">
      <c r="A38" s="8">
        <v>19</v>
      </c>
      <c r="B38" s="8" t="s">
        <v>107</v>
      </c>
      <c r="C38" s="8">
        <v>49536</v>
      </c>
      <c r="D38" s="8" t="s">
        <v>105</v>
      </c>
      <c r="E38" s="8" t="s">
        <v>106</v>
      </c>
      <c r="F38" s="9">
        <v>7</v>
      </c>
      <c r="G38" s="9" t="s">
        <v>14</v>
      </c>
      <c r="H38" s="1" t="s">
        <v>108</v>
      </c>
      <c r="I38" s="8" t="str">
        <f t="shared" si="18"/>
        <v>https://www.mindat.org/min-49536.html</v>
      </c>
      <c r="J38" s="8">
        <v>49519</v>
      </c>
      <c r="K38" s="8" t="s">
        <v>31</v>
      </c>
      <c r="N38" s="9">
        <v>1</v>
      </c>
      <c r="O38" s="9" t="s">
        <v>2249</v>
      </c>
      <c r="R38" s="8" t="s">
        <v>109</v>
      </c>
      <c r="S38" s="11">
        <f t="shared" ca="1" si="28"/>
        <v>45097.373057291668</v>
      </c>
      <c r="U38" s="8" t="str">
        <f t="shared" si="19"/>
        <v xml:space="preserve">&lt;etma:1:1:49536:5&gt;  rdf:type skos:Concept ;  </v>
      </c>
      <c r="V38" s="8" t="str">
        <f t="shared" si="20"/>
        <v xml:space="preserve"> dcterms:source "https://www.mindat.org/min-49536.html" ; </v>
      </c>
      <c r="W38" s="8" t="str">
        <f t="shared" si="21"/>
        <v xml:space="preserve">skos:definition "Bencubbn class carbonaceous chondrite. With metal and pyroxene. Ongoing research suggests this is the product of asteroidal collisions."@en ; </v>
      </c>
      <c r="X38" s="8" t="str">
        <f t="shared" si="27"/>
        <v xml:space="preserve"> skos:inScheme &lt;https://mindat.org/etmat/cscheme&gt; ;  </v>
      </c>
      <c r="Y38" s="8" t="str">
        <f t="shared" si="22"/>
        <v xml:space="preserve">skos:prefLabel "CB chondrite meteorite"@en ; rdfs:label "CB chondrite meteorite"@en ; </v>
      </c>
      <c r="Z38" s="8" t="str">
        <f t="shared" si="23"/>
        <v xml:space="preserve"> skos:notation  "CB"@en ; </v>
      </c>
      <c r="AA38" s="8" t="str">
        <f t="shared" si="7"/>
        <v>dcterms:source "https://www.lpi.usra.edu/meteor/metbullclass.php?sea=CB";</v>
      </c>
      <c r="AB38" s="8" t="str">
        <f>"skos:broader &lt;etma:"&amp;K38&amp;"&gt;" &amp; IF(ISBLANK(M38),"", ", &lt;etma:"&amp;M38&amp;"&gt;") &amp; " ; "</f>
        <v xml:space="preserve">skos:broader &lt;etma:1:1:49519:8&gt; ; </v>
      </c>
      <c r="AC38" s="8" t="str">
        <f t="shared" ca="1" si="8"/>
        <v>dcterms:modified "2023-06-20T08:57";  .</v>
      </c>
      <c r="AD38" s="10" t="str">
        <f t="shared" ca="1" si="24"/>
        <v>&lt;etma:1:1:49536:5&gt;  rdf:type skos:Concept ;     dcterms:source "https://www.mindat.org/min-49536.html" ;   skos:definition "Bencubbn class carbonaceous chondrite. With metal and pyroxene. Ongoing research suggests this is the product of asteroidal collisions."@en ;    skos:inScheme &lt;https://mindat.org/etmat/cscheme&gt; ;    skos:prefLabel "CB chondrite meteorite"@en ; rdfs:label "CB chondrite meteorite"@en ;    skos:notation  "CB"@en ;   dcterms:source "https://www.lpi.usra.edu/meteor/metbullclass.php?sea=CB";  skos:broader &lt;etma:1:1:49519:8&gt; ;   dcterms:modified "2023-06-20T08:57";  .</v>
      </c>
      <c r="AE38" s="8" t="s">
        <v>2591</v>
      </c>
    </row>
    <row r="39" spans="1:31" x14ac:dyDescent="0.25">
      <c r="A39" s="8">
        <v>20</v>
      </c>
      <c r="B39" s="8" t="s">
        <v>112</v>
      </c>
      <c r="C39" s="8">
        <v>49537</v>
      </c>
      <c r="D39" s="8" t="s">
        <v>110</v>
      </c>
      <c r="E39" s="8" t="s">
        <v>111</v>
      </c>
      <c r="F39" s="9">
        <v>7</v>
      </c>
      <c r="G39" s="9" t="s">
        <v>14</v>
      </c>
      <c r="H39" s="1" t="s">
        <v>113</v>
      </c>
      <c r="I39" s="8" t="str">
        <f t="shared" si="18"/>
        <v>https://www.mindat.org/min-49537.html</v>
      </c>
      <c r="J39" s="8">
        <v>49536</v>
      </c>
      <c r="K39" s="8" t="s">
        <v>105</v>
      </c>
      <c r="N39" s="9">
        <v>1</v>
      </c>
      <c r="O39" s="9" t="s">
        <v>2249</v>
      </c>
      <c r="R39" s="8" t="s">
        <v>114</v>
      </c>
      <c r="S39" s="11">
        <f t="shared" ca="1" si="28"/>
        <v>45097.373057407407</v>
      </c>
      <c r="U39" s="8" t="str">
        <f t="shared" si="19"/>
        <v xml:space="preserve">&lt;etma:1:1:49537:4&gt;  rdf:type skos:Concept ;  </v>
      </c>
      <c r="V39" s="8" t="str">
        <f t="shared" si="20"/>
        <v xml:space="preserve"> dcterms:source "https://www.mindat.org/min-49537.html" ; </v>
      </c>
      <c r="W39" s="8" t="str">
        <f t="shared" si="21"/>
        <v xml:space="preserve">skos:definition "A CB chondrite of subtype a (contains large chondrule-like objects)."@en ; </v>
      </c>
      <c r="X39" s="8" t="str">
        <f t="shared" si="27"/>
        <v xml:space="preserve"> skos:inScheme &lt;https://mindat.org/etmat/cscheme&gt; ;  </v>
      </c>
      <c r="Y39" s="8" t="str">
        <f t="shared" si="22"/>
        <v xml:space="preserve">skos:prefLabel "CBa chondrite meteorite"@en ; rdfs:label "CBa chondrite meteorite"@en ; </v>
      </c>
      <c r="Z39" s="8" t="str">
        <f t="shared" si="23"/>
        <v xml:space="preserve"> skos:notation  "CBa"@en ; </v>
      </c>
      <c r="AA39" s="8" t="str">
        <f t="shared" si="7"/>
        <v>dcterms:source "https://www.lpi.usra.edu/meteor/metbullclass.php?sea=CBa";</v>
      </c>
      <c r="AB39" s="8" t="str">
        <f>"skos:broader &lt;etma:"&amp;K39&amp;"&gt;" &amp; IF(ISBLANK(M39),"", ", &lt;etma:"&amp;M39&amp;"&gt;") &amp; " ; "</f>
        <v xml:space="preserve">skos:broader &lt;etma:1:1:49536:5&gt; ; </v>
      </c>
      <c r="AC39" s="8" t="str">
        <f t="shared" ca="1" si="8"/>
        <v>dcterms:modified "2023-06-20T08:57";  .</v>
      </c>
      <c r="AD39" s="10" t="str">
        <f t="shared" ca="1" si="24"/>
        <v>&lt;etma:1:1:49537:4&gt;  rdf:type skos:Concept ;     dcterms:source "https://www.mindat.org/min-49537.html" ;   skos:definition "A CB chondrite of subtype a (contains large chondrule-like objects)."@en ;    skos:inScheme &lt;https://mindat.org/etmat/cscheme&gt; ;    skos:prefLabel "CBa chondrite meteorite"@en ; rdfs:label "CBa chondrite meteorite"@en ;    skos:notation  "CBa"@en ;   dcterms:source "https://www.lpi.usra.edu/meteor/metbullclass.php?sea=CBa";  skos:broader &lt;etma:1:1:49536:5&gt; ;   dcterms:modified "2023-06-20T08:57";  .</v>
      </c>
      <c r="AE39" s="8" t="s">
        <v>2591</v>
      </c>
    </row>
    <row r="40" spans="1:31" x14ac:dyDescent="0.25">
      <c r="A40" s="8">
        <v>21</v>
      </c>
      <c r="B40" s="8" t="s">
        <v>117</v>
      </c>
      <c r="C40" s="8">
        <v>49538</v>
      </c>
      <c r="D40" s="8" t="s">
        <v>115</v>
      </c>
      <c r="E40" s="8" t="s">
        <v>116</v>
      </c>
      <c r="F40" s="9">
        <v>7</v>
      </c>
      <c r="G40" s="9" t="s">
        <v>14</v>
      </c>
      <c r="H40" s="1" t="s">
        <v>118</v>
      </c>
      <c r="I40" s="8" t="str">
        <f t="shared" si="18"/>
        <v>https://www.mindat.org/min-49538.html</v>
      </c>
      <c r="J40" s="8">
        <v>49536</v>
      </c>
      <c r="K40" s="8" t="s">
        <v>105</v>
      </c>
      <c r="N40" s="9">
        <v>1</v>
      </c>
      <c r="O40" s="9" t="s">
        <v>2249</v>
      </c>
      <c r="R40" s="8" t="s">
        <v>119</v>
      </c>
      <c r="S40" s="11">
        <f t="shared" ca="1" si="28"/>
        <v>45097.373057291668</v>
      </c>
      <c r="U40" s="8" t="str">
        <f t="shared" si="19"/>
        <v xml:space="preserve">&lt;etma:1:1:49538:3&gt;  rdf:type skos:Concept ;  </v>
      </c>
      <c r="V40" s="8" t="str">
        <f t="shared" si="20"/>
        <v xml:space="preserve"> dcterms:source "https://www.mindat.org/min-49538.html" ; </v>
      </c>
      <c r="W40" s="8" t="str">
        <f t="shared" si="21"/>
        <v xml:space="preserve">skos:definition "A CB chondrite of subtype b (contains small chondrules)."@en ; </v>
      </c>
      <c r="X40" s="8" t="str">
        <f t="shared" si="27"/>
        <v xml:space="preserve"> skos:inScheme &lt;https://mindat.org/etmat/cscheme&gt; ;  </v>
      </c>
      <c r="Y40" s="8" t="str">
        <f t="shared" si="22"/>
        <v xml:space="preserve">skos:prefLabel "CBb chondrite meteorite"@en ; rdfs:label "CBb chondrite meteorite"@en ; </v>
      </c>
      <c r="Z40" s="8" t="str">
        <f t="shared" si="23"/>
        <v xml:space="preserve"> skos:notation  "CBb"@en ; </v>
      </c>
      <c r="AA40" s="8" t="str">
        <f t="shared" si="7"/>
        <v>dcterms:source "https://www.lpi.usra.edu/meteor/metbullclass.php?sea=CBb";</v>
      </c>
      <c r="AB40" s="8" t="str">
        <f>"skos:broader &lt;etma:"&amp;K40&amp;"&gt;" &amp; IF(ISBLANK(M40),"", ", &lt;etma:"&amp;M40&amp;"&gt;") &amp; " ; "</f>
        <v xml:space="preserve">skos:broader &lt;etma:1:1:49536:5&gt; ; </v>
      </c>
      <c r="AC40" s="8" t="str">
        <f t="shared" ca="1" si="8"/>
        <v>dcterms:modified "2023-06-20T08:57";  .</v>
      </c>
      <c r="AD40" s="10" t="str">
        <f t="shared" ca="1" si="24"/>
        <v>&lt;etma:1:1:49538:3&gt;  rdf:type skos:Concept ;     dcterms:source "https://www.mindat.org/min-49538.html" ;   skos:definition "A CB chondrite of subtype b (contains small chondrules)."@en ;    skos:inScheme &lt;https://mindat.org/etmat/cscheme&gt; ;    skos:prefLabel "CBb chondrite meteorite"@en ; rdfs:label "CBb chondrite meteorite"@en ;    skos:notation  "CBb"@en ;   dcterms:source "https://www.lpi.usra.edu/meteor/metbullclass.php?sea=CBb";  skos:broader &lt;etma:1:1:49536:5&gt; ;   dcterms:modified "2023-06-20T08:57";  .</v>
      </c>
      <c r="AE40" s="8" t="s">
        <v>2591</v>
      </c>
    </row>
    <row r="41" spans="1:31" hidden="1" x14ac:dyDescent="0.25">
      <c r="A41" s="8">
        <v>103</v>
      </c>
      <c r="B41" s="8" t="s">
        <v>2283</v>
      </c>
      <c r="C41" s="8">
        <v>49539</v>
      </c>
      <c r="D41" s="8" t="s">
        <v>2284</v>
      </c>
      <c r="E41" s="8" t="s">
        <v>2285</v>
      </c>
      <c r="F41" s="9">
        <v>7</v>
      </c>
      <c r="G41" s="9" t="s">
        <v>14</v>
      </c>
      <c r="H41" s="1" t="s">
        <v>2286</v>
      </c>
      <c r="I41" s="8" t="str">
        <f t="shared" si="18"/>
        <v>https://www.mindat.org/min-49539.html</v>
      </c>
      <c r="J41" s="8">
        <v>49519</v>
      </c>
      <c r="K41" s="8" t="s">
        <v>31</v>
      </c>
      <c r="N41" s="9">
        <v>1</v>
      </c>
      <c r="S41" s="11">
        <f t="shared" ca="1" si="28"/>
        <v>45097.373057407407</v>
      </c>
      <c r="U41" s="8" t="str">
        <f t="shared" si="19"/>
        <v xml:space="preserve">&lt;etma:1:1:49539:2&gt;  rdf:type skos:Concept ;  </v>
      </c>
      <c r="V41" s="8" t="str">
        <f t="shared" si="20"/>
        <v xml:space="preserve"> dcterms:source "https://www.mindat.org/min-49539.html" ; </v>
      </c>
      <c r="W41" s="8" t="str">
        <f t="shared" si="21"/>
        <v xml:space="preserve">skos:definition "High-iron carbonaceous chondrite. Contains pyroxene, metal and olivine. May be related to CB chondrite."@en ; </v>
      </c>
      <c r="X41" s="8" t="str">
        <f t="shared" si="27"/>
        <v xml:space="preserve"> skos:inScheme &lt;https://mindat.org/etmat/cscheme&gt; ;  </v>
      </c>
      <c r="Y41" s="8" t="str">
        <f t="shared" si="22"/>
        <v xml:space="preserve">skos:prefLabel "CH chondrite meteorite"@en ; rdfs:label "CH chondrite meteorite"@en ; </v>
      </c>
      <c r="Z41" s="8" t="str">
        <f t="shared" si="23"/>
        <v/>
      </c>
      <c r="AA41" s="8" t="str">
        <f t="shared" si="7"/>
        <v/>
      </c>
      <c r="AB41" s="8" t="str">
        <f>"skos:broader &lt;etma:"&amp;K41&amp;"&gt;" &amp; IF(ISBLANK(M41),"", ", &lt;etma:"&amp;M41&amp;"&gt;") &amp; " ; "</f>
        <v xml:space="preserve">skos:broader &lt;etma:1:1:49519:8&gt; ; </v>
      </c>
      <c r="AC41" s="8" t="str">
        <f t="shared" ca="1" si="8"/>
        <v>dcterms:modified "2023-06-20T08:57";  .</v>
      </c>
      <c r="AD41" s="10" t="str">
        <f t="shared" ca="1" si="24"/>
        <v>&lt;etma:1:1:49539:2&gt;  rdf:type skos:Concept ;     dcterms:source "https://www.mindat.org/min-49539.html" ;   skos:definition "High-iron carbonaceous chondrite. Contains pyroxene, metal and olivine. May be related to CB chondrite."@en ;    skos:inScheme &lt;https://mindat.org/etmat/cscheme&gt; ;    skos:prefLabel "CH chondrite meteorite"@en ; rdfs:label "CH chondrite meteorite"@en ;   skos:broader &lt;etma:1:1:49519:8&gt; ;   dcterms:modified "2023-06-20T08:57";  .</v>
      </c>
      <c r="AE41" s="8" t="s">
        <v>2591</v>
      </c>
    </row>
    <row r="42" spans="1:31" x14ac:dyDescent="0.25">
      <c r="A42" s="8">
        <v>22</v>
      </c>
      <c r="B42" s="8" t="s">
        <v>122</v>
      </c>
      <c r="C42" s="8">
        <v>49540</v>
      </c>
      <c r="D42" s="8" t="s">
        <v>120</v>
      </c>
      <c r="E42" s="8" t="s">
        <v>121</v>
      </c>
      <c r="F42" s="9">
        <v>7</v>
      </c>
      <c r="G42" s="9" t="s">
        <v>14</v>
      </c>
      <c r="H42" s="1" t="s">
        <v>123</v>
      </c>
      <c r="I42" s="8" t="str">
        <f t="shared" si="18"/>
        <v>https://www.mindat.org/min-49540.html</v>
      </c>
      <c r="J42" s="8">
        <v>49539</v>
      </c>
      <c r="K42" s="8" t="s">
        <v>2284</v>
      </c>
      <c r="L42" s="9">
        <v>49842</v>
      </c>
      <c r="M42" s="8" t="s">
        <v>2400</v>
      </c>
      <c r="N42" s="9">
        <v>1</v>
      </c>
      <c r="O42" s="9" t="s">
        <v>2249</v>
      </c>
      <c r="R42" s="8" t="s">
        <v>124</v>
      </c>
      <c r="S42" s="11">
        <f t="shared" ca="1" si="28"/>
        <v>45097.373057291668</v>
      </c>
      <c r="U42" s="8" t="str">
        <f t="shared" si="19"/>
        <v xml:space="preserve">&lt;etma:1:1:49540:8&gt;  rdf:type skos:Concept ;  </v>
      </c>
      <c r="V42" s="8" t="str">
        <f t="shared" si="20"/>
        <v xml:space="preserve"> dcterms:source "https://www.mindat.org/min-49540.html" ; </v>
      </c>
      <c r="W42" s="8" t="str">
        <f t="shared" si="21"/>
        <v xml:space="preserve">skos:definition "A CH chondrite that is of petrologic type 3."@en ; </v>
      </c>
      <c r="X42" s="8" t="str">
        <f t="shared" si="27"/>
        <v xml:space="preserve"> skos:inScheme &lt;https://mindat.org/etmat/cscheme&gt; ;  </v>
      </c>
      <c r="Y42" s="8" t="str">
        <f t="shared" si="22"/>
        <v xml:space="preserve">skos:prefLabel "CH3 chondrite meteorite"@en ; rdfs:label "CH3 chondrite meteorite"@en ; </v>
      </c>
      <c r="Z42" s="8" t="str">
        <f t="shared" si="23"/>
        <v xml:space="preserve"> skos:notation  "CH3"@en ; </v>
      </c>
      <c r="AA42" s="8" t="str">
        <f t="shared" si="7"/>
        <v>dcterms:source "https://www.lpi.usra.edu/meteor/metbullclass.php?sea=CH3";</v>
      </c>
      <c r="AB42" s="8" t="str">
        <f>"skos:broader &lt;etma:"&amp;K42&amp;"&gt;" &amp; IF(ISBLANK(M42),"", ", &lt;etma:"&amp;M42&amp;"&gt;") &amp; " ; "</f>
        <v xml:space="preserve">skos:broader &lt;etma:1:1:49539:2&gt;, &lt;etma:1:1:49842:3&gt; ; </v>
      </c>
      <c r="AC42" s="8" t="str">
        <f t="shared" ca="1" si="8"/>
        <v>dcterms:modified "2023-06-20T08:57";  .</v>
      </c>
      <c r="AD42" s="10" t="str">
        <f t="shared" ca="1" si="24"/>
        <v>&lt;etma:1:1:49540:8&gt;  rdf:type skos:Concept ;     dcterms:source "https://www.mindat.org/min-49540.html" ;   skos:definition "A CH chondrite that is of petrologic type 3."@en ;    skos:inScheme &lt;https://mindat.org/etmat/cscheme&gt; ;    skos:prefLabel "CH3 chondrite meteorite"@en ; rdfs:label "CH3 chondrite meteorite"@en ;    skos:notation  "CH3"@en ;   dcterms:source "https://www.lpi.usra.edu/meteor/metbullclass.php?sea=CH3";  skos:broader &lt;etma:1:1:49539:2&gt;, &lt;etma:1:1:49842:3&gt; ;   dcterms:modified "2023-06-20T08:57";  .</v>
      </c>
      <c r="AE42" s="8" t="s">
        <v>2591</v>
      </c>
    </row>
    <row r="43" spans="1:31" hidden="1" x14ac:dyDescent="0.25">
      <c r="A43" s="8">
        <v>15</v>
      </c>
      <c r="B43" s="8" t="s">
        <v>2291</v>
      </c>
      <c r="C43" s="8">
        <v>49541</v>
      </c>
      <c r="D43" s="8" t="s">
        <v>2292</v>
      </c>
      <c r="E43" s="8" t="s">
        <v>2293</v>
      </c>
      <c r="F43" s="9">
        <v>7</v>
      </c>
      <c r="G43" s="9" t="s">
        <v>14</v>
      </c>
      <c r="H43" s="1" t="s">
        <v>2294</v>
      </c>
      <c r="I43" s="8" t="str">
        <f t="shared" si="18"/>
        <v>https://www.mindat.org/min-49541.html</v>
      </c>
      <c r="J43" s="8">
        <v>49519</v>
      </c>
      <c r="K43" s="8" t="s">
        <v>31</v>
      </c>
      <c r="N43" s="9">
        <v>1</v>
      </c>
      <c r="S43" s="11">
        <f t="shared" ca="1" si="28"/>
        <v>45097.373057291668</v>
      </c>
      <c r="U43" s="8" t="str">
        <f t="shared" si="19"/>
        <v xml:space="preserve">&lt;etma:1:1:49541:7&gt;  rdf:type skos:Concept ;  </v>
      </c>
      <c r="V43" s="8" t="str">
        <f t="shared" si="20"/>
        <v xml:space="preserve"> dcterms:source "https://www.mindat.org/min-49541.html" ; </v>
      </c>
      <c r="W43" s="8" t="str">
        <f t="shared" si="21"/>
        <v xml:space="preserve">skos:definition "The Ivuna (CI) chemical group of carbonaceous chondrites, distinguished by the complete absence of chondrules and refractory inclusions, and high degree of hydration."@en ; </v>
      </c>
      <c r="X43" s="8" t="str">
        <f t="shared" si="27"/>
        <v xml:space="preserve"> skos:inScheme &lt;https://mindat.org/etmat/cscheme&gt; ;  </v>
      </c>
      <c r="Y43" s="8" t="str">
        <f t="shared" si="22"/>
        <v xml:space="preserve">skos:prefLabel "CI chondrite meteorite"@en ; rdfs:label "CI chondrite meteorite"@en ; </v>
      </c>
      <c r="Z43" s="8" t="str">
        <f t="shared" si="23"/>
        <v/>
      </c>
      <c r="AA43" s="8" t="str">
        <f t="shared" si="7"/>
        <v/>
      </c>
      <c r="AB43" s="8" t="str">
        <f>"skos:broader &lt;etma:"&amp;K43&amp;"&gt;" &amp; IF(ISBLANK(M43),"", ", &lt;etma:"&amp;M43&amp;"&gt;") &amp; " ; "</f>
        <v xml:space="preserve">skos:broader &lt;etma:1:1:49519:8&gt; ; </v>
      </c>
      <c r="AC43" s="8" t="str">
        <f t="shared" ca="1" si="8"/>
        <v>dcterms:modified "2023-06-20T08:57";  .</v>
      </c>
      <c r="AD43" s="10" t="str">
        <f t="shared" ca="1" si="24"/>
        <v>&lt;etma:1:1:49541:7&gt;  rdf:type skos:Concept ;     dcterms:source "https://www.mindat.org/min-49541.html" ;   skos:definition "The Ivuna (CI) chemical group of carbonaceous chondrites, distinguished by the complete absence of chondrules and refractory inclusions, and high degree of hydration."@en ;    skos:inScheme &lt;https://mindat.org/etmat/cscheme&gt; ;    skos:prefLabel "CI chondrite meteorite"@en ; rdfs:label "CI chondrite meteorite"@en ;   skos:broader &lt;etma:1:1:49519:8&gt; ;   dcterms:modified "2023-06-20T08:57";  .</v>
      </c>
      <c r="AE43" s="8" t="s">
        <v>2591</v>
      </c>
    </row>
    <row r="44" spans="1:31" x14ac:dyDescent="0.25">
      <c r="A44" s="8">
        <v>23</v>
      </c>
      <c r="B44" s="8" t="s">
        <v>127</v>
      </c>
      <c r="C44" s="8">
        <v>49542</v>
      </c>
      <c r="D44" s="8" t="s">
        <v>125</v>
      </c>
      <c r="E44" s="8" t="s">
        <v>126</v>
      </c>
      <c r="F44" s="9">
        <v>7</v>
      </c>
      <c r="G44" s="9" t="s">
        <v>14</v>
      </c>
      <c r="H44" s="1" t="s">
        <v>128</v>
      </c>
      <c r="I44" s="8" t="str">
        <f t="shared" si="18"/>
        <v>https://www.mindat.org/min-49542.html</v>
      </c>
      <c r="J44" s="8">
        <v>49541</v>
      </c>
      <c r="K44" s="8" t="s">
        <v>2292</v>
      </c>
      <c r="L44" s="9">
        <v>49840</v>
      </c>
      <c r="M44" s="8" t="s">
        <v>2273</v>
      </c>
      <c r="N44" s="9">
        <v>1</v>
      </c>
      <c r="O44" s="9" t="s">
        <v>2249</v>
      </c>
      <c r="R44" s="8" t="s">
        <v>129</v>
      </c>
      <c r="S44" s="11">
        <f t="shared" ca="1" si="28"/>
        <v>45097.373057291668</v>
      </c>
      <c r="U44" s="8" t="str">
        <f t="shared" si="19"/>
        <v xml:space="preserve">&lt;etma:1:1:49542:6&gt;  rdf:type skos:Concept ;  </v>
      </c>
      <c r="V44" s="8" t="str">
        <f t="shared" si="20"/>
        <v xml:space="preserve"> dcterms:source "https://www.mindat.org/min-49542.html" ; </v>
      </c>
      <c r="W44" s="8" t="str">
        <f t="shared" si="21"/>
        <v xml:space="preserve">skos:definition "A CI chondrite that is of petrologic type 1."@en ; </v>
      </c>
      <c r="X44" s="8" t="str">
        <f t="shared" si="27"/>
        <v xml:space="preserve"> skos:inScheme &lt;https://mindat.org/etmat/cscheme&gt; ;  </v>
      </c>
      <c r="Y44" s="8" t="str">
        <f t="shared" si="22"/>
        <v xml:space="preserve">skos:prefLabel "CI1 chondrite meteorite"@en ; rdfs:label "CI1 chondrite meteorite"@en ; </v>
      </c>
      <c r="Z44" s="8" t="str">
        <f t="shared" si="23"/>
        <v xml:space="preserve"> skos:notation  "CI1"@en ; </v>
      </c>
      <c r="AA44" s="8" t="str">
        <f t="shared" si="7"/>
        <v>dcterms:source "https://www.lpi.usra.edu/meteor/metbullclass.php?sea=CI1";</v>
      </c>
      <c r="AB44" s="8" t="str">
        <f>"skos:broader &lt;etma:"&amp;K44&amp;"&gt;" &amp; IF(ISBLANK(M44),"", ", &lt;etma:"&amp;M44&amp;"&gt;") &amp; " ; "</f>
        <v xml:space="preserve">skos:broader &lt;etma:1:1:49541:7&gt;, &lt;etma:1:1:49840:5&gt; ; </v>
      </c>
      <c r="AC44" s="8" t="str">
        <f t="shared" ca="1" si="8"/>
        <v>dcterms:modified "2023-06-20T08:57";  .</v>
      </c>
      <c r="AD44" s="10" t="str">
        <f t="shared" ca="1" si="24"/>
        <v>&lt;etma:1:1:49542:6&gt;  rdf:type skos:Concept ;     dcterms:source "https://www.mindat.org/min-49542.html" ;   skos:definition "A CI chondrite that is of petrologic type 1."@en ;    skos:inScheme &lt;https://mindat.org/etmat/cscheme&gt; ;    skos:prefLabel "CI1 chondrite meteorite"@en ; rdfs:label "CI1 chondrite meteorite"@en ;    skos:notation  "CI1"@en ;   dcterms:source "https://www.lpi.usra.edu/meteor/metbullclass.php?sea=CI1";  skos:broader &lt;etma:1:1:49541:7&gt;, &lt;etma:1:1:49840:5&gt; ;   dcterms:modified "2023-06-20T08:57";  .</v>
      </c>
      <c r="AE44" s="8" t="s">
        <v>2591</v>
      </c>
    </row>
    <row r="45" spans="1:31" x14ac:dyDescent="0.25">
      <c r="A45" s="8">
        <v>24</v>
      </c>
      <c r="B45" s="8" t="s">
        <v>132</v>
      </c>
      <c r="C45" s="8">
        <v>49543</v>
      </c>
      <c r="D45" s="8" t="s">
        <v>130</v>
      </c>
      <c r="E45" s="8" t="s">
        <v>131</v>
      </c>
      <c r="F45" s="9">
        <v>7</v>
      </c>
      <c r="G45" s="9" t="s">
        <v>14</v>
      </c>
      <c r="H45" s="1" t="s">
        <v>2563</v>
      </c>
      <c r="I45" s="8" t="str">
        <f t="shared" si="18"/>
        <v>https://www.mindat.org/min-49543.html</v>
      </c>
      <c r="J45" s="8">
        <v>49519</v>
      </c>
      <c r="K45" s="8" t="s">
        <v>31</v>
      </c>
      <c r="N45" s="9">
        <v>1</v>
      </c>
      <c r="O45" s="9" t="s">
        <v>2249</v>
      </c>
      <c r="R45" s="8" t="s">
        <v>134</v>
      </c>
      <c r="S45" s="11">
        <f t="shared" ca="1" si="28"/>
        <v>45097.373057291668</v>
      </c>
      <c r="U45" s="8" t="str">
        <f t="shared" si="19"/>
        <v xml:space="preserve">&lt;etma:1:1:49543:5&gt;  rdf:type skos:Concept ;  </v>
      </c>
      <c r="V45" s="8" t="str">
        <f t="shared" si="20"/>
        <v xml:space="preserve"> dcterms:source "https://www.mindat.org/min-49543.html" ; </v>
      </c>
      <c r="W45" s="8" t="str">
        <f t="shared" si="21"/>
        <v xml:space="preserve">skos:definition "The Karoonda (CK) chemical group of carbonaceous chondrites, distinguished by abundant fine-grained matrix (~75 volume percent), mm-sized chondrules that lack igneous rims, relatively few refractory inclusions, and a high degree of oxidation; most CK chondrites have been metamorphosed to type 4 or higher."@en ; </v>
      </c>
      <c r="X45" s="8" t="str">
        <f t="shared" si="27"/>
        <v xml:space="preserve"> skos:inScheme &lt;https://mindat.org/etmat/cscheme&gt; ;  </v>
      </c>
      <c r="Y45" s="8" t="str">
        <f t="shared" si="22"/>
        <v xml:space="preserve">skos:prefLabel "CK chondrite meteorite"@en ; rdfs:label "CK chondrite meteorite"@en ; </v>
      </c>
      <c r="Z45" s="8" t="str">
        <f t="shared" si="23"/>
        <v xml:space="preserve"> skos:notation  "CK"@en ; </v>
      </c>
      <c r="AA45" s="8" t="str">
        <f t="shared" si="7"/>
        <v>dcterms:source "https://www.lpi.usra.edu/meteor/metbullclass.php?sea=CK";</v>
      </c>
      <c r="AB45" s="8" t="str">
        <f>"skos:broader &lt;etma:"&amp;K45&amp;"&gt;" &amp; IF(ISBLANK(M45),"", ", &lt;etma:"&amp;M45&amp;"&gt;") &amp; " ; "</f>
        <v xml:space="preserve">skos:broader &lt;etma:1:1:49519:8&gt; ; </v>
      </c>
      <c r="AC45" s="8" t="str">
        <f t="shared" ca="1" si="8"/>
        <v>dcterms:modified "2023-06-20T08:57";  .</v>
      </c>
      <c r="AD45" s="10" t="str">
        <f t="shared" ca="1" si="24"/>
        <v>&lt;etma:1:1:49543:5&gt;  rdf:type skos:Concept ;     dcterms:source "https://www.mindat.org/min-49543.html" ;   skos:definition "The Karoonda (CK) chemical group of carbonaceous chondrites, distinguished by abundant fine-grained matrix (~75 volume percent), mm-sized chondrules that lack igneous rims, relatively few refractory inclusions, and a high degree of oxidation; most CK chondrites have been metamorphosed to type 4 or higher."@en ;    skos:inScheme &lt;https://mindat.org/etmat/cscheme&gt; ;    skos:prefLabel "CK chondrite meteorite"@en ; rdfs:label "CK chondrite meteorite"@en ;    skos:notation  "CK"@en ;   dcterms:source "https://www.lpi.usra.edu/meteor/metbullclass.php?sea=CK";  skos:broader &lt;etma:1:1:49519:8&gt; ;   dcterms:modified "2023-06-20T08:57";  .</v>
      </c>
      <c r="AE45" s="8" t="s">
        <v>2591</v>
      </c>
    </row>
    <row r="46" spans="1:31" x14ac:dyDescent="0.25">
      <c r="A46" s="8">
        <v>25</v>
      </c>
      <c r="B46" s="8" t="s">
        <v>137</v>
      </c>
      <c r="C46" s="8">
        <v>49544</v>
      </c>
      <c r="D46" s="8" t="s">
        <v>135</v>
      </c>
      <c r="E46" s="8" t="s">
        <v>136</v>
      </c>
      <c r="F46" s="9">
        <v>7</v>
      </c>
      <c r="G46" s="9" t="s">
        <v>14</v>
      </c>
      <c r="H46" s="1" t="s">
        <v>138</v>
      </c>
      <c r="I46" s="8" t="str">
        <f t="shared" si="18"/>
        <v>https://www.mindat.org/min-49544.html</v>
      </c>
      <c r="J46" s="8">
        <v>49543</v>
      </c>
      <c r="K46" s="8" t="s">
        <v>130</v>
      </c>
      <c r="L46" s="9">
        <v>49842</v>
      </c>
      <c r="M46" s="8" t="s">
        <v>2400</v>
      </c>
      <c r="N46" s="9">
        <v>1</v>
      </c>
      <c r="O46" s="9" t="s">
        <v>2249</v>
      </c>
      <c r="R46" s="8" t="s">
        <v>139</v>
      </c>
      <c r="S46" s="11">
        <f t="shared" ca="1" si="28"/>
        <v>45097.373057291668</v>
      </c>
      <c r="U46" s="8" t="str">
        <f t="shared" si="19"/>
        <v xml:space="preserve">&lt;etma:1:1:49544:4&gt;  rdf:type skos:Concept ;  </v>
      </c>
      <c r="V46" s="8" t="str">
        <f t="shared" si="20"/>
        <v xml:space="preserve"> dcterms:source "https://www.mindat.org/min-49544.html" ; </v>
      </c>
      <c r="W46" s="8" t="str">
        <f t="shared" si="21"/>
        <v xml:space="preserve">skos:definition "A CK chondrite that is of petrologic type 3."@en ; </v>
      </c>
      <c r="X46" s="8" t="str">
        <f t="shared" si="27"/>
        <v xml:space="preserve"> skos:inScheme &lt;https://mindat.org/etmat/cscheme&gt; ;  </v>
      </c>
      <c r="Y46" s="8" t="str">
        <f t="shared" si="22"/>
        <v xml:space="preserve">skos:prefLabel "CK3 chondrite meteorite"@en ; rdfs:label "CK3 chondrite meteorite"@en ; </v>
      </c>
      <c r="Z46" s="8" t="str">
        <f t="shared" si="23"/>
        <v xml:space="preserve"> skos:notation  "CK3"@en ; </v>
      </c>
      <c r="AA46" s="8" t="str">
        <f t="shared" si="7"/>
        <v>dcterms:source "https://www.lpi.usra.edu/meteor/metbullclass.php?sea=CK3";</v>
      </c>
      <c r="AB46" s="8" t="str">
        <f>"skos:broader &lt;etma:"&amp;K46&amp;"&gt;" &amp; IF(ISBLANK(M46),"", ", &lt;etma:"&amp;M46&amp;"&gt;") &amp; " ; "</f>
        <v xml:space="preserve">skos:broader &lt;etma:1:1:49543:5&gt;, &lt;etma:1:1:49842:3&gt; ; </v>
      </c>
      <c r="AC46" s="8" t="str">
        <f t="shared" ca="1" si="8"/>
        <v>dcterms:modified "2023-06-20T08:57";  .</v>
      </c>
      <c r="AD46" s="10" t="str">
        <f t="shared" ca="1" si="24"/>
        <v>&lt;etma:1:1:49544:4&gt;  rdf:type skos:Concept ;     dcterms:source "https://www.mindat.org/min-49544.html" ;   skos:definition "A CK chondrite that is of petrologic type 3."@en ;    skos:inScheme &lt;https://mindat.org/etmat/cscheme&gt; ;    skos:prefLabel "CK3 chondrite meteorite"@en ; rdfs:label "CK3 chondrite meteorite"@en ;    skos:notation  "CK3"@en ;   dcterms:source "https://www.lpi.usra.edu/meteor/metbullclass.php?sea=CK3";  skos:broader &lt;etma:1:1:49543:5&gt;, &lt;etma:1:1:49842:3&gt; ;   dcterms:modified "2023-06-20T08:57";  .</v>
      </c>
      <c r="AE46" s="8" t="s">
        <v>2591</v>
      </c>
    </row>
    <row r="47" spans="1:31" x14ac:dyDescent="0.25">
      <c r="A47" s="8">
        <v>26</v>
      </c>
      <c r="B47" s="8" t="s">
        <v>142</v>
      </c>
      <c r="C47" s="8">
        <v>49545</v>
      </c>
      <c r="D47" s="8" t="s">
        <v>140</v>
      </c>
      <c r="E47" s="8" t="s">
        <v>141</v>
      </c>
      <c r="F47" s="9">
        <v>7</v>
      </c>
      <c r="G47" s="9" t="s">
        <v>14</v>
      </c>
      <c r="H47" s="1" t="s">
        <v>143</v>
      </c>
      <c r="I47" s="8" t="str">
        <f t="shared" si="18"/>
        <v>https://www.mindat.org/min-49545.html</v>
      </c>
      <c r="J47" s="8">
        <v>49544</v>
      </c>
      <c r="K47" s="8" t="s">
        <v>135</v>
      </c>
      <c r="N47" s="9">
        <v>0</v>
      </c>
      <c r="O47" s="9">
        <v>52376</v>
      </c>
      <c r="P47" s="8" t="s">
        <v>2495</v>
      </c>
      <c r="Q47" s="8" t="s">
        <v>2496</v>
      </c>
      <c r="R47" s="8" t="s">
        <v>144</v>
      </c>
      <c r="S47" s="11">
        <v>43050.918206018519</v>
      </c>
      <c r="U47" s="8" t="str">
        <f t="shared" si="19"/>
        <v xml:space="preserve">&lt;etma:1:1:49545:3&gt;  rdf:type skos:Concept ;  </v>
      </c>
      <c r="V47" s="8" t="str">
        <f t="shared" si="20"/>
        <v xml:space="preserve"> dcterms:source "https://www.mindat.org/min-49545.html" ; </v>
      </c>
      <c r="W47" s="8" t="str">
        <f t="shared" si="21"/>
        <v xml:space="preserve">skos:definition "A CK chondrite that is petrologic type 3 and has anomalous properties."@en ; </v>
      </c>
      <c r="X47" s="8" t="str">
        <f t="shared" si="25"/>
        <v xml:space="preserve"> skos:inScheme &lt;http://example.org/mindat/etmat/cscheme&gt; ;  </v>
      </c>
      <c r="Y47" s="8" t="str">
        <f t="shared" si="22"/>
        <v xml:space="preserve">skos:prefLabel "Anomalous CK3 chondrite meteorite"@en ; rdfs:label "Anomalous CK3 chondrite meteorite"@en ; </v>
      </c>
      <c r="Z47" s="8" t="str">
        <f t="shared" si="23"/>
        <v xml:space="preserve">skos:altLabel "CK3-an chondrite meteorite"@en ; skos:exactMatch  &lt;etma:1:1:52376:5&gt; ;  skos:notation  "CK3-an"@en ; </v>
      </c>
      <c r="AA47" s="8" t="str">
        <f t="shared" si="7"/>
        <v>dcterms:source "https://www.lpi.usra.edu/meteor/metbullclass.php?sea=CK3-an";</v>
      </c>
      <c r="AB47" s="8" t="str">
        <f>"skos:broader &lt;etma:"&amp;K47&amp;"&gt;" &amp; IF(ISBLANK(M47),"", ", &lt;etma:"&amp;M47&amp;"&gt;") &amp; " ; "</f>
        <v xml:space="preserve">skos:broader &lt;etma:1:1:49544:4&gt; ; </v>
      </c>
      <c r="AC47" s="8" t="str">
        <f t="shared" si="8"/>
        <v>dcterms:modified "2017-11-11T22:02";  .</v>
      </c>
      <c r="AD47" s="10" t="str">
        <f t="shared" si="24"/>
        <v>&lt;etma:1:1:49545:3&gt;  rdf:type skos:Concept ;     dcterms:source "https://www.mindat.org/min-49545.html" ;   skos:definition "A CK chondrite that is petrologic type 3 and has anomalous properties."@en ;    skos:inScheme &lt;http://example.org/mindat/etmat/cscheme&gt; ;    skos:prefLabel "Anomalous CK3 chondrite meteorite"@en ; rdfs:label "Anomalous CK3 chondrite meteorite"@en ;   skos:altLabel "CK3-an chondrite meteorite"@en ; skos:exactMatch  &lt;etma:1:1:52376:5&gt; ;  skos:notation  "CK3-an"@en ;   dcterms:source "https://www.lpi.usra.edu/meteor/metbullclass.php?sea=CK3-an";  skos:broader &lt;etma:1:1:49544:4&gt; ;   dcterms:modified "2017-11-11T22:02";  .</v>
      </c>
      <c r="AE47" s="8" t="s">
        <v>2591</v>
      </c>
    </row>
    <row r="48" spans="1:31" x14ac:dyDescent="0.25">
      <c r="A48" s="8">
        <v>27</v>
      </c>
      <c r="B48" s="8" t="s">
        <v>147</v>
      </c>
      <c r="C48" s="8">
        <v>49546</v>
      </c>
      <c r="D48" s="8" t="s">
        <v>145</v>
      </c>
      <c r="E48" s="8" t="s">
        <v>146</v>
      </c>
      <c r="F48" s="9">
        <v>7</v>
      </c>
      <c r="G48" s="9" t="s">
        <v>14</v>
      </c>
      <c r="H48" s="1" t="s">
        <v>148</v>
      </c>
      <c r="I48" s="8" t="str">
        <f t="shared" si="18"/>
        <v>https://www.mindat.org/min-49546.html</v>
      </c>
      <c r="J48" s="8">
        <v>49544</v>
      </c>
      <c r="K48" s="8" t="s">
        <v>135</v>
      </c>
      <c r="N48" s="9">
        <v>0</v>
      </c>
      <c r="O48" s="9" t="s">
        <v>2249</v>
      </c>
      <c r="R48" s="8" t="s">
        <v>149</v>
      </c>
      <c r="S48" s="11">
        <v>43039.473379629628</v>
      </c>
      <c r="U48" s="8" t="str">
        <f t="shared" si="19"/>
        <v xml:space="preserve">&lt;etma:1:1:49546:2&gt;  rdf:type skos:Concept ;  </v>
      </c>
      <c r="V48" s="8" t="str">
        <f t="shared" si="20"/>
        <v xml:space="preserve"> dcterms:source "https://www.mindat.org/min-49546.html" ; </v>
      </c>
      <c r="W48" s="8" t="str">
        <f t="shared" si="21"/>
        <v xml:space="preserve">skos:definition "A CK chondrite that is of petrologic type 3.8."@en ; </v>
      </c>
      <c r="X48" s="8" t="str">
        <f t="shared" ref="X48:X50" si="29">" skos:inScheme &lt;https://mindat.org/etmat/cscheme&gt; ;  "</f>
        <v xml:space="preserve"> skos:inScheme &lt;https://mindat.org/etmat/cscheme&gt; ;  </v>
      </c>
      <c r="Y48" s="8" t="str">
        <f t="shared" si="22"/>
        <v xml:space="preserve">skos:prefLabel "CK3.8 chondrite meteorite"@en ; rdfs:label "CK3.8 chondrite meteorite"@en ; </v>
      </c>
      <c r="Z48" s="8" t="str">
        <f t="shared" si="23"/>
        <v xml:space="preserve"> skos:notation  "CK3.8"@en ; </v>
      </c>
      <c r="AA48" s="8" t="str">
        <f t="shared" si="7"/>
        <v>dcterms:source "https://www.lpi.usra.edu/meteor/metbullclass.php?sea=CK3.8";</v>
      </c>
      <c r="AB48" s="8" t="str">
        <f>"skos:broader &lt;etma:"&amp;K48&amp;"&gt;" &amp; IF(ISBLANK(M48),"", ", &lt;etma:"&amp;M48&amp;"&gt;") &amp; " ; "</f>
        <v xml:space="preserve">skos:broader &lt;etma:1:1:49544:4&gt; ; </v>
      </c>
      <c r="AC48" s="8" t="str">
        <f t="shared" si="8"/>
        <v>dcterms:modified "2017-10-31T11:21";  .</v>
      </c>
      <c r="AD48" s="10" t="str">
        <f t="shared" si="24"/>
        <v>&lt;etma:1:1:49546:2&gt;  rdf:type skos:Concept ;     dcterms:source "https://www.mindat.org/min-49546.html" ;   skos:definition "A CK chondrite that is of petrologic type 3.8."@en ;    skos:inScheme &lt;https://mindat.org/etmat/cscheme&gt; ;    skos:prefLabel "CK3.8 chondrite meteorite"@en ; rdfs:label "CK3.8 chondrite meteorite"@en ;    skos:notation  "CK3.8"@en ;   dcterms:source "https://www.lpi.usra.edu/meteor/metbullclass.php?sea=CK3.8";  skos:broader &lt;etma:1:1:49544:4&gt; ;   dcterms:modified "2017-10-31T11:21";  .</v>
      </c>
      <c r="AE48" s="8" t="s">
        <v>2591</v>
      </c>
    </row>
    <row r="49" spans="1:31" x14ac:dyDescent="0.25">
      <c r="A49" s="8">
        <v>28</v>
      </c>
      <c r="B49" s="8" t="s">
        <v>152</v>
      </c>
      <c r="C49" s="8">
        <v>49547</v>
      </c>
      <c r="D49" s="8" t="s">
        <v>150</v>
      </c>
      <c r="E49" s="8" t="s">
        <v>151</v>
      </c>
      <c r="F49" s="9">
        <v>7</v>
      </c>
      <c r="G49" s="9" t="s">
        <v>14</v>
      </c>
      <c r="H49" s="1" t="s">
        <v>153</v>
      </c>
      <c r="I49" s="8" t="str">
        <f t="shared" si="18"/>
        <v>https://www.mindat.org/min-49547.html</v>
      </c>
      <c r="J49" s="8">
        <v>49544</v>
      </c>
      <c r="K49" s="8" t="s">
        <v>135</v>
      </c>
      <c r="L49" s="9">
        <v>49548</v>
      </c>
      <c r="M49" s="8" t="s">
        <v>155</v>
      </c>
      <c r="N49" s="9">
        <v>0</v>
      </c>
      <c r="O49" s="9" t="s">
        <v>2249</v>
      </c>
      <c r="R49" s="8" t="s">
        <v>154</v>
      </c>
      <c r="S49" s="11">
        <f t="shared" ref="S49:S50" ca="1" si="30">NOW()</f>
        <v>45097.373057407407</v>
      </c>
      <c r="U49" s="8" t="str">
        <f t="shared" si="19"/>
        <v xml:space="preserve">&lt;etma:1:1:49547:1&gt;  rdf:type skos:Concept ;  </v>
      </c>
      <c r="V49" s="8" t="str">
        <f t="shared" si="20"/>
        <v xml:space="preserve"> dcterms:source "https://www.mindat.org/min-49547.html" ; </v>
      </c>
      <c r="W49" s="8" t="str">
        <f t="shared" si="21"/>
        <v xml:space="preserve">skos:definition "A CK chondrite that is transitional between petrologic type 3 and 4."@en ; </v>
      </c>
      <c r="X49" s="8" t="str">
        <f t="shared" si="29"/>
        <v xml:space="preserve"> skos:inScheme &lt;https://mindat.org/etmat/cscheme&gt; ;  </v>
      </c>
      <c r="Y49" s="8" t="str">
        <f t="shared" si="22"/>
        <v xml:space="preserve">skos:prefLabel "CK3/4 chondrite meteorite"@en ; rdfs:label "CK3/4 chondrite meteorite"@en ; </v>
      </c>
      <c r="Z49" s="8" t="str">
        <f t="shared" si="23"/>
        <v xml:space="preserve"> skos:notation  "CK3/4"@en ; </v>
      </c>
      <c r="AA49" s="8" t="str">
        <f t="shared" si="7"/>
        <v>dcterms:source "https://www.lpi.usra.edu/meteor/metbullclass.php?sea=CK3/4";</v>
      </c>
      <c r="AB49" s="8" t="str">
        <f>"skos:broader &lt;etma:"&amp;K49&amp;"&gt;" &amp; IF(ISBLANK(M49),"", ", &lt;etma:"&amp;M49&amp;"&gt;") &amp; " ; "</f>
        <v xml:space="preserve">skos:broader &lt;etma:1:1:49544:4&gt;, &lt;etma:1:1:49548:0&gt; ; </v>
      </c>
      <c r="AC49" s="8" t="str">
        <f t="shared" ca="1" si="8"/>
        <v>dcterms:modified "2023-06-20T08:57";  .</v>
      </c>
      <c r="AD49" s="10" t="str">
        <f t="shared" ca="1" si="24"/>
        <v>&lt;etma:1:1:49547:1&gt;  rdf:type skos:Concept ;     dcterms:source "https://www.mindat.org/min-49547.html" ;   skos:definition "A CK chondrite that is transitional between petrologic type 3 and 4."@en ;    skos:inScheme &lt;https://mindat.org/etmat/cscheme&gt; ;    skos:prefLabel "CK3/4 chondrite meteorite"@en ; rdfs:label "CK3/4 chondrite meteorite"@en ;    skos:notation  "CK3/4"@en ;   dcterms:source "https://www.lpi.usra.edu/meteor/metbullclass.php?sea=CK3/4";  skos:broader &lt;etma:1:1:49544:4&gt;, &lt;etma:1:1:49548:0&gt; ;   dcterms:modified "2023-06-20T08:57";  .</v>
      </c>
      <c r="AE49" s="8" t="s">
        <v>2591</v>
      </c>
    </row>
    <row r="50" spans="1:31" x14ac:dyDescent="0.25">
      <c r="A50" s="8">
        <v>29</v>
      </c>
      <c r="B50" s="8" t="s">
        <v>157</v>
      </c>
      <c r="C50" s="8">
        <v>49548</v>
      </c>
      <c r="D50" s="8" t="s">
        <v>155</v>
      </c>
      <c r="E50" s="8" t="s">
        <v>156</v>
      </c>
      <c r="F50" s="9">
        <v>7</v>
      </c>
      <c r="G50" s="9" t="s">
        <v>14</v>
      </c>
      <c r="H50" s="1" t="s">
        <v>158</v>
      </c>
      <c r="I50" s="8" t="str">
        <f t="shared" si="18"/>
        <v>https://www.mindat.org/min-49548.html</v>
      </c>
      <c r="J50" s="8">
        <v>49543</v>
      </c>
      <c r="K50" s="8" t="s">
        <v>130</v>
      </c>
      <c r="L50" s="9">
        <v>49843</v>
      </c>
      <c r="M50" s="8" t="s">
        <v>2404</v>
      </c>
      <c r="N50" s="9">
        <v>1</v>
      </c>
      <c r="O50" s="9" t="s">
        <v>2249</v>
      </c>
      <c r="R50" s="8" t="s">
        <v>159</v>
      </c>
      <c r="S50" s="11">
        <f t="shared" ca="1" si="30"/>
        <v>45097.373057291668</v>
      </c>
      <c r="U50" s="8" t="str">
        <f t="shared" si="19"/>
        <v xml:space="preserve">&lt;etma:1:1:49548:0&gt;  rdf:type skos:Concept ;  </v>
      </c>
      <c r="V50" s="8" t="str">
        <f t="shared" si="20"/>
        <v xml:space="preserve"> dcterms:source "https://www.mindat.org/min-49548.html" ; </v>
      </c>
      <c r="W50" s="8" t="str">
        <f t="shared" si="21"/>
        <v xml:space="preserve">skos:definition "A CK chondrite that is of petrologic type 4."@en ; </v>
      </c>
      <c r="X50" s="8" t="str">
        <f t="shared" si="29"/>
        <v xml:space="preserve"> skos:inScheme &lt;https://mindat.org/etmat/cscheme&gt; ;  </v>
      </c>
      <c r="Y50" s="8" t="str">
        <f t="shared" si="22"/>
        <v xml:space="preserve">skos:prefLabel "CK4 chondrite meteorite"@en ; rdfs:label "CK4 chondrite meteorite"@en ; </v>
      </c>
      <c r="Z50" s="8" t="str">
        <f t="shared" si="23"/>
        <v xml:space="preserve"> skos:notation  "CK4"@en ; </v>
      </c>
      <c r="AA50" s="8" t="str">
        <f t="shared" si="7"/>
        <v>dcterms:source "https://www.lpi.usra.edu/meteor/metbullclass.php?sea=CK4";</v>
      </c>
      <c r="AB50" s="8" t="str">
        <f>"skos:broader &lt;etma:"&amp;K50&amp;"&gt;" &amp; IF(ISBLANK(M50),"", ", &lt;etma:"&amp;M50&amp;"&gt;") &amp; " ; "</f>
        <v xml:space="preserve">skos:broader &lt;etma:1:1:49543:5&gt;, &lt;etma:1:1:49843:2&gt; ; </v>
      </c>
      <c r="AC50" s="8" t="str">
        <f t="shared" ca="1" si="8"/>
        <v>dcterms:modified "2023-06-20T08:57";  .</v>
      </c>
      <c r="AD50" s="10" t="str">
        <f t="shared" ca="1" si="24"/>
        <v>&lt;etma:1:1:49548:0&gt;  rdf:type skos:Concept ;     dcterms:source "https://www.mindat.org/min-49548.html" ;   skos:definition "A CK chondrite that is of petrologic type 4."@en ;    skos:inScheme &lt;https://mindat.org/etmat/cscheme&gt; ;    skos:prefLabel "CK4 chondrite meteorite"@en ; rdfs:label "CK4 chondrite meteorite"@en ;    skos:notation  "CK4"@en ;   dcterms:source "https://www.lpi.usra.edu/meteor/metbullclass.php?sea=CK4";  skos:broader &lt;etma:1:1:49543:5&gt;, &lt;etma:1:1:49843:2&gt; ;   dcterms:modified "2023-06-20T08:57";  .</v>
      </c>
      <c r="AE50" s="8" t="s">
        <v>2591</v>
      </c>
    </row>
    <row r="51" spans="1:31" x14ac:dyDescent="0.25">
      <c r="A51" s="8">
        <v>30</v>
      </c>
      <c r="B51" s="8" t="s">
        <v>162</v>
      </c>
      <c r="C51" s="8">
        <v>49549</v>
      </c>
      <c r="D51" s="8" t="s">
        <v>160</v>
      </c>
      <c r="E51" s="8" t="s">
        <v>161</v>
      </c>
      <c r="F51" s="9">
        <v>7</v>
      </c>
      <c r="G51" s="9" t="s">
        <v>14</v>
      </c>
      <c r="H51" s="1" t="s">
        <v>163</v>
      </c>
      <c r="I51" s="8" t="str">
        <f t="shared" si="18"/>
        <v>https://www.mindat.org/min-49549.html</v>
      </c>
      <c r="J51" s="8">
        <v>49548</v>
      </c>
      <c r="K51" s="8" t="s">
        <v>155</v>
      </c>
      <c r="N51" s="9">
        <v>0</v>
      </c>
      <c r="O51" s="9">
        <v>52375</v>
      </c>
      <c r="P51" s="8" t="s">
        <v>2497</v>
      </c>
      <c r="Q51" s="8" t="s">
        <v>2498</v>
      </c>
      <c r="R51" s="8" t="s">
        <v>164</v>
      </c>
      <c r="S51" s="11">
        <v>43050.917800925927</v>
      </c>
      <c r="U51" s="8" t="str">
        <f t="shared" si="19"/>
        <v xml:space="preserve">&lt;etma:1:1:49549:9&gt;  rdf:type skos:Concept ;  </v>
      </c>
      <c r="V51" s="8" t="str">
        <f t="shared" si="20"/>
        <v xml:space="preserve"> dcterms:source "https://www.mindat.org/min-49549.html" ; </v>
      </c>
      <c r="W51" s="8" t="str">
        <f t="shared" si="21"/>
        <v xml:space="preserve">skos:definition "A CK chondrite that is petrologic type 4 and has anomalous properties."@en ; </v>
      </c>
      <c r="X51" s="8" t="str">
        <f t="shared" si="25"/>
        <v xml:space="preserve"> skos:inScheme &lt;http://example.org/mindat/etmat/cscheme&gt; ;  </v>
      </c>
      <c r="Y51" s="8" t="str">
        <f t="shared" si="22"/>
        <v xml:space="preserve">skos:prefLabel "Anomalous CK4 chondrite meteorite"@en ; rdfs:label "Anomalous CK4 chondrite meteorite"@en ; </v>
      </c>
      <c r="Z51" s="8" t="str">
        <f t="shared" si="23"/>
        <v xml:space="preserve">skos:altLabel "CK4-an chondrite meteorite"@en ; skos:exactMatch  &lt;etma:1:1:52375:6&gt; ;  skos:notation  "CK4-an"@en ; </v>
      </c>
      <c r="AA51" s="8" t="str">
        <f t="shared" si="7"/>
        <v>dcterms:source "https://www.lpi.usra.edu/meteor/metbullclass.php?sea=CK4-an";</v>
      </c>
      <c r="AB51" s="8" t="str">
        <f>"skos:broader &lt;etma:"&amp;K51&amp;"&gt;" &amp; IF(ISBLANK(M51),"", ", &lt;etma:"&amp;M51&amp;"&gt;") &amp; " ; "</f>
        <v xml:space="preserve">skos:broader &lt;etma:1:1:49548:0&gt; ; </v>
      </c>
      <c r="AC51" s="8" t="str">
        <f t="shared" si="8"/>
        <v>dcterms:modified "2017-11-11T22:01";  .</v>
      </c>
      <c r="AD51" s="10" t="str">
        <f t="shared" si="24"/>
        <v>&lt;etma:1:1:49549:9&gt;  rdf:type skos:Concept ;     dcterms:source "https://www.mindat.org/min-49549.html" ;   skos:definition "A CK chondrite that is petrologic type 4 and has anomalous properties."@en ;    skos:inScheme &lt;http://example.org/mindat/etmat/cscheme&gt; ;    skos:prefLabel "Anomalous CK4 chondrite meteorite"@en ; rdfs:label "Anomalous CK4 chondrite meteorite"@en ;   skos:altLabel "CK4-an chondrite meteorite"@en ; skos:exactMatch  &lt;etma:1:1:52375:6&gt; ;  skos:notation  "CK4-an"@en ;   dcterms:source "https://www.lpi.usra.edu/meteor/metbullclass.php?sea=CK4-an";  skos:broader &lt;etma:1:1:49548:0&gt; ;   dcterms:modified "2017-11-11T22:01";  .</v>
      </c>
      <c r="AE51" s="8" t="s">
        <v>2591</v>
      </c>
    </row>
    <row r="52" spans="1:31" x14ac:dyDescent="0.25">
      <c r="A52" s="8">
        <v>31</v>
      </c>
      <c r="B52" s="8" t="s">
        <v>167</v>
      </c>
      <c r="C52" s="8">
        <v>49550</v>
      </c>
      <c r="D52" s="8" t="s">
        <v>165</v>
      </c>
      <c r="E52" s="8" t="s">
        <v>166</v>
      </c>
      <c r="F52" s="9">
        <v>7</v>
      </c>
      <c r="G52" s="9" t="s">
        <v>14</v>
      </c>
      <c r="H52" s="1" t="s">
        <v>168</v>
      </c>
      <c r="I52" s="8" t="str">
        <f t="shared" si="18"/>
        <v>https://www.mindat.org/min-49550.html</v>
      </c>
      <c r="J52" s="8">
        <v>49543</v>
      </c>
      <c r="K52" s="8" t="s">
        <v>130</v>
      </c>
      <c r="L52" s="9">
        <v>49844</v>
      </c>
      <c r="M52" s="8" t="s">
        <v>2278</v>
      </c>
      <c r="N52" s="9">
        <v>1</v>
      </c>
      <c r="O52" s="9" t="s">
        <v>2249</v>
      </c>
      <c r="R52" s="8" t="s">
        <v>169</v>
      </c>
      <c r="S52" s="11">
        <f t="shared" ref="S52:S53" ca="1" si="31">NOW()</f>
        <v>45097.373057407407</v>
      </c>
      <c r="U52" s="8" t="str">
        <f t="shared" si="19"/>
        <v xml:space="preserve">&lt;etma:1:1:49550:5&gt;  rdf:type skos:Concept ;  </v>
      </c>
      <c r="V52" s="8" t="str">
        <f t="shared" si="20"/>
        <v xml:space="preserve"> dcterms:source "https://www.mindat.org/min-49550.html" ; </v>
      </c>
      <c r="W52" s="8" t="str">
        <f t="shared" si="21"/>
        <v xml:space="preserve">skos:definition "A CK chondrite that is of petrologic type 5."@en ; </v>
      </c>
      <c r="X52" s="8" t="str">
        <f t="shared" ref="X52:X56" si="32">" skos:inScheme &lt;https://mindat.org/etmat/cscheme&gt; ;  "</f>
        <v xml:space="preserve"> skos:inScheme &lt;https://mindat.org/etmat/cscheme&gt; ;  </v>
      </c>
      <c r="Y52" s="8" t="str">
        <f t="shared" si="22"/>
        <v xml:space="preserve">skos:prefLabel "CK5 chondrite meteorite"@en ; rdfs:label "CK5 chondrite meteorite"@en ; </v>
      </c>
      <c r="Z52" s="8" t="str">
        <f t="shared" si="23"/>
        <v xml:space="preserve"> skos:notation  "CK5"@en ; </v>
      </c>
      <c r="AA52" s="8" t="str">
        <f t="shared" si="7"/>
        <v>dcterms:source "https://www.lpi.usra.edu/meteor/metbullclass.php?sea=CK5";</v>
      </c>
      <c r="AB52" s="8" t="str">
        <f>"skos:broader &lt;etma:"&amp;K52&amp;"&gt;" &amp; IF(ISBLANK(M52),"", ", &lt;etma:"&amp;M52&amp;"&gt;") &amp; " ; "</f>
        <v xml:space="preserve">skos:broader &lt;etma:1:1:49543:5&gt;, &lt;etma:1:1:49844:1&gt; ; </v>
      </c>
      <c r="AC52" s="8" t="str">
        <f t="shared" ca="1" si="8"/>
        <v>dcterms:modified "2023-06-20T08:57";  .</v>
      </c>
      <c r="AD52" s="10" t="str">
        <f t="shared" ca="1" si="24"/>
        <v>&lt;etma:1:1:49550:5&gt;  rdf:type skos:Concept ;     dcterms:source "https://www.mindat.org/min-49550.html" ;   skos:definition "A CK chondrite that is of petrologic type 5."@en ;    skos:inScheme &lt;https://mindat.org/etmat/cscheme&gt; ;    skos:prefLabel "CK5 chondrite meteorite"@en ; rdfs:label "CK5 chondrite meteorite"@en ;    skos:notation  "CK5"@en ;   dcterms:source "https://www.lpi.usra.edu/meteor/metbullclass.php?sea=CK5";  skos:broader &lt;etma:1:1:49543:5&gt;, &lt;etma:1:1:49844:1&gt; ;   dcterms:modified "2023-06-20T08:57";  .</v>
      </c>
      <c r="AE52" s="8" t="s">
        <v>2591</v>
      </c>
    </row>
    <row r="53" spans="1:31" x14ac:dyDescent="0.25">
      <c r="A53" s="8">
        <v>32</v>
      </c>
      <c r="B53" s="8" t="s">
        <v>172</v>
      </c>
      <c r="C53" s="8">
        <v>49551</v>
      </c>
      <c r="D53" s="8" t="s">
        <v>170</v>
      </c>
      <c r="E53" s="8" t="s">
        <v>171</v>
      </c>
      <c r="F53" s="9">
        <v>7</v>
      </c>
      <c r="G53" s="9" t="s">
        <v>14</v>
      </c>
      <c r="H53" s="1" t="s">
        <v>173</v>
      </c>
      <c r="I53" s="8" t="str">
        <f t="shared" si="18"/>
        <v>https://www.mindat.org/min-49551.html</v>
      </c>
      <c r="J53" s="8">
        <v>49543</v>
      </c>
      <c r="K53" s="8" t="s">
        <v>130</v>
      </c>
      <c r="L53" s="9">
        <v>49845</v>
      </c>
      <c r="M53" s="8" t="s">
        <v>2411</v>
      </c>
      <c r="N53" s="9">
        <v>1</v>
      </c>
      <c r="O53" s="9" t="s">
        <v>2249</v>
      </c>
      <c r="R53" s="8" t="s">
        <v>174</v>
      </c>
      <c r="S53" s="11">
        <f t="shared" ca="1" si="31"/>
        <v>45097.373057291668</v>
      </c>
      <c r="U53" s="8" t="str">
        <f t="shared" si="19"/>
        <v xml:space="preserve">&lt;etma:1:1:49551:4&gt;  rdf:type skos:Concept ;  </v>
      </c>
      <c r="V53" s="8" t="str">
        <f t="shared" si="20"/>
        <v xml:space="preserve"> dcterms:source "https://www.mindat.org/min-49551.html" ; </v>
      </c>
      <c r="W53" s="8" t="str">
        <f t="shared" si="21"/>
        <v xml:space="preserve">skos:definition "A CK chondrite that is of petrologic type 6."@en ; </v>
      </c>
      <c r="X53" s="8" t="str">
        <f t="shared" si="32"/>
        <v xml:space="preserve"> skos:inScheme &lt;https://mindat.org/etmat/cscheme&gt; ;  </v>
      </c>
      <c r="Y53" s="8" t="str">
        <f t="shared" si="22"/>
        <v xml:space="preserve">skos:prefLabel "CK6 chondrite meteorite"@en ; rdfs:label "CK6 chondrite meteorite"@en ; </v>
      </c>
      <c r="Z53" s="8" t="str">
        <f t="shared" si="23"/>
        <v xml:space="preserve"> skos:notation  "CK6"@en ; </v>
      </c>
      <c r="AA53" s="8" t="str">
        <f t="shared" si="7"/>
        <v>dcterms:source "https://www.lpi.usra.edu/meteor/metbullclass.php?sea=CK6";</v>
      </c>
      <c r="AB53" s="8" t="str">
        <f>"skos:broader &lt;etma:"&amp;K53&amp;"&gt;" &amp; IF(ISBLANK(M53),"", ", &lt;etma:"&amp;M53&amp;"&gt;") &amp; " ; "</f>
        <v xml:space="preserve">skos:broader &lt;etma:1:1:49543:5&gt;, &lt;etma:1:1:49845:0&gt; ; </v>
      </c>
      <c r="AC53" s="8" t="str">
        <f t="shared" ca="1" si="8"/>
        <v>dcterms:modified "2023-06-20T08:57";  .</v>
      </c>
      <c r="AD53" s="10" t="str">
        <f t="shared" ca="1" si="24"/>
        <v>&lt;etma:1:1:49551:4&gt;  rdf:type skos:Concept ;     dcterms:source "https://www.mindat.org/min-49551.html" ;   skos:definition "A CK chondrite that is of petrologic type 6."@en ;    skos:inScheme &lt;https://mindat.org/etmat/cscheme&gt; ;    skos:prefLabel "CK6 chondrite meteorite"@en ; rdfs:label "CK6 chondrite meteorite"@en ;    skos:notation  "CK6"@en ;   dcterms:source "https://www.lpi.usra.edu/meteor/metbullclass.php?sea=CK6";  skos:broader &lt;etma:1:1:49543:5&gt;, &lt;etma:1:1:49845:0&gt; ;   dcterms:modified "2023-06-20T08:57";  .</v>
      </c>
      <c r="AE53" s="8" t="s">
        <v>2591</v>
      </c>
    </row>
    <row r="54" spans="1:31" x14ac:dyDescent="0.25">
      <c r="A54" s="8">
        <v>33</v>
      </c>
      <c r="B54" s="8" t="s">
        <v>177</v>
      </c>
      <c r="C54" s="8">
        <v>49552</v>
      </c>
      <c r="D54" s="8" t="s">
        <v>175</v>
      </c>
      <c r="E54" s="8" t="s">
        <v>176</v>
      </c>
      <c r="F54" s="9">
        <v>7</v>
      </c>
      <c r="G54" s="9" t="s">
        <v>14</v>
      </c>
      <c r="H54" s="1" t="s">
        <v>2552</v>
      </c>
      <c r="I54" s="8" t="str">
        <f t="shared" si="18"/>
        <v>https://www.mindat.org/min-49552.html</v>
      </c>
      <c r="J54" s="8">
        <v>49519</v>
      </c>
      <c r="K54" s="8" t="s">
        <v>31</v>
      </c>
      <c r="N54" s="9">
        <v>1</v>
      </c>
      <c r="O54" s="9" t="s">
        <v>2249</v>
      </c>
      <c r="R54" s="8" t="s">
        <v>179</v>
      </c>
      <c r="S54" s="11">
        <v>44694.393703703703</v>
      </c>
      <c r="U54" s="8" t="str">
        <f t="shared" si="19"/>
        <v xml:space="preserve">&lt;etma:1:1:49552:3&gt;  rdf:type skos:Concept ;  </v>
      </c>
      <c r="V54" s="8" t="str">
        <f t="shared" si="20"/>
        <v xml:space="preserve"> dcterms:source "https://www.mindat.org/min-49552.html" ; </v>
      </c>
      <c r="W54" s="8" t="str">
        <f t="shared" si="21"/>
        <v xml:space="preserve">skos:definition "The Mighei (CM) chemical group of carbonaceous chondrites, distinguished by small chondrules and refractory inclusions (0.3 mm), abundant fine-grained matrix (about 70 vol percent), and abundant hydrated minerals."@en ; </v>
      </c>
      <c r="X54" s="8" t="str">
        <f t="shared" si="32"/>
        <v xml:space="preserve"> skos:inScheme &lt;https://mindat.org/etmat/cscheme&gt; ;  </v>
      </c>
      <c r="Y54" s="8" t="str">
        <f t="shared" si="22"/>
        <v xml:space="preserve">skos:prefLabel "CM chondrite meteorite"@en ; rdfs:label "CM chondrite meteorite"@en ; </v>
      </c>
      <c r="Z54" s="8" t="str">
        <f t="shared" si="23"/>
        <v xml:space="preserve"> skos:notation  "CM"@en ; </v>
      </c>
      <c r="AA54" s="8" t="str">
        <f t="shared" si="7"/>
        <v>dcterms:source "https://www.lpi.usra.edu/meteor/metbullclass.php?sea=CM";</v>
      </c>
      <c r="AB54" s="8" t="str">
        <f>"skos:broader &lt;etma:"&amp;K54&amp;"&gt;" &amp; IF(ISBLANK(M54),"", ", &lt;etma:"&amp;M54&amp;"&gt;") &amp; " ; "</f>
        <v xml:space="preserve">skos:broader &lt;etma:1:1:49519:8&gt; ; </v>
      </c>
      <c r="AC54" s="8" t="str">
        <f t="shared" si="8"/>
        <v>dcterms:modified "2022-05-13T09:26";  .</v>
      </c>
      <c r="AD54" s="10" t="str">
        <f t="shared" si="24"/>
        <v>&lt;etma:1:1:49552:3&gt;  rdf:type skos:Concept ;     dcterms:source "https://www.mindat.org/min-49552.html" ;   skos:definition "The Mighei (CM) chemical group of carbonaceous chondrites, distinguished by small chondrules and refractory inclusions (0.3 mm), abundant fine-grained matrix (about 70 vol percent), and abundant hydrated minerals."@en ;    skos:inScheme &lt;https://mindat.org/etmat/cscheme&gt; ;    skos:prefLabel "CM chondrite meteorite"@en ; rdfs:label "CM chondrite meteorite"@en ;    skos:notation  "CM"@en ;   dcterms:source "https://www.lpi.usra.edu/meteor/metbullclass.php?sea=CM";  skos:broader &lt;etma:1:1:49519:8&gt; ;   dcterms:modified "2022-05-13T09:26";  .</v>
      </c>
      <c r="AE54" s="8" t="s">
        <v>2591</v>
      </c>
    </row>
    <row r="55" spans="1:31" x14ac:dyDescent="0.25">
      <c r="A55" s="8">
        <v>34</v>
      </c>
      <c r="B55" s="8" t="s">
        <v>182</v>
      </c>
      <c r="C55" s="8">
        <v>49553</v>
      </c>
      <c r="D55" s="8" t="s">
        <v>180</v>
      </c>
      <c r="E55" s="8" t="s">
        <v>181</v>
      </c>
      <c r="F55" s="9">
        <v>7</v>
      </c>
      <c r="G55" s="9" t="s">
        <v>14</v>
      </c>
      <c r="H55" s="1" t="s">
        <v>183</v>
      </c>
      <c r="I55" s="8" t="str">
        <f t="shared" si="18"/>
        <v>https://www.mindat.org/min-49553.html</v>
      </c>
      <c r="J55" s="8">
        <v>49552</v>
      </c>
      <c r="K55" s="8" t="s">
        <v>175</v>
      </c>
      <c r="L55" s="9">
        <v>49840</v>
      </c>
      <c r="M55" s="8" t="s">
        <v>2273</v>
      </c>
      <c r="N55" s="9">
        <v>1</v>
      </c>
      <c r="O55" s="9" t="s">
        <v>2249</v>
      </c>
      <c r="R55" s="8" t="s">
        <v>184</v>
      </c>
      <c r="S55" s="11">
        <f t="shared" ref="S55:S56" ca="1" si="33">NOW()</f>
        <v>45097.373057291668</v>
      </c>
      <c r="U55" s="8" t="str">
        <f t="shared" si="19"/>
        <v xml:space="preserve">&lt;etma:1:1:49553:2&gt;  rdf:type skos:Concept ;  </v>
      </c>
      <c r="V55" s="8" t="str">
        <f t="shared" si="20"/>
        <v xml:space="preserve"> dcterms:source "https://www.mindat.org/min-49553.html" ; </v>
      </c>
      <c r="W55" s="8" t="str">
        <f t="shared" si="21"/>
        <v xml:space="preserve">skos:definition "A CM chondrite that is of petrologic type 1."@en ; </v>
      </c>
      <c r="X55" s="8" t="str">
        <f t="shared" si="32"/>
        <v xml:space="preserve"> skos:inScheme &lt;https://mindat.org/etmat/cscheme&gt; ;  </v>
      </c>
      <c r="Y55" s="8" t="str">
        <f t="shared" si="22"/>
        <v xml:space="preserve">skos:prefLabel "CM1 chondrite meteorite"@en ; rdfs:label "CM1 chondrite meteorite"@en ; </v>
      </c>
      <c r="Z55" s="8" t="str">
        <f t="shared" si="23"/>
        <v xml:space="preserve"> skos:notation  "CM1"@en ; </v>
      </c>
      <c r="AA55" s="8" t="str">
        <f t="shared" si="7"/>
        <v>dcterms:source "https://www.lpi.usra.edu/meteor/metbullclass.php?sea=CM1";</v>
      </c>
      <c r="AB55" s="8" t="str">
        <f>"skos:broader &lt;etma:"&amp;K55&amp;"&gt;" &amp; IF(ISBLANK(M55),"", ", &lt;etma:"&amp;M55&amp;"&gt;") &amp; " ; "</f>
        <v xml:space="preserve">skos:broader &lt;etma:1:1:49552:3&gt;, &lt;etma:1:1:49840:5&gt; ; </v>
      </c>
      <c r="AC55" s="8" t="str">
        <f t="shared" ca="1" si="8"/>
        <v>dcterms:modified "2023-06-20T08:57";  .</v>
      </c>
      <c r="AD55" s="10" t="str">
        <f t="shared" ca="1" si="24"/>
        <v>&lt;etma:1:1:49553:2&gt;  rdf:type skos:Concept ;     dcterms:source "https://www.mindat.org/min-49553.html" ;   skos:definition "A CM chondrite that is of petrologic type 1."@en ;    skos:inScheme &lt;https://mindat.org/etmat/cscheme&gt; ;    skos:prefLabel "CM1 chondrite meteorite"@en ; rdfs:label "CM1 chondrite meteorite"@en ;    skos:notation  "CM1"@en ;   dcterms:source "https://www.lpi.usra.edu/meteor/metbullclass.php?sea=CM1";  skos:broader &lt;etma:1:1:49552:3&gt;, &lt;etma:1:1:49840:5&gt; ;   dcterms:modified "2023-06-20T08:57";  .</v>
      </c>
      <c r="AE55" s="8" t="s">
        <v>2591</v>
      </c>
    </row>
    <row r="56" spans="1:31" x14ac:dyDescent="0.25">
      <c r="A56" s="8">
        <v>35</v>
      </c>
      <c r="B56" s="8" t="s">
        <v>187</v>
      </c>
      <c r="C56" s="8">
        <v>49554</v>
      </c>
      <c r="D56" s="8" t="s">
        <v>185</v>
      </c>
      <c r="E56" s="8" t="s">
        <v>186</v>
      </c>
      <c r="F56" s="9">
        <v>7</v>
      </c>
      <c r="G56" s="9" t="s">
        <v>14</v>
      </c>
      <c r="H56" s="1" t="s">
        <v>188</v>
      </c>
      <c r="I56" s="8" t="str">
        <f t="shared" si="18"/>
        <v>https://www.mindat.org/min-49554.html</v>
      </c>
      <c r="J56" s="8">
        <v>49553</v>
      </c>
      <c r="K56" s="8" t="s">
        <v>180</v>
      </c>
      <c r="L56" s="9">
        <v>49557</v>
      </c>
      <c r="M56" s="8" t="s">
        <v>195</v>
      </c>
      <c r="N56" s="9">
        <v>0</v>
      </c>
      <c r="O56" s="9" t="s">
        <v>2249</v>
      </c>
      <c r="R56" s="8" t="s">
        <v>189</v>
      </c>
      <c r="S56" s="11">
        <f t="shared" ca="1" si="33"/>
        <v>45097.373057291668</v>
      </c>
      <c r="U56" s="8" t="str">
        <f t="shared" si="19"/>
        <v xml:space="preserve">&lt;etma:1:1:49554:1&gt;  rdf:type skos:Concept ;  </v>
      </c>
      <c r="V56" s="8" t="str">
        <f t="shared" si="20"/>
        <v xml:space="preserve"> dcterms:source "https://www.mindat.org/min-49554.html" ; </v>
      </c>
      <c r="W56" s="8" t="str">
        <f t="shared" si="21"/>
        <v xml:space="preserve">skos:definition "A CM chondrite that is transitional between petrologic type 1 and 2."@en ; </v>
      </c>
      <c r="X56" s="8" t="str">
        <f t="shared" si="32"/>
        <v xml:space="preserve"> skos:inScheme &lt;https://mindat.org/etmat/cscheme&gt; ;  </v>
      </c>
      <c r="Y56" s="8" t="str">
        <f t="shared" si="22"/>
        <v xml:space="preserve">skos:prefLabel "CM1/2 chondrite meteorite"@en ; rdfs:label "CM1/2 chondrite meteorite"@en ; </v>
      </c>
      <c r="Z56" s="8" t="str">
        <f t="shared" si="23"/>
        <v xml:space="preserve"> skos:notation  "CM1/2"@en ; </v>
      </c>
      <c r="AA56" s="8" t="str">
        <f t="shared" si="7"/>
        <v>dcterms:source "https://www.lpi.usra.edu/meteor/metbullclass.php?sea=CM1/2";</v>
      </c>
      <c r="AB56" s="8" t="str">
        <f>"skos:broader &lt;etma:"&amp;K56&amp;"&gt;" &amp; IF(ISBLANK(M56),"", ", &lt;etma:"&amp;M56&amp;"&gt;") &amp; " ; "</f>
        <v xml:space="preserve">skos:broader &lt;etma:1:1:49553:2&gt;, &lt;etma:1:1:49557:8&gt; ; </v>
      </c>
      <c r="AC56" s="8" t="str">
        <f t="shared" ca="1" si="8"/>
        <v>dcterms:modified "2023-06-20T08:57";  .</v>
      </c>
      <c r="AD56" s="10" t="str">
        <f t="shared" ca="1" si="24"/>
        <v>&lt;etma:1:1:49554:1&gt;  rdf:type skos:Concept ;     dcterms:source "https://www.mindat.org/min-49554.html" ;   skos:definition "A CM chondrite that is transitional between petrologic type 1 and 2."@en ;    skos:inScheme &lt;https://mindat.org/etmat/cscheme&gt; ;    skos:prefLabel "CM1/2 chondrite meteorite"@en ; rdfs:label "CM1/2 chondrite meteorite"@en ;    skos:notation  "CM1/2"@en ;   dcterms:source "https://www.lpi.usra.edu/meteor/metbullclass.php?sea=CM1/2";  skos:broader &lt;etma:1:1:49553:2&gt;, &lt;etma:1:1:49557:8&gt; ;   dcterms:modified "2023-06-20T08:57";  .</v>
      </c>
      <c r="AE56" s="8" t="s">
        <v>2591</v>
      </c>
    </row>
    <row r="57" spans="1:31" x14ac:dyDescent="0.25">
      <c r="A57" s="8">
        <v>36</v>
      </c>
      <c r="B57" s="8" t="s">
        <v>192</v>
      </c>
      <c r="C57" s="8">
        <v>49556</v>
      </c>
      <c r="D57" s="8" t="s">
        <v>190</v>
      </c>
      <c r="E57" s="8" t="s">
        <v>191</v>
      </c>
      <c r="F57" s="9">
        <v>7</v>
      </c>
      <c r="G57" s="9" t="s">
        <v>14</v>
      </c>
      <c r="H57" s="1" t="s">
        <v>193</v>
      </c>
      <c r="I57" s="8" t="str">
        <f t="shared" si="18"/>
        <v>https://www.mindat.org/min-49556.html</v>
      </c>
      <c r="J57" s="8">
        <v>49552</v>
      </c>
      <c r="K57" s="8" t="s">
        <v>175</v>
      </c>
      <c r="N57" s="9">
        <v>0</v>
      </c>
      <c r="O57" s="9">
        <v>52377</v>
      </c>
      <c r="P57" s="8" t="s">
        <v>2499</v>
      </c>
      <c r="Q57" s="8" t="s">
        <v>2500</v>
      </c>
      <c r="R57" s="8" t="s">
        <v>194</v>
      </c>
      <c r="S57" s="11">
        <v>43050.918483796297</v>
      </c>
      <c r="U57" s="8" t="str">
        <f t="shared" si="19"/>
        <v xml:space="preserve">&lt;etma:1:1:49556:9&gt;  rdf:type skos:Concept ;  </v>
      </c>
      <c r="V57" s="8" t="str">
        <f t="shared" si="20"/>
        <v xml:space="preserve"> dcterms:source "https://www.mindat.org/min-49556.html" ; </v>
      </c>
      <c r="W57" s="8" t="str">
        <f t="shared" si="21"/>
        <v xml:space="preserve">skos:definition "A CM chondrite that is anomalous and for which the petrologic type has not been determined."@en ; </v>
      </c>
      <c r="X57" s="8" t="str">
        <f t="shared" si="25"/>
        <v xml:space="preserve"> skos:inScheme &lt;http://example.org/mindat/etmat/cscheme&gt; ;  </v>
      </c>
      <c r="Y57" s="8" t="str">
        <f t="shared" si="22"/>
        <v xml:space="preserve">skos:prefLabel "Anomalous CM chondrite meteorite"@en ; rdfs:label "Anomalous CM chondrite meteorite"@en ; </v>
      </c>
      <c r="Z57" s="8" t="str">
        <f t="shared" si="23"/>
        <v xml:space="preserve">skos:altLabel "CM-an chondrite meteorite"@en ; skos:exactMatch  &lt;etma:1:1:52377:4&gt; ;  skos:notation  "CM-an"@en ; </v>
      </c>
      <c r="AA57" s="8" t="str">
        <f t="shared" si="7"/>
        <v>dcterms:source "https://www.lpi.usra.edu/meteor/metbullclass.php?sea=CM-an";</v>
      </c>
      <c r="AB57" s="8" t="str">
        <f>"skos:broader &lt;etma:"&amp;K57&amp;"&gt;" &amp; IF(ISBLANK(M57),"", ", &lt;etma:"&amp;M57&amp;"&gt;") &amp; " ; "</f>
        <v xml:space="preserve">skos:broader &lt;etma:1:1:49552:3&gt; ; </v>
      </c>
      <c r="AC57" s="8" t="str">
        <f t="shared" si="8"/>
        <v>dcterms:modified "2017-11-11T22:02";  .</v>
      </c>
      <c r="AD57" s="10" t="str">
        <f t="shared" si="24"/>
        <v>&lt;etma:1:1:49556:9&gt;  rdf:type skos:Concept ;     dcterms:source "https://www.mindat.org/min-49556.html" ;   skos:definition "A CM chondrite that is anomalous and for which the petrologic type has not been determined."@en ;    skos:inScheme &lt;http://example.org/mindat/etmat/cscheme&gt; ;    skos:prefLabel "Anomalous CM chondrite meteorite"@en ; rdfs:label "Anomalous CM chondrite meteorite"@en ;   skos:altLabel "CM-an chondrite meteorite"@en ; skos:exactMatch  &lt;etma:1:1:52377:4&gt; ;  skos:notation  "CM-an"@en ;   dcterms:source "https://www.lpi.usra.edu/meteor/metbullclass.php?sea=CM-an";  skos:broader &lt;etma:1:1:49552:3&gt; ;   dcterms:modified "2017-11-11T22:02";  .</v>
      </c>
      <c r="AE57" s="8" t="s">
        <v>2591</v>
      </c>
    </row>
    <row r="58" spans="1:31" x14ac:dyDescent="0.25">
      <c r="A58" s="8">
        <v>37</v>
      </c>
      <c r="B58" s="8" t="s">
        <v>197</v>
      </c>
      <c r="C58" s="8">
        <v>49557</v>
      </c>
      <c r="D58" s="8" t="s">
        <v>195</v>
      </c>
      <c r="E58" s="8" t="s">
        <v>196</v>
      </c>
      <c r="F58" s="9">
        <v>7</v>
      </c>
      <c r="G58" s="9" t="s">
        <v>14</v>
      </c>
      <c r="H58" s="1" t="s">
        <v>198</v>
      </c>
      <c r="I58" s="8" t="str">
        <f t="shared" si="18"/>
        <v>https://www.mindat.org/min-49557.html</v>
      </c>
      <c r="J58" s="8">
        <v>49552</v>
      </c>
      <c r="K58" s="8" t="s">
        <v>175</v>
      </c>
      <c r="L58" s="9">
        <v>49841</v>
      </c>
      <c r="M58" s="8" t="s">
        <v>2396</v>
      </c>
      <c r="N58" s="9">
        <v>1</v>
      </c>
      <c r="O58" s="9" t="s">
        <v>2249</v>
      </c>
      <c r="R58" s="8" t="s">
        <v>199</v>
      </c>
      <c r="S58" s="11">
        <f ca="1">NOW()</f>
        <v>45097.373057291668</v>
      </c>
      <c r="U58" s="8" t="str">
        <f t="shared" si="19"/>
        <v xml:space="preserve">&lt;etma:1:1:49557:8&gt;  rdf:type skos:Concept ;  </v>
      </c>
      <c r="V58" s="8" t="str">
        <f t="shared" si="20"/>
        <v xml:space="preserve"> dcterms:source "https://www.mindat.org/min-49557.html" ; </v>
      </c>
      <c r="W58" s="8" t="str">
        <f t="shared" si="21"/>
        <v xml:space="preserve">skos:definition "A CM chondrite that is of petrologic type 2."@en ; </v>
      </c>
      <c r="X58" s="8" t="str">
        <f>" skos:inScheme &lt;https://mindat.org/etmat/cscheme&gt; ;  "</f>
        <v xml:space="preserve"> skos:inScheme &lt;https://mindat.org/etmat/cscheme&gt; ;  </v>
      </c>
      <c r="Y58" s="8" t="str">
        <f t="shared" si="22"/>
        <v xml:space="preserve">skos:prefLabel "CM2 chondrite meteorite"@en ; rdfs:label "CM2 chondrite meteorite"@en ; </v>
      </c>
      <c r="Z58" s="8" t="str">
        <f t="shared" si="23"/>
        <v xml:space="preserve"> skos:notation  "CM2"@en ; </v>
      </c>
      <c r="AA58" s="8" t="str">
        <f t="shared" si="7"/>
        <v>dcterms:source "https://www.lpi.usra.edu/meteor/metbullclass.php?sea=CM2";</v>
      </c>
      <c r="AB58" s="8" t="str">
        <f>"skos:broader &lt;etma:"&amp;K58&amp;"&gt;" &amp; IF(ISBLANK(M58),"", ", &lt;etma:"&amp;M58&amp;"&gt;") &amp; " ; "</f>
        <v xml:space="preserve">skos:broader &lt;etma:1:1:49552:3&gt;, &lt;etma:1:1:49841:4&gt; ; </v>
      </c>
      <c r="AC58" s="8" t="str">
        <f t="shared" ca="1" si="8"/>
        <v>dcterms:modified "2023-06-20T08:57";  .</v>
      </c>
      <c r="AD58" s="10" t="str">
        <f t="shared" ca="1" si="24"/>
        <v>&lt;etma:1:1:49557:8&gt;  rdf:type skos:Concept ;     dcterms:source "https://www.mindat.org/min-49557.html" ;   skos:definition "A CM chondrite that is of petrologic type 2."@en ;    skos:inScheme &lt;https://mindat.org/etmat/cscheme&gt; ;    skos:prefLabel "CM2 chondrite meteorite"@en ; rdfs:label "CM2 chondrite meteorite"@en ;    skos:notation  "CM2"@en ;   dcterms:source "https://www.lpi.usra.edu/meteor/metbullclass.php?sea=CM2";  skos:broader &lt;etma:1:1:49552:3&gt;, &lt;etma:1:1:49841:4&gt; ;   dcterms:modified "2023-06-20T08:57";  .</v>
      </c>
      <c r="AE58" s="8" t="s">
        <v>2591</v>
      </c>
    </row>
    <row r="59" spans="1:31" x14ac:dyDescent="0.25">
      <c r="A59" s="8">
        <v>38</v>
      </c>
      <c r="B59" s="8" t="s">
        <v>202</v>
      </c>
      <c r="C59" s="8">
        <v>49558</v>
      </c>
      <c r="D59" s="8" t="s">
        <v>200</v>
      </c>
      <c r="E59" s="8" t="s">
        <v>201</v>
      </c>
      <c r="F59" s="9">
        <v>7</v>
      </c>
      <c r="G59" s="9" t="s">
        <v>14</v>
      </c>
      <c r="H59" s="1" t="s">
        <v>203</v>
      </c>
      <c r="I59" s="8" t="str">
        <f t="shared" si="18"/>
        <v>https://www.mindat.org/min-49558.html</v>
      </c>
      <c r="J59" s="8">
        <v>49557</v>
      </c>
      <c r="K59" s="8" t="s">
        <v>195</v>
      </c>
      <c r="L59" s="9">
        <v>49557</v>
      </c>
      <c r="M59" s="8" t="s">
        <v>195</v>
      </c>
      <c r="N59" s="9">
        <v>0</v>
      </c>
      <c r="O59" s="9">
        <v>52388</v>
      </c>
      <c r="P59" s="8" t="s">
        <v>2501</v>
      </c>
      <c r="Q59" s="8" t="s">
        <v>2502</v>
      </c>
      <c r="R59" s="8" t="s">
        <v>204</v>
      </c>
      <c r="S59" s="11">
        <v>43051.017118055555</v>
      </c>
      <c r="U59" s="8" t="str">
        <f t="shared" si="19"/>
        <v xml:space="preserve">&lt;etma:1:1:49558:7&gt;  rdf:type skos:Concept ;  </v>
      </c>
      <c r="V59" s="8" t="str">
        <f t="shared" si="20"/>
        <v xml:space="preserve"> dcterms:source "https://www.mindat.org/min-49558.html" ; </v>
      </c>
      <c r="W59" s="8" t="str">
        <f t="shared" si="21"/>
        <v xml:space="preserve">skos:definition "A CM chondrite that is petrologic type 2 and has anomalous properties."@en ; </v>
      </c>
      <c r="X59" s="8" t="str">
        <f t="shared" si="25"/>
        <v xml:space="preserve"> skos:inScheme &lt;http://example.org/mindat/etmat/cscheme&gt; ;  </v>
      </c>
      <c r="Y59" s="8" t="str">
        <f t="shared" si="22"/>
        <v xml:space="preserve">skos:prefLabel "Anomalous CM2 chondrite meteorite"@en ; rdfs:label "Anomalous CM2 chondrite meteorite"@en ; </v>
      </c>
      <c r="Z59" s="8" t="str">
        <f t="shared" si="23"/>
        <v xml:space="preserve">skos:altLabel "CM2-an chondrite meteorite"@en ; skos:exactMatch  &lt;etma:1:1:52388:0&gt; ;  skos:notation  "CM2-an"@en ; </v>
      </c>
      <c r="AA59" s="8" t="str">
        <f t="shared" si="7"/>
        <v>dcterms:source "https://www.lpi.usra.edu/meteor/metbullclass.php?sea=CM2-an";</v>
      </c>
      <c r="AB59" s="8" t="str">
        <f>"skos:broader &lt;etma:"&amp;K59&amp;"&gt;" &amp; IF(ISBLANK(M59),"", ", &lt;etma:"&amp;M59&amp;"&gt;") &amp; " ; "</f>
        <v xml:space="preserve">skos:broader &lt;etma:1:1:49557:8&gt;, &lt;etma:1:1:49557:8&gt; ; </v>
      </c>
      <c r="AC59" s="8" t="str">
        <f t="shared" si="8"/>
        <v>dcterms:modified "2017-11-12T00:24";  .</v>
      </c>
      <c r="AD59" s="10" t="str">
        <f t="shared" si="24"/>
        <v>&lt;etma:1:1:49558:7&gt;  rdf:type skos:Concept ;     dcterms:source "https://www.mindat.org/min-49558.html" ;   skos:definition "A CM chondrite that is petrologic type 2 and has anomalous properties."@en ;    skos:inScheme &lt;http://example.org/mindat/etmat/cscheme&gt; ;    skos:prefLabel "Anomalous CM2 chondrite meteorite"@en ; rdfs:label "Anomalous CM2 chondrite meteorite"@en ;   skos:altLabel "CM2-an chondrite meteorite"@en ; skos:exactMatch  &lt;etma:1:1:52388:0&gt; ;  skos:notation  "CM2-an"@en ;   dcterms:source "https://www.lpi.usra.edu/meteor/metbullclass.php?sea=CM2-an";  skos:broader &lt;etma:1:1:49557:8&gt;, &lt;etma:1:1:49557:8&gt; ;   dcterms:modified "2017-11-12T00:24";  .</v>
      </c>
      <c r="AE59" s="8" t="s">
        <v>2591</v>
      </c>
    </row>
    <row r="60" spans="1:31" x14ac:dyDescent="0.25">
      <c r="A60" s="8">
        <v>39</v>
      </c>
      <c r="B60" s="8" t="s">
        <v>207</v>
      </c>
      <c r="C60" s="8">
        <v>49559</v>
      </c>
      <c r="D60" s="8" t="s">
        <v>205</v>
      </c>
      <c r="E60" s="8" t="s">
        <v>206</v>
      </c>
      <c r="F60" s="9">
        <v>7</v>
      </c>
      <c r="G60" s="9" t="s">
        <v>14</v>
      </c>
      <c r="H60" s="1" t="s">
        <v>208</v>
      </c>
      <c r="I60" s="8" t="str">
        <f t="shared" si="18"/>
        <v>https://www.mindat.org/min-49559.html</v>
      </c>
      <c r="J60" s="8">
        <v>49519</v>
      </c>
      <c r="K60" s="8" t="s">
        <v>31</v>
      </c>
      <c r="N60" s="9">
        <v>1</v>
      </c>
      <c r="O60" s="9" t="s">
        <v>2249</v>
      </c>
      <c r="R60" s="8" t="s">
        <v>209</v>
      </c>
      <c r="S60" s="11">
        <f t="shared" ref="S60:S74" ca="1" si="34">NOW()</f>
        <v>45097.373057291668</v>
      </c>
      <c r="U60" s="8" t="str">
        <f t="shared" si="19"/>
        <v xml:space="preserve">&lt;etma:1:1:49559:6&gt;  rdf:type skos:Concept ;  </v>
      </c>
      <c r="V60" s="8" t="str">
        <f t="shared" si="20"/>
        <v xml:space="preserve"> dcterms:source "https://www.mindat.org/min-49559.html" ; </v>
      </c>
      <c r="W60" s="8" t="str">
        <f t="shared" si="21"/>
        <v xml:space="preserve">skos:definition "The Ornans (CO) chemical group of carbonaceous chondrites, distinguished by small chondrules and refractory inclusions."@en ; </v>
      </c>
      <c r="X60" s="8" t="str">
        <f t="shared" ref="X60:X74" si="35">" skos:inScheme &lt;https://mindat.org/etmat/cscheme&gt; ;  "</f>
        <v xml:space="preserve"> skos:inScheme &lt;https://mindat.org/etmat/cscheme&gt; ;  </v>
      </c>
      <c r="Y60" s="8" t="str">
        <f t="shared" si="22"/>
        <v xml:space="preserve">skos:prefLabel "CO chondrite meteorite"@en ; rdfs:label "CO chondrite meteorite"@en ; </v>
      </c>
      <c r="Z60" s="8" t="str">
        <f t="shared" si="23"/>
        <v xml:space="preserve"> skos:notation  "CO"@en ; </v>
      </c>
      <c r="AA60" s="8" t="str">
        <f t="shared" si="7"/>
        <v>dcterms:source "https://www.lpi.usra.edu/meteor/metbullclass.php?sea=CO";</v>
      </c>
      <c r="AB60" s="8" t="str">
        <f>"skos:broader &lt;etma:"&amp;K60&amp;"&gt;" &amp; IF(ISBLANK(M60),"", ", &lt;etma:"&amp;M60&amp;"&gt;") &amp; " ; "</f>
        <v xml:space="preserve">skos:broader &lt;etma:1:1:49519:8&gt; ; </v>
      </c>
      <c r="AC60" s="8" t="str">
        <f t="shared" ca="1" si="8"/>
        <v>dcterms:modified "2023-06-20T08:57";  .</v>
      </c>
      <c r="AD60" s="10" t="str">
        <f t="shared" ca="1" si="24"/>
        <v>&lt;etma:1:1:49559:6&gt;  rdf:type skos:Concept ;     dcterms:source "https://www.mindat.org/min-49559.html" ;   skos:definition "The Ornans (CO) chemical group of carbonaceous chondrites, distinguished by small chondrules and refractory inclusions."@en ;    skos:inScheme &lt;https://mindat.org/etmat/cscheme&gt; ;    skos:prefLabel "CO chondrite meteorite"@en ; rdfs:label "CO chondrite meteorite"@en ;    skos:notation  "CO"@en ;   dcterms:source "https://www.lpi.usra.edu/meteor/metbullclass.php?sea=CO";  skos:broader &lt;etma:1:1:49519:8&gt; ;   dcterms:modified "2023-06-20T08:57";  .</v>
      </c>
      <c r="AE60" s="8" t="s">
        <v>2591</v>
      </c>
    </row>
    <row r="61" spans="1:31" x14ac:dyDescent="0.25">
      <c r="A61" s="8">
        <v>40</v>
      </c>
      <c r="B61" s="8" t="s">
        <v>212</v>
      </c>
      <c r="C61" s="8">
        <v>49560</v>
      </c>
      <c r="D61" s="8" t="s">
        <v>210</v>
      </c>
      <c r="E61" s="8" t="s">
        <v>211</v>
      </c>
      <c r="F61" s="9">
        <v>7</v>
      </c>
      <c r="G61" s="9" t="s">
        <v>14</v>
      </c>
      <c r="H61" s="1" t="s">
        <v>213</v>
      </c>
      <c r="I61" s="8" t="str">
        <f t="shared" si="18"/>
        <v>https://www.mindat.org/min-49560.html</v>
      </c>
      <c r="J61" s="8">
        <v>49559</v>
      </c>
      <c r="K61" s="8" t="s">
        <v>205</v>
      </c>
      <c r="L61" s="9">
        <v>49842</v>
      </c>
      <c r="M61" s="8" t="s">
        <v>2400</v>
      </c>
      <c r="N61" s="9">
        <v>1</v>
      </c>
      <c r="O61" s="9" t="s">
        <v>2249</v>
      </c>
      <c r="R61" s="8" t="s">
        <v>214</v>
      </c>
      <c r="S61" s="11">
        <f t="shared" ca="1" si="34"/>
        <v>45097.373057407407</v>
      </c>
      <c r="U61" s="8" t="str">
        <f t="shared" si="19"/>
        <v xml:space="preserve">&lt;etma:1:1:49560:2&gt;  rdf:type skos:Concept ;  </v>
      </c>
      <c r="V61" s="8" t="str">
        <f t="shared" si="20"/>
        <v xml:space="preserve"> dcterms:source "https://www.mindat.org/min-49560.html" ; </v>
      </c>
      <c r="W61" s="8" t="str">
        <f t="shared" si="21"/>
        <v xml:space="preserve">skos:definition "A CO chondrite that is of petrologic type 3."@en ; </v>
      </c>
      <c r="X61" s="8" t="str">
        <f t="shared" si="35"/>
        <v xml:space="preserve"> skos:inScheme &lt;https://mindat.org/etmat/cscheme&gt; ;  </v>
      </c>
      <c r="Y61" s="8" t="str">
        <f t="shared" si="22"/>
        <v xml:space="preserve">skos:prefLabel "CO3 chondrite meteorite"@en ; rdfs:label "CO3 chondrite meteorite"@en ; </v>
      </c>
      <c r="Z61" s="8" t="str">
        <f t="shared" si="23"/>
        <v xml:space="preserve"> skos:notation  "CO3"@en ; </v>
      </c>
      <c r="AA61" s="8" t="str">
        <f t="shared" si="7"/>
        <v>dcterms:source "https://www.lpi.usra.edu/meteor/metbullclass.php?sea=CO3";</v>
      </c>
      <c r="AB61" s="8" t="str">
        <f>"skos:broader &lt;etma:"&amp;K61&amp;"&gt;" &amp; IF(ISBLANK(M61),"", ", &lt;etma:"&amp;M61&amp;"&gt;") &amp; " ; "</f>
        <v xml:space="preserve">skos:broader &lt;etma:1:1:49559:6&gt;, &lt;etma:1:1:49842:3&gt; ; </v>
      </c>
      <c r="AC61" s="8" t="str">
        <f t="shared" ca="1" si="8"/>
        <v>dcterms:modified "2023-06-20T08:57";  .</v>
      </c>
      <c r="AD61" s="10" t="str">
        <f t="shared" ca="1" si="24"/>
        <v>&lt;etma:1:1:49560:2&gt;  rdf:type skos:Concept ;     dcterms:source "https://www.mindat.org/min-49560.html" ;   skos:definition "A CO chondrite that is of petrologic type 3."@en ;    skos:inScheme &lt;https://mindat.org/etmat/cscheme&gt; ;    skos:prefLabel "CO3 chondrite meteorite"@en ; rdfs:label "CO3 chondrite meteorite"@en ;    skos:notation  "CO3"@en ;   dcterms:source "https://www.lpi.usra.edu/meteor/metbullclass.php?sea=CO3";  skos:broader &lt;etma:1:1:49559:6&gt;, &lt;etma:1:1:49842:3&gt; ;   dcterms:modified "2023-06-20T08:57";  .</v>
      </c>
      <c r="AE61" s="8" t="s">
        <v>2591</v>
      </c>
    </row>
    <row r="62" spans="1:31" x14ac:dyDescent="0.25">
      <c r="A62" s="8">
        <v>41</v>
      </c>
      <c r="B62" s="8" t="s">
        <v>217</v>
      </c>
      <c r="C62" s="8">
        <v>49561</v>
      </c>
      <c r="D62" s="8" t="s">
        <v>215</v>
      </c>
      <c r="E62" s="8" t="s">
        <v>216</v>
      </c>
      <c r="F62" s="9">
        <v>7</v>
      </c>
      <c r="G62" s="9" t="s">
        <v>14</v>
      </c>
      <c r="H62" s="1" t="s">
        <v>218</v>
      </c>
      <c r="I62" s="8" t="str">
        <f t="shared" si="18"/>
        <v>https://www.mindat.org/min-49561.html</v>
      </c>
      <c r="J62" s="8">
        <v>49560</v>
      </c>
      <c r="K62" s="8" t="s">
        <v>210</v>
      </c>
      <c r="N62" s="9">
        <v>0</v>
      </c>
      <c r="O62" s="9" t="s">
        <v>2249</v>
      </c>
      <c r="R62" s="8" t="s">
        <v>219</v>
      </c>
      <c r="S62" s="11">
        <f t="shared" ca="1" si="34"/>
        <v>45097.373057291668</v>
      </c>
      <c r="U62" s="8" t="str">
        <f t="shared" si="19"/>
        <v xml:space="preserve">&lt;etma:1:1:49561:1&gt;  rdf:type skos:Concept ;  </v>
      </c>
      <c r="V62" s="8" t="str">
        <f t="shared" si="20"/>
        <v xml:space="preserve"> dcterms:source "https://www.mindat.org/min-49561.html" ; </v>
      </c>
      <c r="W62" s="8" t="str">
        <f t="shared" si="21"/>
        <v xml:space="preserve">skos:definition "A CO chondrite that is of petrologic type 3.0."@en ; </v>
      </c>
      <c r="X62" s="8" t="str">
        <f t="shared" si="35"/>
        <v xml:space="preserve"> skos:inScheme &lt;https://mindat.org/etmat/cscheme&gt; ;  </v>
      </c>
      <c r="Y62" s="8" t="str">
        <f t="shared" si="22"/>
        <v xml:space="preserve">skos:prefLabel "CO3.0 chondrite meteorite"@en ; rdfs:label "CO3.0 chondrite meteorite"@en ; </v>
      </c>
      <c r="Z62" s="8" t="str">
        <f t="shared" si="23"/>
        <v xml:space="preserve"> skos:notation  "CO3.0"@en ; </v>
      </c>
      <c r="AA62" s="8" t="str">
        <f t="shared" si="7"/>
        <v>dcterms:source "https://www.lpi.usra.edu/meteor/metbullclass.php?sea=CO3.0";</v>
      </c>
      <c r="AB62" s="8" t="str">
        <f>"skos:broader &lt;etma:"&amp;K62&amp;"&gt;" &amp; IF(ISBLANK(M62),"", ", &lt;etma:"&amp;M62&amp;"&gt;") &amp; " ; "</f>
        <v xml:space="preserve">skos:broader &lt;etma:1:1:49560:2&gt; ; </v>
      </c>
      <c r="AC62" s="8" t="str">
        <f t="shared" ca="1" si="8"/>
        <v>dcterms:modified "2023-06-20T08:57";  .</v>
      </c>
      <c r="AD62" s="10" t="str">
        <f t="shared" ca="1" si="24"/>
        <v>&lt;etma:1:1:49561:1&gt;  rdf:type skos:Concept ;     dcterms:source "https://www.mindat.org/min-49561.html" ;   skos:definition "A CO chondrite that is of petrologic type 3.0."@en ;    skos:inScheme &lt;https://mindat.org/etmat/cscheme&gt; ;    skos:prefLabel "CO3.0 chondrite meteorite"@en ; rdfs:label "CO3.0 chondrite meteorite"@en ;    skos:notation  "CO3.0"@en ;   dcterms:source "https://www.lpi.usra.edu/meteor/metbullclass.php?sea=CO3.0";  skos:broader &lt;etma:1:1:49560:2&gt; ;   dcterms:modified "2023-06-20T08:57";  .</v>
      </c>
      <c r="AE62" s="8" t="s">
        <v>2591</v>
      </c>
    </row>
    <row r="63" spans="1:31" x14ac:dyDescent="0.25">
      <c r="A63" s="8">
        <v>42</v>
      </c>
      <c r="B63" s="8" t="s">
        <v>222</v>
      </c>
      <c r="C63" s="8">
        <v>49562</v>
      </c>
      <c r="D63" s="8" t="s">
        <v>220</v>
      </c>
      <c r="E63" s="8" t="s">
        <v>221</v>
      </c>
      <c r="F63" s="9">
        <v>7</v>
      </c>
      <c r="G63" s="9" t="s">
        <v>14</v>
      </c>
      <c r="H63" s="1" t="s">
        <v>223</v>
      </c>
      <c r="I63" s="8" t="str">
        <f t="shared" si="18"/>
        <v>https://www.mindat.org/min-49562.html</v>
      </c>
      <c r="J63" s="8">
        <v>49560</v>
      </c>
      <c r="K63" s="8" t="s">
        <v>210</v>
      </c>
      <c r="N63" s="9">
        <v>0</v>
      </c>
      <c r="O63" s="9" t="s">
        <v>2249</v>
      </c>
      <c r="R63" s="8" t="s">
        <v>224</v>
      </c>
      <c r="S63" s="11">
        <f t="shared" ca="1" si="34"/>
        <v>45097.373057407407</v>
      </c>
      <c r="U63" s="8" t="str">
        <f t="shared" si="19"/>
        <v xml:space="preserve">&lt;etma:1:1:49562:0&gt;  rdf:type skos:Concept ;  </v>
      </c>
      <c r="V63" s="8" t="str">
        <f t="shared" si="20"/>
        <v xml:space="preserve"> dcterms:source "https://www.mindat.org/min-49562.html" ; </v>
      </c>
      <c r="W63" s="8" t="str">
        <f t="shared" si="21"/>
        <v xml:space="preserve">skos:definition "A CO chondrite that is of petrologic type 3.1."@en ; </v>
      </c>
      <c r="X63" s="8" t="str">
        <f t="shared" si="35"/>
        <v xml:space="preserve"> skos:inScheme &lt;https://mindat.org/etmat/cscheme&gt; ;  </v>
      </c>
      <c r="Y63" s="8" t="str">
        <f t="shared" si="22"/>
        <v xml:space="preserve">skos:prefLabel "CO3.1 chondrite meteorite"@en ; rdfs:label "CO3.1 chondrite meteorite"@en ; </v>
      </c>
      <c r="Z63" s="8" t="str">
        <f t="shared" si="23"/>
        <v xml:space="preserve"> skos:notation  "CO3.1"@en ; </v>
      </c>
      <c r="AA63" s="8" t="str">
        <f t="shared" si="7"/>
        <v>dcterms:source "https://www.lpi.usra.edu/meteor/metbullclass.php?sea=CO3.1";</v>
      </c>
      <c r="AB63" s="8" t="str">
        <f>"skos:broader &lt;etma:"&amp;K63&amp;"&gt;" &amp; IF(ISBLANK(M63),"", ", &lt;etma:"&amp;M63&amp;"&gt;") &amp; " ; "</f>
        <v xml:space="preserve">skos:broader &lt;etma:1:1:49560:2&gt; ; </v>
      </c>
      <c r="AC63" s="8" t="str">
        <f t="shared" ca="1" si="8"/>
        <v>dcterms:modified "2023-06-20T08:57";  .</v>
      </c>
      <c r="AD63" s="10" t="str">
        <f t="shared" ca="1" si="24"/>
        <v>&lt;etma:1:1:49562:0&gt;  rdf:type skos:Concept ;     dcterms:source "https://www.mindat.org/min-49562.html" ;   skos:definition "A CO chondrite that is of petrologic type 3.1."@en ;    skos:inScheme &lt;https://mindat.org/etmat/cscheme&gt; ;    skos:prefLabel "CO3.1 chondrite meteorite"@en ; rdfs:label "CO3.1 chondrite meteorite"@en ;    skos:notation  "CO3.1"@en ;   dcterms:source "https://www.lpi.usra.edu/meteor/metbullclass.php?sea=CO3.1";  skos:broader &lt;etma:1:1:49560:2&gt; ;   dcterms:modified "2023-06-20T08:57";  .</v>
      </c>
      <c r="AE63" s="8" t="s">
        <v>2591</v>
      </c>
    </row>
    <row r="64" spans="1:31" x14ac:dyDescent="0.25">
      <c r="A64" s="8">
        <v>43</v>
      </c>
      <c r="B64" s="8" t="s">
        <v>227</v>
      </c>
      <c r="C64" s="8">
        <v>49563</v>
      </c>
      <c r="D64" s="8" t="s">
        <v>225</v>
      </c>
      <c r="E64" s="8" t="s">
        <v>226</v>
      </c>
      <c r="F64" s="9">
        <v>7</v>
      </c>
      <c r="G64" s="9" t="s">
        <v>14</v>
      </c>
      <c r="H64" s="1" t="s">
        <v>228</v>
      </c>
      <c r="I64" s="8" t="str">
        <f t="shared" si="18"/>
        <v>https://www.mindat.org/min-49563.html</v>
      </c>
      <c r="J64" s="8">
        <v>49560</v>
      </c>
      <c r="K64" s="8" t="s">
        <v>210</v>
      </c>
      <c r="N64" s="9">
        <v>0</v>
      </c>
      <c r="O64" s="9" t="s">
        <v>2249</v>
      </c>
      <c r="R64" s="8" t="s">
        <v>229</v>
      </c>
      <c r="S64" s="11">
        <f t="shared" ca="1" si="34"/>
        <v>45097.373057291668</v>
      </c>
      <c r="U64" s="8" t="str">
        <f t="shared" si="19"/>
        <v xml:space="preserve">&lt;etma:1:1:49563:9&gt;  rdf:type skos:Concept ;  </v>
      </c>
      <c r="V64" s="8" t="str">
        <f t="shared" si="20"/>
        <v xml:space="preserve"> dcterms:source "https://www.mindat.org/min-49563.html" ; </v>
      </c>
      <c r="W64" s="8" t="str">
        <f t="shared" si="21"/>
        <v xml:space="preserve">skos:definition "A CO chondrite that is of petrologic type 3.2."@en ; </v>
      </c>
      <c r="X64" s="8" t="str">
        <f t="shared" si="35"/>
        <v xml:space="preserve"> skos:inScheme &lt;https://mindat.org/etmat/cscheme&gt; ;  </v>
      </c>
      <c r="Y64" s="8" t="str">
        <f t="shared" si="22"/>
        <v xml:space="preserve">skos:prefLabel "CO3.2 chondrite meteorite"@en ; rdfs:label "CO3.2 chondrite meteorite"@en ; </v>
      </c>
      <c r="Z64" s="8" t="str">
        <f t="shared" si="23"/>
        <v xml:space="preserve"> skos:notation  "CO3.2"@en ; </v>
      </c>
      <c r="AA64" s="8" t="str">
        <f t="shared" si="7"/>
        <v>dcterms:source "https://www.lpi.usra.edu/meteor/metbullclass.php?sea=CO3.2";</v>
      </c>
      <c r="AB64" s="8" t="str">
        <f>"skos:broader &lt;etma:"&amp;K64&amp;"&gt;" &amp; IF(ISBLANK(M64),"", ", &lt;etma:"&amp;M64&amp;"&gt;") &amp; " ; "</f>
        <v xml:space="preserve">skos:broader &lt;etma:1:1:49560:2&gt; ; </v>
      </c>
      <c r="AC64" s="8" t="str">
        <f t="shared" ca="1" si="8"/>
        <v>dcterms:modified "2023-06-20T08:57";  .</v>
      </c>
      <c r="AD64" s="10" t="str">
        <f t="shared" ca="1" si="24"/>
        <v>&lt;etma:1:1:49563:9&gt;  rdf:type skos:Concept ;     dcterms:source "https://www.mindat.org/min-49563.html" ;   skos:definition "A CO chondrite that is of petrologic type 3.2."@en ;    skos:inScheme &lt;https://mindat.org/etmat/cscheme&gt; ;    skos:prefLabel "CO3.2 chondrite meteorite"@en ; rdfs:label "CO3.2 chondrite meteorite"@en ;    skos:notation  "CO3.2"@en ;   dcterms:source "https://www.lpi.usra.edu/meteor/metbullclass.php?sea=CO3.2";  skos:broader &lt;etma:1:1:49560:2&gt; ;   dcterms:modified "2023-06-20T08:57";  .</v>
      </c>
      <c r="AE64" s="8" t="s">
        <v>2591</v>
      </c>
    </row>
    <row r="65" spans="1:31" x14ac:dyDescent="0.25">
      <c r="A65" s="8">
        <v>44</v>
      </c>
      <c r="B65" s="8" t="s">
        <v>232</v>
      </c>
      <c r="C65" s="8">
        <v>49564</v>
      </c>
      <c r="D65" s="8" t="s">
        <v>230</v>
      </c>
      <c r="E65" s="8" t="s">
        <v>231</v>
      </c>
      <c r="F65" s="9">
        <v>7</v>
      </c>
      <c r="G65" s="9" t="s">
        <v>14</v>
      </c>
      <c r="H65" s="1" t="s">
        <v>233</v>
      </c>
      <c r="I65" s="8" t="str">
        <f t="shared" si="18"/>
        <v>https://www.mindat.org/min-49564.html</v>
      </c>
      <c r="J65" s="8">
        <v>49560</v>
      </c>
      <c r="K65" s="8" t="s">
        <v>210</v>
      </c>
      <c r="N65" s="9">
        <v>0</v>
      </c>
      <c r="O65" s="9" t="s">
        <v>2249</v>
      </c>
      <c r="R65" s="8" t="s">
        <v>234</v>
      </c>
      <c r="S65" s="11">
        <f t="shared" ca="1" si="34"/>
        <v>45097.373057291668</v>
      </c>
      <c r="U65" s="8" t="str">
        <f t="shared" si="19"/>
        <v xml:space="preserve">&lt;etma:1:1:49564:8&gt;  rdf:type skos:Concept ;  </v>
      </c>
      <c r="V65" s="8" t="str">
        <f t="shared" si="20"/>
        <v xml:space="preserve"> dcterms:source "https://www.mindat.org/min-49564.html" ; </v>
      </c>
      <c r="W65" s="8" t="str">
        <f t="shared" si="21"/>
        <v xml:space="preserve">skos:definition "A CO chondrite that is of petrologic type 3.3."@en ; </v>
      </c>
      <c r="X65" s="8" t="str">
        <f t="shared" si="35"/>
        <v xml:space="preserve"> skos:inScheme &lt;https://mindat.org/etmat/cscheme&gt; ;  </v>
      </c>
      <c r="Y65" s="8" t="str">
        <f t="shared" si="22"/>
        <v xml:space="preserve">skos:prefLabel "CO3.3 chondrite meteorite"@en ; rdfs:label "CO3.3 chondrite meteorite"@en ; </v>
      </c>
      <c r="Z65" s="8" t="str">
        <f t="shared" si="23"/>
        <v xml:space="preserve"> skos:notation  "CO3.3"@en ; </v>
      </c>
      <c r="AA65" s="8" t="str">
        <f t="shared" si="7"/>
        <v>dcterms:source "https://www.lpi.usra.edu/meteor/metbullclass.php?sea=CO3.3";</v>
      </c>
      <c r="AB65" s="8" t="str">
        <f>"skos:broader &lt;etma:"&amp;K65&amp;"&gt;" &amp; IF(ISBLANK(M65),"", ", &lt;etma:"&amp;M65&amp;"&gt;") &amp; " ; "</f>
        <v xml:space="preserve">skos:broader &lt;etma:1:1:49560:2&gt; ; </v>
      </c>
      <c r="AC65" s="8" t="str">
        <f t="shared" ca="1" si="8"/>
        <v>dcterms:modified "2023-06-20T08:57";  .</v>
      </c>
      <c r="AD65" s="10" t="str">
        <f t="shared" ca="1" si="24"/>
        <v>&lt;etma:1:1:49564:8&gt;  rdf:type skos:Concept ;     dcterms:source "https://www.mindat.org/min-49564.html" ;   skos:definition "A CO chondrite that is of petrologic type 3.3."@en ;    skos:inScheme &lt;https://mindat.org/etmat/cscheme&gt; ;    skos:prefLabel "CO3.3 chondrite meteorite"@en ; rdfs:label "CO3.3 chondrite meteorite"@en ;    skos:notation  "CO3.3"@en ;   dcterms:source "https://www.lpi.usra.edu/meteor/metbullclass.php?sea=CO3.3";  skos:broader &lt;etma:1:1:49560:2&gt; ;   dcterms:modified "2023-06-20T08:57";  .</v>
      </c>
      <c r="AE65" s="8" t="s">
        <v>2591</v>
      </c>
    </row>
    <row r="66" spans="1:31" x14ac:dyDescent="0.25">
      <c r="A66" s="8">
        <v>45</v>
      </c>
      <c r="B66" s="8" t="s">
        <v>237</v>
      </c>
      <c r="C66" s="8">
        <v>49565</v>
      </c>
      <c r="D66" s="8" t="s">
        <v>235</v>
      </c>
      <c r="E66" s="8" t="s">
        <v>236</v>
      </c>
      <c r="F66" s="9">
        <v>7</v>
      </c>
      <c r="G66" s="9" t="s">
        <v>14</v>
      </c>
      <c r="H66" s="1" t="s">
        <v>238</v>
      </c>
      <c r="I66" s="8" t="str">
        <f t="shared" si="18"/>
        <v>https://www.mindat.org/min-49565.html</v>
      </c>
      <c r="J66" s="8">
        <v>49560</v>
      </c>
      <c r="K66" s="8" t="s">
        <v>210</v>
      </c>
      <c r="N66" s="9">
        <v>0</v>
      </c>
      <c r="O66" s="9" t="s">
        <v>2249</v>
      </c>
      <c r="R66" s="8" t="s">
        <v>239</v>
      </c>
      <c r="S66" s="11">
        <f t="shared" ca="1" si="34"/>
        <v>45097.373057291668</v>
      </c>
      <c r="U66" s="8" t="str">
        <f t="shared" si="19"/>
        <v xml:space="preserve">&lt;etma:1:1:49565:7&gt;  rdf:type skos:Concept ;  </v>
      </c>
      <c r="V66" s="8" t="str">
        <f t="shared" si="20"/>
        <v xml:space="preserve"> dcterms:source "https://www.mindat.org/min-49565.html" ; </v>
      </c>
      <c r="W66" s="8" t="str">
        <f t="shared" si="21"/>
        <v xml:space="preserve">skos:definition "A CO chondrite that is of petrologic type 3.4."@en ; </v>
      </c>
      <c r="X66" s="8" t="str">
        <f t="shared" si="35"/>
        <v xml:space="preserve"> skos:inScheme &lt;https://mindat.org/etmat/cscheme&gt; ;  </v>
      </c>
      <c r="Y66" s="8" t="str">
        <f t="shared" si="22"/>
        <v xml:space="preserve">skos:prefLabel "CO3.4 chondrite meteorite"@en ; rdfs:label "CO3.4 chondrite meteorite"@en ; </v>
      </c>
      <c r="Z66" s="8" t="str">
        <f t="shared" si="23"/>
        <v xml:space="preserve"> skos:notation  "CO3.4"@en ; </v>
      </c>
      <c r="AA66" s="8" t="str">
        <f t="shared" si="7"/>
        <v>dcterms:source "https://www.lpi.usra.edu/meteor/metbullclass.php?sea=CO3.4";</v>
      </c>
      <c r="AB66" s="8" t="str">
        <f>"skos:broader &lt;etma:"&amp;K66&amp;"&gt;" &amp; IF(ISBLANK(M66),"", ", &lt;etma:"&amp;M66&amp;"&gt;") &amp; " ; "</f>
        <v xml:space="preserve">skos:broader &lt;etma:1:1:49560:2&gt; ; </v>
      </c>
      <c r="AC66" s="8" t="str">
        <f t="shared" ca="1" si="8"/>
        <v>dcterms:modified "2023-06-20T08:57";  .</v>
      </c>
      <c r="AD66" s="10" t="str">
        <f t="shared" ca="1" si="24"/>
        <v>&lt;etma:1:1:49565:7&gt;  rdf:type skos:Concept ;     dcterms:source "https://www.mindat.org/min-49565.html" ;   skos:definition "A CO chondrite that is of petrologic type 3.4."@en ;    skos:inScheme &lt;https://mindat.org/etmat/cscheme&gt; ;    skos:prefLabel "CO3.4 chondrite meteorite"@en ; rdfs:label "CO3.4 chondrite meteorite"@en ;    skos:notation  "CO3.4"@en ;   dcterms:source "https://www.lpi.usra.edu/meteor/metbullclass.php?sea=CO3.4";  skos:broader &lt;etma:1:1:49560:2&gt; ;   dcterms:modified "2023-06-20T08:57";  .</v>
      </c>
      <c r="AE66" s="8" t="s">
        <v>2591</v>
      </c>
    </row>
    <row r="67" spans="1:31" x14ac:dyDescent="0.25">
      <c r="A67" s="8">
        <v>46</v>
      </c>
      <c r="B67" s="8" t="s">
        <v>242</v>
      </c>
      <c r="C67" s="8">
        <v>49566</v>
      </c>
      <c r="D67" s="8" t="s">
        <v>240</v>
      </c>
      <c r="E67" s="8" t="s">
        <v>241</v>
      </c>
      <c r="F67" s="9">
        <v>7</v>
      </c>
      <c r="G67" s="9" t="s">
        <v>14</v>
      </c>
      <c r="H67" s="1" t="s">
        <v>243</v>
      </c>
      <c r="I67" s="8" t="str">
        <f t="shared" si="18"/>
        <v>https://www.mindat.org/min-49566.html</v>
      </c>
      <c r="J67" s="8">
        <v>49560</v>
      </c>
      <c r="K67" s="8" t="s">
        <v>210</v>
      </c>
      <c r="N67" s="9">
        <v>0</v>
      </c>
      <c r="O67" s="9" t="s">
        <v>2249</v>
      </c>
      <c r="R67" s="8" t="s">
        <v>244</v>
      </c>
      <c r="S67" s="11">
        <f t="shared" ca="1" si="34"/>
        <v>45097.373057291668</v>
      </c>
      <c r="U67" s="8" t="str">
        <f t="shared" si="19"/>
        <v xml:space="preserve">&lt;etma:1:1:49566:6&gt;  rdf:type skos:Concept ;  </v>
      </c>
      <c r="V67" s="8" t="str">
        <f t="shared" si="20"/>
        <v xml:space="preserve"> dcterms:source "https://www.mindat.org/min-49566.html" ; </v>
      </c>
      <c r="W67" s="8" t="str">
        <f t="shared" si="21"/>
        <v xml:space="preserve">skos:definition "A CO chondrite that is of petrologic type 3.5."@en ; </v>
      </c>
      <c r="X67" s="8" t="str">
        <f t="shared" si="35"/>
        <v xml:space="preserve"> skos:inScheme &lt;https://mindat.org/etmat/cscheme&gt; ;  </v>
      </c>
      <c r="Y67" s="8" t="str">
        <f t="shared" si="22"/>
        <v xml:space="preserve">skos:prefLabel "CO3.5 chondrite meteorite"@en ; rdfs:label "CO3.5 chondrite meteorite"@en ; </v>
      </c>
      <c r="Z67" s="8" t="str">
        <f t="shared" si="23"/>
        <v xml:space="preserve"> skos:notation  "CO3.5"@en ; </v>
      </c>
      <c r="AA67" s="8" t="str">
        <f t="shared" ref="AA67:AA130" si="36">IF(NOT(ISBLANK(R67)), "dcterms:source ""https://www.lpi.usra.edu/meteor/metbullclass.php?sea=" &amp; SUBSTITUTE(R67," ","%20") &amp; """;","")</f>
        <v>dcterms:source "https://www.lpi.usra.edu/meteor/metbullclass.php?sea=CO3.5";</v>
      </c>
      <c r="AB67" s="8" t="str">
        <f t="shared" ref="AB67:AB130" si="37">"skos:broader &lt;etma:"&amp;K67&amp;"&gt;" &amp; IF(ISBLANK(M67),"", ", &lt;etma:"&amp;M67&amp;"&gt;") &amp; " ; "</f>
        <v xml:space="preserve">skos:broader &lt;etma:1:1:49560:2&gt; ; </v>
      </c>
      <c r="AC67" s="8" t="str">
        <f t="shared" ref="AC67:AC130" ca="1" si="38">"dcterms:modified """&amp;  TEXT(S67,"YYYY-MM-DDTHH:MM") &amp;""";  ."</f>
        <v>dcterms:modified "2023-06-20T08:57";  .</v>
      </c>
      <c r="AD67" s="10" t="str">
        <f t="shared" ca="1" si="24"/>
        <v>&lt;etma:1:1:49566:6&gt;  rdf:type skos:Concept ;     dcterms:source "https://www.mindat.org/min-49566.html" ;   skos:definition "A CO chondrite that is of petrologic type 3.5."@en ;    skos:inScheme &lt;https://mindat.org/etmat/cscheme&gt; ;    skos:prefLabel "CO3.5 chondrite meteorite"@en ; rdfs:label "CO3.5 chondrite meteorite"@en ;    skos:notation  "CO3.5"@en ;   dcterms:source "https://www.lpi.usra.edu/meteor/metbullclass.php?sea=CO3.5";  skos:broader &lt;etma:1:1:49560:2&gt; ;   dcterms:modified "2023-06-20T08:57";  .</v>
      </c>
      <c r="AE67" s="8" t="s">
        <v>2591</v>
      </c>
    </row>
    <row r="68" spans="1:31" x14ac:dyDescent="0.25">
      <c r="A68" s="8">
        <v>47</v>
      </c>
      <c r="B68" s="8" t="s">
        <v>247</v>
      </c>
      <c r="C68" s="8">
        <v>49567</v>
      </c>
      <c r="D68" s="8" t="s">
        <v>245</v>
      </c>
      <c r="E68" s="8" t="s">
        <v>246</v>
      </c>
      <c r="F68" s="9">
        <v>7</v>
      </c>
      <c r="G68" s="9" t="s">
        <v>14</v>
      </c>
      <c r="H68" s="1" t="s">
        <v>248</v>
      </c>
      <c r="I68" s="8" t="str">
        <f t="shared" si="18"/>
        <v>https://www.mindat.org/min-49567.html</v>
      </c>
      <c r="J68" s="8">
        <v>49560</v>
      </c>
      <c r="K68" s="8" t="s">
        <v>210</v>
      </c>
      <c r="N68" s="9">
        <v>0</v>
      </c>
      <c r="O68" s="9" t="s">
        <v>2249</v>
      </c>
      <c r="R68" s="8" t="s">
        <v>249</v>
      </c>
      <c r="S68" s="11">
        <f t="shared" ca="1" si="34"/>
        <v>45097.373057291668</v>
      </c>
      <c r="U68" s="8" t="str">
        <f t="shared" si="19"/>
        <v xml:space="preserve">&lt;etma:1:1:49567:5&gt;  rdf:type skos:Concept ;  </v>
      </c>
      <c r="V68" s="8" t="str">
        <f t="shared" si="20"/>
        <v xml:space="preserve"> dcterms:source "https://www.mindat.org/min-49567.html" ; </v>
      </c>
      <c r="W68" s="8" t="str">
        <f t="shared" si="21"/>
        <v xml:space="preserve">skos:definition "A CO chondrite that is of petrologic type 3.6."@en ; </v>
      </c>
      <c r="X68" s="8" t="str">
        <f t="shared" si="35"/>
        <v xml:space="preserve"> skos:inScheme &lt;https://mindat.org/etmat/cscheme&gt; ;  </v>
      </c>
      <c r="Y68" s="8" t="str">
        <f t="shared" si="22"/>
        <v xml:space="preserve">skos:prefLabel "CO3.6 chondrite meteorite"@en ; rdfs:label "CO3.6 chondrite meteorite"@en ; </v>
      </c>
      <c r="Z68" s="8" t="str">
        <f t="shared" si="23"/>
        <v xml:space="preserve"> skos:notation  "CO3.6"@en ; </v>
      </c>
      <c r="AA68" s="8" t="str">
        <f t="shared" si="36"/>
        <v>dcterms:source "https://www.lpi.usra.edu/meteor/metbullclass.php?sea=CO3.6";</v>
      </c>
      <c r="AB68" s="8" t="str">
        <f t="shared" si="37"/>
        <v xml:space="preserve">skos:broader &lt;etma:1:1:49560:2&gt; ; </v>
      </c>
      <c r="AC68" s="8" t="str">
        <f t="shared" ca="1" si="38"/>
        <v>dcterms:modified "2023-06-20T08:57";  .</v>
      </c>
      <c r="AD68" s="10" t="str">
        <f t="shared" ca="1" si="24"/>
        <v>&lt;etma:1:1:49567:5&gt;  rdf:type skos:Concept ;     dcterms:source "https://www.mindat.org/min-49567.html" ;   skos:definition "A CO chondrite that is of petrologic type 3.6."@en ;    skos:inScheme &lt;https://mindat.org/etmat/cscheme&gt; ;    skos:prefLabel "CO3.6 chondrite meteorite"@en ; rdfs:label "CO3.6 chondrite meteorite"@en ;    skos:notation  "CO3.6"@en ;   dcterms:source "https://www.lpi.usra.edu/meteor/metbullclass.php?sea=CO3.6";  skos:broader &lt;etma:1:1:49560:2&gt; ;   dcterms:modified "2023-06-20T08:57";  .</v>
      </c>
      <c r="AE68" s="8" t="s">
        <v>2591</v>
      </c>
    </row>
    <row r="69" spans="1:31" x14ac:dyDescent="0.25">
      <c r="A69" s="8">
        <v>48</v>
      </c>
      <c r="B69" s="8" t="s">
        <v>252</v>
      </c>
      <c r="C69" s="8">
        <v>49568</v>
      </c>
      <c r="D69" s="8" t="s">
        <v>250</v>
      </c>
      <c r="E69" s="8" t="s">
        <v>251</v>
      </c>
      <c r="F69" s="9">
        <v>7</v>
      </c>
      <c r="G69" s="9" t="s">
        <v>14</v>
      </c>
      <c r="H69" s="1" t="s">
        <v>253</v>
      </c>
      <c r="I69" s="8" t="str">
        <f t="shared" si="18"/>
        <v>https://www.mindat.org/min-49568.html</v>
      </c>
      <c r="J69" s="8">
        <v>49560</v>
      </c>
      <c r="K69" s="8" t="s">
        <v>210</v>
      </c>
      <c r="N69" s="9">
        <v>0</v>
      </c>
      <c r="O69" s="9" t="s">
        <v>2249</v>
      </c>
      <c r="R69" s="8" t="s">
        <v>254</v>
      </c>
      <c r="S69" s="11">
        <f t="shared" ca="1" si="34"/>
        <v>45097.373057407407</v>
      </c>
      <c r="U69" s="8" t="str">
        <f t="shared" si="19"/>
        <v xml:space="preserve">&lt;etma:1:1:49568:4&gt;  rdf:type skos:Concept ;  </v>
      </c>
      <c r="V69" s="8" t="str">
        <f t="shared" si="20"/>
        <v xml:space="preserve"> dcterms:source "https://www.mindat.org/min-49568.html" ; </v>
      </c>
      <c r="W69" s="8" t="str">
        <f t="shared" si="21"/>
        <v xml:space="preserve">skos:definition "A CO chondrite that is of petrologic type 3.7."@en ; </v>
      </c>
      <c r="X69" s="8" t="str">
        <f t="shared" si="35"/>
        <v xml:space="preserve"> skos:inScheme &lt;https://mindat.org/etmat/cscheme&gt; ;  </v>
      </c>
      <c r="Y69" s="8" t="str">
        <f t="shared" si="22"/>
        <v xml:space="preserve">skos:prefLabel "CO3.7 chondrite meteorite"@en ; rdfs:label "CO3.7 chondrite meteorite"@en ; </v>
      </c>
      <c r="Z69" s="8" t="str">
        <f t="shared" si="23"/>
        <v xml:space="preserve"> skos:notation  "CO3.7"@en ; </v>
      </c>
      <c r="AA69" s="8" t="str">
        <f t="shared" si="36"/>
        <v>dcterms:source "https://www.lpi.usra.edu/meteor/metbullclass.php?sea=CO3.7";</v>
      </c>
      <c r="AB69" s="8" t="str">
        <f t="shared" si="37"/>
        <v xml:space="preserve">skos:broader &lt;etma:1:1:49560:2&gt; ; </v>
      </c>
      <c r="AC69" s="8" t="str">
        <f t="shared" ca="1" si="38"/>
        <v>dcterms:modified "2023-06-20T08:57";  .</v>
      </c>
      <c r="AD69" s="10" t="str">
        <f t="shared" ca="1" si="24"/>
        <v>&lt;etma:1:1:49568:4&gt;  rdf:type skos:Concept ;     dcterms:source "https://www.mindat.org/min-49568.html" ;   skos:definition "A CO chondrite that is of petrologic type 3.7."@en ;    skos:inScheme &lt;https://mindat.org/etmat/cscheme&gt; ;    skos:prefLabel "CO3.7 chondrite meteorite"@en ; rdfs:label "CO3.7 chondrite meteorite"@en ;    skos:notation  "CO3.7"@en ;   dcterms:source "https://www.lpi.usra.edu/meteor/metbullclass.php?sea=CO3.7";  skos:broader &lt;etma:1:1:49560:2&gt; ;   dcterms:modified "2023-06-20T08:57";  .</v>
      </c>
      <c r="AE69" s="8" t="s">
        <v>2591</v>
      </c>
    </row>
    <row r="70" spans="1:31" x14ac:dyDescent="0.25">
      <c r="A70" s="8">
        <v>49</v>
      </c>
      <c r="B70" s="8" t="s">
        <v>257</v>
      </c>
      <c r="C70" s="8">
        <v>49569</v>
      </c>
      <c r="D70" s="8" t="s">
        <v>255</v>
      </c>
      <c r="E70" s="8" t="s">
        <v>256</v>
      </c>
      <c r="F70" s="9">
        <v>7</v>
      </c>
      <c r="G70" s="9" t="s">
        <v>14</v>
      </c>
      <c r="H70" s="1" t="s">
        <v>258</v>
      </c>
      <c r="I70" s="8" t="str">
        <f t="shared" si="18"/>
        <v>https://www.mindat.org/min-49569.html</v>
      </c>
      <c r="J70" s="8">
        <v>49560</v>
      </c>
      <c r="K70" s="8" t="s">
        <v>210</v>
      </c>
      <c r="N70" s="9">
        <v>0</v>
      </c>
      <c r="O70" s="9" t="s">
        <v>2249</v>
      </c>
      <c r="R70" s="8" t="s">
        <v>259</v>
      </c>
      <c r="S70" s="11">
        <f t="shared" ca="1" si="34"/>
        <v>45097.373057291668</v>
      </c>
      <c r="U70" s="8" t="str">
        <f t="shared" si="19"/>
        <v xml:space="preserve">&lt;etma:1:1:49569:3&gt;  rdf:type skos:Concept ;  </v>
      </c>
      <c r="V70" s="8" t="str">
        <f t="shared" si="20"/>
        <v xml:space="preserve"> dcterms:source "https://www.mindat.org/min-49569.html" ; </v>
      </c>
      <c r="W70" s="8" t="str">
        <f t="shared" si="21"/>
        <v xml:space="preserve">skos:definition "A CO chondrite that is of petrologic type 3.8."@en ; </v>
      </c>
      <c r="X70" s="8" t="str">
        <f t="shared" si="35"/>
        <v xml:space="preserve"> skos:inScheme &lt;https://mindat.org/etmat/cscheme&gt; ;  </v>
      </c>
      <c r="Y70" s="8" t="str">
        <f t="shared" si="22"/>
        <v xml:space="preserve">skos:prefLabel "CO3.8 chondrite meteorite"@en ; rdfs:label "CO3.8 chondrite meteorite"@en ; </v>
      </c>
      <c r="Z70" s="8" t="str">
        <f t="shared" si="23"/>
        <v xml:space="preserve"> skos:notation  "CO3.8"@en ; </v>
      </c>
      <c r="AA70" s="8" t="str">
        <f t="shared" si="36"/>
        <v>dcterms:source "https://www.lpi.usra.edu/meteor/metbullclass.php?sea=CO3.8";</v>
      </c>
      <c r="AB70" s="8" t="str">
        <f t="shared" si="37"/>
        <v xml:space="preserve">skos:broader &lt;etma:1:1:49560:2&gt; ; </v>
      </c>
      <c r="AC70" s="8" t="str">
        <f t="shared" ca="1" si="38"/>
        <v>dcterms:modified "2023-06-20T08:57";  .</v>
      </c>
      <c r="AD70" s="10" t="str">
        <f t="shared" ca="1" si="24"/>
        <v>&lt;etma:1:1:49569:3&gt;  rdf:type skos:Concept ;     dcterms:source "https://www.mindat.org/min-49569.html" ;   skos:definition "A CO chondrite that is of petrologic type 3.8."@en ;    skos:inScheme &lt;https://mindat.org/etmat/cscheme&gt; ;    skos:prefLabel "CO3.8 chondrite meteorite"@en ; rdfs:label "CO3.8 chondrite meteorite"@en ;    skos:notation  "CO3.8"@en ;   dcterms:source "https://www.lpi.usra.edu/meteor/metbullclass.php?sea=CO3.8";  skos:broader &lt;etma:1:1:49560:2&gt; ;   dcterms:modified "2023-06-20T08:57";  .</v>
      </c>
      <c r="AE70" s="8" t="s">
        <v>2591</v>
      </c>
    </row>
    <row r="71" spans="1:31" hidden="1" x14ac:dyDescent="0.25">
      <c r="A71" s="8">
        <v>113</v>
      </c>
      <c r="B71" s="8" t="s">
        <v>2437</v>
      </c>
      <c r="C71" s="8">
        <v>49570</v>
      </c>
      <c r="D71" s="8" t="s">
        <v>2442</v>
      </c>
      <c r="E71" s="8" t="s">
        <v>2461</v>
      </c>
      <c r="H71" s="1" t="s">
        <v>2460</v>
      </c>
      <c r="I71" s="8" t="str">
        <f t="shared" si="18"/>
        <v>https://www.mindat.org/min-49570.html</v>
      </c>
      <c r="J71" s="8">
        <v>49560</v>
      </c>
      <c r="K71" s="8" t="s">
        <v>210</v>
      </c>
      <c r="S71" s="11">
        <f t="shared" ca="1" si="34"/>
        <v>45097.373057407407</v>
      </c>
      <c r="U71" s="8" t="str">
        <f t="shared" si="19"/>
        <v xml:space="preserve">&lt;etma:1:1:49570:9&gt;  rdf:type skos:Concept ;  </v>
      </c>
      <c r="V71" s="8" t="str">
        <f t="shared" si="20"/>
        <v xml:space="preserve"> dcterms:source "https://www.mindat.org/min-49570.html" ; </v>
      </c>
      <c r="W71" s="8" t="str">
        <f t="shared" si="21"/>
        <v xml:space="preserve">skos:definition "A CO chondrite that is of petrologic type 3.9."@en ; </v>
      </c>
      <c r="X71" s="8" t="str">
        <f t="shared" si="35"/>
        <v xml:space="preserve"> skos:inScheme &lt;https://mindat.org/etmat/cscheme&gt; ;  </v>
      </c>
      <c r="Y71" s="8" t="str">
        <f t="shared" si="22"/>
        <v xml:space="preserve">skos:prefLabel "CO3.9 chondrite meteorite"@en ; rdfs:label "CO3.9 chondrite meteorite"@en ; </v>
      </c>
      <c r="Z71" s="8" t="str">
        <f t="shared" si="23"/>
        <v/>
      </c>
      <c r="AA71" s="8" t="str">
        <f t="shared" si="36"/>
        <v/>
      </c>
      <c r="AB71" s="8" t="str">
        <f t="shared" si="37"/>
        <v xml:space="preserve">skos:broader &lt;etma:1:1:49560:2&gt; ; </v>
      </c>
      <c r="AC71" s="8" t="str">
        <f t="shared" ca="1" si="38"/>
        <v>dcterms:modified "2023-06-20T08:57";  .</v>
      </c>
      <c r="AD71" s="10" t="str">
        <f t="shared" ca="1" si="24"/>
        <v>&lt;etma:1:1:49570:9&gt;  rdf:type skos:Concept ;     dcterms:source "https://www.mindat.org/min-49570.html" ;   skos:definition "A CO chondrite that is of petrologic type 3.9."@en ;    skos:inScheme &lt;https://mindat.org/etmat/cscheme&gt; ;    skos:prefLabel "CO3.9 chondrite meteorite"@en ; rdfs:label "CO3.9 chondrite meteorite"@en ;   skos:broader &lt;etma:1:1:49560:2&gt; ;   dcterms:modified "2023-06-20T08:57";  .</v>
      </c>
      <c r="AE71" s="8" t="s">
        <v>2591</v>
      </c>
    </row>
    <row r="72" spans="1:31" x14ac:dyDescent="0.25">
      <c r="A72" s="8">
        <v>50</v>
      </c>
      <c r="B72" s="8" t="s">
        <v>262</v>
      </c>
      <c r="C72" s="8">
        <v>49571</v>
      </c>
      <c r="D72" s="8" t="s">
        <v>260</v>
      </c>
      <c r="E72" s="8" t="s">
        <v>261</v>
      </c>
      <c r="F72" s="9">
        <v>7</v>
      </c>
      <c r="G72" s="9" t="s">
        <v>14</v>
      </c>
      <c r="H72" s="1" t="s">
        <v>2564</v>
      </c>
      <c r="I72" s="8" t="str">
        <f t="shared" si="18"/>
        <v>https://www.mindat.org/min-49571.html</v>
      </c>
      <c r="J72" s="8">
        <v>49519</v>
      </c>
      <c r="K72" s="8" t="s">
        <v>31</v>
      </c>
      <c r="N72" s="9">
        <v>1</v>
      </c>
      <c r="O72" s="9" t="s">
        <v>2249</v>
      </c>
      <c r="R72" s="8" t="s">
        <v>264</v>
      </c>
      <c r="S72" s="11">
        <f t="shared" ca="1" si="34"/>
        <v>45097.373057291668</v>
      </c>
      <c r="U72" s="8" t="str">
        <f t="shared" si="19"/>
        <v xml:space="preserve">&lt;etma:1:1:49571:8&gt;  rdf:type skos:Concept ;  </v>
      </c>
      <c r="V72" s="8" t="str">
        <f t="shared" si="20"/>
        <v xml:space="preserve"> dcterms:source "https://www.mindat.org/min-49571.html" ; </v>
      </c>
      <c r="W72" s="8" t="str">
        <f t="shared" si="21"/>
        <v xml:space="preserve">skos:definition "The Renazzo (CR) chemical group of carbonaceous chondrites, distinguished by large, abundant porphyritic chondrules (0.7 mm, 50 volume percent), many of which have igneous rims, few refractory inclusions, abundant metal (5-8 volume percent), and fine-grained matrix that is commonly hydrated (up to 50 volume percent)."@en ; </v>
      </c>
      <c r="X72" s="8" t="str">
        <f t="shared" si="35"/>
        <v xml:space="preserve"> skos:inScheme &lt;https://mindat.org/etmat/cscheme&gt; ;  </v>
      </c>
      <c r="Y72" s="8" t="str">
        <f t="shared" si="22"/>
        <v xml:space="preserve">skos:prefLabel "CR chondrite meteorite"@en ; rdfs:label "CR chondrite meteorite"@en ; </v>
      </c>
      <c r="Z72" s="8" t="str">
        <f t="shared" si="23"/>
        <v xml:space="preserve"> skos:notation  "CR"@en ; </v>
      </c>
      <c r="AA72" s="8" t="str">
        <f t="shared" si="36"/>
        <v>dcterms:source "https://www.lpi.usra.edu/meteor/metbullclass.php?sea=CR";</v>
      </c>
      <c r="AB72" s="8" t="str">
        <f t="shared" si="37"/>
        <v xml:space="preserve">skos:broader &lt;etma:1:1:49519:8&gt; ; </v>
      </c>
      <c r="AC72" s="8" t="str">
        <f t="shared" ca="1" si="38"/>
        <v>dcterms:modified "2023-06-20T08:57";  .</v>
      </c>
      <c r="AD72" s="10" t="str">
        <f t="shared" ca="1" si="24"/>
        <v>&lt;etma:1:1:49571:8&gt;  rdf:type skos:Concept ;     dcterms:source "https://www.mindat.org/min-49571.html" ;   skos:definition "The Renazzo (CR) chemical group of carbonaceous chondrites, distinguished by large, abundant porphyritic chondrules (0.7 mm, 50 volume percent), many of which have igneous rims, few refractory inclusions, abundant metal (5-8 volume percent), and fine-grained matrix that is commonly hydrated (up to 50 volume percent)."@en ;    skos:inScheme &lt;https://mindat.org/etmat/cscheme&gt; ;    skos:prefLabel "CR chondrite meteorite"@en ; rdfs:label "CR chondrite meteorite"@en ;    skos:notation  "CR"@en ;   dcterms:source "https://www.lpi.usra.edu/meteor/metbullclass.php?sea=CR";  skos:broader &lt;etma:1:1:49519:8&gt; ;   dcterms:modified "2023-06-20T08:57";  .</v>
      </c>
      <c r="AE72" s="8" t="s">
        <v>2591</v>
      </c>
    </row>
    <row r="73" spans="1:31" x14ac:dyDescent="0.25">
      <c r="A73" s="8">
        <v>51</v>
      </c>
      <c r="B73" s="8" t="s">
        <v>267</v>
      </c>
      <c r="C73" s="8">
        <v>49572</v>
      </c>
      <c r="D73" s="8" t="s">
        <v>265</v>
      </c>
      <c r="E73" s="8" t="s">
        <v>266</v>
      </c>
      <c r="F73" s="9">
        <v>7</v>
      </c>
      <c r="G73" s="9" t="s">
        <v>14</v>
      </c>
      <c r="H73" s="1" t="s">
        <v>268</v>
      </c>
      <c r="I73" s="8" t="str">
        <f t="shared" si="18"/>
        <v>https://www.mindat.org/min-49572.html</v>
      </c>
      <c r="J73" s="8">
        <v>49571</v>
      </c>
      <c r="K73" s="8" t="s">
        <v>260</v>
      </c>
      <c r="L73" s="9">
        <v>49840</v>
      </c>
      <c r="M73" s="8" t="s">
        <v>2273</v>
      </c>
      <c r="N73" s="9">
        <v>1</v>
      </c>
      <c r="O73" s="9" t="s">
        <v>2249</v>
      </c>
      <c r="R73" s="8" t="s">
        <v>269</v>
      </c>
      <c r="S73" s="11">
        <f t="shared" ca="1" si="34"/>
        <v>45097.373057291668</v>
      </c>
      <c r="U73" s="8" t="str">
        <f t="shared" si="19"/>
        <v xml:space="preserve">&lt;etma:1:1:49572:7&gt;  rdf:type skos:Concept ;  </v>
      </c>
      <c r="V73" s="8" t="str">
        <f t="shared" si="20"/>
        <v xml:space="preserve"> dcterms:source "https://www.mindat.org/min-49572.html" ; </v>
      </c>
      <c r="W73" s="8" t="str">
        <f t="shared" si="21"/>
        <v xml:space="preserve">skos:definition "A CR chondrite that is of petrologic type 1."@en ; </v>
      </c>
      <c r="X73" s="8" t="str">
        <f t="shared" si="35"/>
        <v xml:space="preserve"> skos:inScheme &lt;https://mindat.org/etmat/cscheme&gt; ;  </v>
      </c>
      <c r="Y73" s="8" t="str">
        <f t="shared" si="22"/>
        <v xml:space="preserve">skos:prefLabel "CR1 chondrite meteorite"@en ; rdfs:label "CR1 chondrite meteorite"@en ; </v>
      </c>
      <c r="Z73" s="8" t="str">
        <f t="shared" si="23"/>
        <v xml:space="preserve"> skos:notation  "CR1"@en ; </v>
      </c>
      <c r="AA73" s="8" t="str">
        <f t="shared" si="36"/>
        <v>dcterms:source "https://www.lpi.usra.edu/meteor/metbullclass.php?sea=CR1";</v>
      </c>
      <c r="AB73" s="8" t="str">
        <f t="shared" si="37"/>
        <v xml:space="preserve">skos:broader &lt;etma:1:1:49571:8&gt;, &lt;etma:1:1:49840:5&gt; ; </v>
      </c>
      <c r="AC73" s="8" t="str">
        <f t="shared" ca="1" si="38"/>
        <v>dcterms:modified "2023-06-20T08:57";  .</v>
      </c>
      <c r="AD73" s="10" t="str">
        <f t="shared" ca="1" si="24"/>
        <v>&lt;etma:1:1:49572:7&gt;  rdf:type skos:Concept ;     dcterms:source "https://www.mindat.org/min-49572.html" ;   skos:definition "A CR chondrite that is of petrologic type 1."@en ;    skos:inScheme &lt;https://mindat.org/etmat/cscheme&gt; ;    skos:prefLabel "CR1 chondrite meteorite"@en ; rdfs:label "CR1 chondrite meteorite"@en ;    skos:notation  "CR1"@en ;   dcterms:source "https://www.lpi.usra.edu/meteor/metbullclass.php?sea=CR1";  skos:broader &lt;etma:1:1:49571:8&gt;, &lt;etma:1:1:49840:5&gt; ;   dcterms:modified "2023-06-20T08:57";  .</v>
      </c>
      <c r="AE73" s="8" t="s">
        <v>2591</v>
      </c>
    </row>
    <row r="74" spans="1:31" x14ac:dyDescent="0.25">
      <c r="A74" s="8">
        <v>52</v>
      </c>
      <c r="B74" s="8" t="s">
        <v>272</v>
      </c>
      <c r="C74" s="8">
        <v>49573</v>
      </c>
      <c r="D74" s="8" t="s">
        <v>270</v>
      </c>
      <c r="E74" s="8" t="s">
        <v>271</v>
      </c>
      <c r="F74" s="9">
        <v>7</v>
      </c>
      <c r="G74" s="9" t="s">
        <v>14</v>
      </c>
      <c r="H74" s="1" t="s">
        <v>273</v>
      </c>
      <c r="I74" s="8" t="str">
        <f t="shared" si="18"/>
        <v>https://www.mindat.org/min-49573.html</v>
      </c>
      <c r="J74" s="8">
        <v>49571</v>
      </c>
      <c r="K74" s="8" t="s">
        <v>260</v>
      </c>
      <c r="L74" s="9">
        <v>49841</v>
      </c>
      <c r="M74" s="8" t="s">
        <v>2396</v>
      </c>
      <c r="N74" s="9">
        <v>1</v>
      </c>
      <c r="O74" s="9" t="s">
        <v>2249</v>
      </c>
      <c r="R74" s="8" t="s">
        <v>274</v>
      </c>
      <c r="S74" s="11">
        <f t="shared" ca="1" si="34"/>
        <v>45097.373057291668</v>
      </c>
      <c r="U74" s="8" t="str">
        <f t="shared" si="19"/>
        <v xml:space="preserve">&lt;etma:1:1:49573:6&gt;  rdf:type skos:Concept ;  </v>
      </c>
      <c r="V74" s="8" t="str">
        <f t="shared" si="20"/>
        <v xml:space="preserve"> dcterms:source "https://www.mindat.org/min-49573.html" ; </v>
      </c>
      <c r="W74" s="8" t="str">
        <f t="shared" si="21"/>
        <v xml:space="preserve">skos:definition "A CR chondrite that is of petrologic type 2."@en ; </v>
      </c>
      <c r="X74" s="8" t="str">
        <f t="shared" si="35"/>
        <v xml:space="preserve"> skos:inScheme &lt;https://mindat.org/etmat/cscheme&gt; ;  </v>
      </c>
      <c r="Y74" s="8" t="str">
        <f t="shared" si="22"/>
        <v xml:space="preserve">skos:prefLabel "CR2 chondrite meteorite"@en ; rdfs:label "CR2 chondrite meteorite"@en ; </v>
      </c>
      <c r="Z74" s="8" t="str">
        <f t="shared" si="23"/>
        <v xml:space="preserve"> skos:notation  "CR2"@en ; </v>
      </c>
      <c r="AA74" s="8" t="str">
        <f t="shared" si="36"/>
        <v>dcterms:source "https://www.lpi.usra.edu/meteor/metbullclass.php?sea=CR2";</v>
      </c>
      <c r="AB74" s="8" t="str">
        <f t="shared" si="37"/>
        <v xml:space="preserve">skos:broader &lt;etma:1:1:49571:8&gt;, &lt;etma:1:1:49841:4&gt; ; </v>
      </c>
      <c r="AC74" s="8" t="str">
        <f t="shared" ca="1" si="38"/>
        <v>dcterms:modified "2023-06-20T08:57";  .</v>
      </c>
      <c r="AD74" s="10" t="str">
        <f t="shared" ca="1" si="24"/>
        <v>&lt;etma:1:1:49573:6&gt;  rdf:type skos:Concept ;     dcterms:source "https://www.mindat.org/min-49573.html" ;   skos:definition "A CR chondrite that is of petrologic type 2."@en ;    skos:inScheme &lt;https://mindat.org/etmat/cscheme&gt; ;    skos:prefLabel "CR2 chondrite meteorite"@en ; rdfs:label "CR2 chondrite meteorite"@en ;    skos:notation  "CR2"@en ;   dcterms:source "https://www.lpi.usra.edu/meteor/metbullclass.php?sea=CR2";  skos:broader &lt;etma:1:1:49571:8&gt;, &lt;etma:1:1:49841:4&gt; ;   dcterms:modified "2023-06-20T08:57";  .</v>
      </c>
      <c r="AE74" s="8" t="s">
        <v>2591</v>
      </c>
    </row>
    <row r="75" spans="1:31" x14ac:dyDescent="0.25">
      <c r="A75" s="8">
        <v>53</v>
      </c>
      <c r="B75" s="8" t="s">
        <v>277</v>
      </c>
      <c r="C75" s="8">
        <v>49574</v>
      </c>
      <c r="D75" s="8" t="s">
        <v>275</v>
      </c>
      <c r="E75" s="8" t="s">
        <v>276</v>
      </c>
      <c r="F75" s="9">
        <v>7</v>
      </c>
      <c r="G75" s="9" t="s">
        <v>14</v>
      </c>
      <c r="H75" s="1" t="s">
        <v>278</v>
      </c>
      <c r="I75" s="8" t="str">
        <f t="shared" si="18"/>
        <v>https://www.mindat.org/min-49574.html</v>
      </c>
      <c r="J75" s="8">
        <v>49573</v>
      </c>
      <c r="K75" s="8" t="s">
        <v>270</v>
      </c>
      <c r="N75" s="9">
        <v>0</v>
      </c>
      <c r="O75" s="9">
        <v>52389</v>
      </c>
      <c r="P75" s="8" t="s">
        <v>2503</v>
      </c>
      <c r="Q75" s="8" t="s">
        <v>2504</v>
      </c>
      <c r="R75" s="8" t="s">
        <v>279</v>
      </c>
      <c r="S75" s="11">
        <v>43051.017384259256</v>
      </c>
      <c r="U75" s="8" t="str">
        <f t="shared" si="19"/>
        <v xml:space="preserve">&lt;etma:1:1:49574:5&gt;  rdf:type skos:Concept ;  </v>
      </c>
      <c r="V75" s="8" t="str">
        <f t="shared" si="20"/>
        <v xml:space="preserve"> dcterms:source "https://www.mindat.org/min-49574.html" ; </v>
      </c>
      <c r="W75" s="8" t="str">
        <f t="shared" si="21"/>
        <v xml:space="preserve">skos:definition "A CR chondrite that is of petrologic type 2 and has anomalous properties."@en ; </v>
      </c>
      <c r="X75" s="8" t="str">
        <f t="shared" si="25"/>
        <v xml:space="preserve"> skos:inScheme &lt;http://example.org/mindat/etmat/cscheme&gt; ;  </v>
      </c>
      <c r="Y75" s="8" t="str">
        <f t="shared" si="22"/>
        <v xml:space="preserve">skos:prefLabel "Anomalous CR2 chondrite meteorite"@en ; rdfs:label "Anomalous CR2 chondrite meteorite"@en ; </v>
      </c>
      <c r="Z75" s="8" t="str">
        <f t="shared" si="23"/>
        <v xml:space="preserve">skos:altLabel "CR2-an chondrite meteorite"@en ; skos:exactMatch  &lt;etma:1:1:52389:9&gt; ;  skos:notation  "CR2-an"@en ; </v>
      </c>
      <c r="AA75" s="8" t="str">
        <f t="shared" si="36"/>
        <v>dcterms:source "https://www.lpi.usra.edu/meteor/metbullclass.php?sea=CR2-an";</v>
      </c>
      <c r="AB75" s="8" t="str">
        <f t="shared" si="37"/>
        <v xml:space="preserve">skos:broader &lt;etma:1:1:49573:6&gt; ; </v>
      </c>
      <c r="AC75" s="8" t="str">
        <f t="shared" si="38"/>
        <v>dcterms:modified "2017-11-12T00:25";  .</v>
      </c>
      <c r="AD75" s="10" t="str">
        <f t="shared" si="24"/>
        <v>&lt;etma:1:1:49574:5&gt;  rdf:type skos:Concept ;     dcterms:source "https://www.mindat.org/min-49574.html" ;   skos:definition "A CR chondrite that is of petrologic type 2 and has anomalous properties."@en ;    skos:inScheme &lt;http://example.org/mindat/etmat/cscheme&gt; ;    skos:prefLabel "Anomalous CR2 chondrite meteorite"@en ; rdfs:label "Anomalous CR2 chondrite meteorite"@en ;   skos:altLabel "CR2-an chondrite meteorite"@en ; skos:exactMatch  &lt;etma:1:1:52389:9&gt; ;  skos:notation  "CR2-an"@en ;   dcterms:source "https://www.lpi.usra.edu/meteor/metbullclass.php?sea=CR2-an";  skos:broader &lt;etma:1:1:49573:6&gt; ;   dcterms:modified "2017-11-12T00:25";  .</v>
      </c>
      <c r="AE75" s="8" t="s">
        <v>2591</v>
      </c>
    </row>
    <row r="76" spans="1:31" x14ac:dyDescent="0.25">
      <c r="A76" s="8">
        <v>54</v>
      </c>
      <c r="B76" s="8" t="s">
        <v>282</v>
      </c>
      <c r="C76" s="8">
        <v>49575</v>
      </c>
      <c r="D76" s="8" t="s">
        <v>280</v>
      </c>
      <c r="E76" s="8" t="s">
        <v>281</v>
      </c>
      <c r="F76" s="9">
        <v>7</v>
      </c>
      <c r="G76" s="9" t="s">
        <v>14</v>
      </c>
      <c r="H76" s="1" t="s">
        <v>283</v>
      </c>
      <c r="I76" s="8" t="str">
        <f t="shared" si="18"/>
        <v>https://www.mindat.org/min-49575.html</v>
      </c>
      <c r="J76" s="8">
        <v>49571</v>
      </c>
      <c r="K76" s="8" t="s">
        <v>260</v>
      </c>
      <c r="L76" s="9">
        <v>49845</v>
      </c>
      <c r="M76" s="8" t="s">
        <v>2411</v>
      </c>
      <c r="N76" s="9">
        <v>1</v>
      </c>
      <c r="O76" s="9" t="s">
        <v>2249</v>
      </c>
      <c r="R76" s="8" t="s">
        <v>284</v>
      </c>
      <c r="S76" s="11">
        <f t="shared" ref="S76:S80" ca="1" si="39">NOW()</f>
        <v>45097.373057291668</v>
      </c>
      <c r="U76" s="8" t="str">
        <f t="shared" si="19"/>
        <v xml:space="preserve">&lt;etma:1:1:49575:4&gt;  rdf:type skos:Concept ;  </v>
      </c>
      <c r="V76" s="8" t="str">
        <f t="shared" si="20"/>
        <v xml:space="preserve"> dcterms:source "https://www.mindat.org/min-49575.html" ; </v>
      </c>
      <c r="W76" s="8" t="str">
        <f t="shared" si="21"/>
        <v xml:space="preserve">skos:definition "A CR chondrite that is of petrologic type 6."@en ; </v>
      </c>
      <c r="X76" s="8" t="str">
        <f t="shared" ref="X76:X79" si="40">" skos:inScheme &lt;https://mindat.org/etmat/cscheme&gt; ;  "</f>
        <v xml:space="preserve"> skos:inScheme &lt;https://mindat.org/etmat/cscheme&gt; ;  </v>
      </c>
      <c r="Y76" s="8" t="str">
        <f t="shared" si="22"/>
        <v xml:space="preserve">skos:prefLabel "CR6 chondrite meteorite"@en ; rdfs:label "CR6 chondrite meteorite"@en ; </v>
      </c>
      <c r="Z76" s="8" t="str">
        <f t="shared" si="23"/>
        <v xml:space="preserve"> skos:notation  "CR6"@en ; </v>
      </c>
      <c r="AA76" s="8" t="str">
        <f t="shared" si="36"/>
        <v>dcterms:source "https://www.lpi.usra.edu/meteor/metbullclass.php?sea=CR6";</v>
      </c>
      <c r="AB76" s="8" t="str">
        <f t="shared" si="37"/>
        <v xml:space="preserve">skos:broader &lt;etma:1:1:49571:8&gt;, &lt;etma:1:1:49845:0&gt; ; </v>
      </c>
      <c r="AC76" s="8" t="str">
        <f t="shared" ca="1" si="38"/>
        <v>dcterms:modified "2023-06-20T08:57";  .</v>
      </c>
      <c r="AD76" s="10" t="str">
        <f t="shared" ca="1" si="24"/>
        <v>&lt;etma:1:1:49575:4&gt;  rdf:type skos:Concept ;     dcterms:source "https://www.mindat.org/min-49575.html" ;   skos:definition "A CR chondrite that is of petrologic type 6."@en ;    skos:inScheme &lt;https://mindat.org/etmat/cscheme&gt; ;    skos:prefLabel "CR6 chondrite meteorite"@en ; rdfs:label "CR6 chondrite meteorite"@en ;    skos:notation  "CR6"@en ;   dcterms:source "https://www.lpi.usra.edu/meteor/metbullclass.php?sea=CR6";  skos:broader &lt;etma:1:1:49571:8&gt;, &lt;etma:1:1:49845:0&gt; ;   dcterms:modified "2023-06-20T08:57";  .</v>
      </c>
      <c r="AE76" s="8" t="s">
        <v>2591</v>
      </c>
    </row>
    <row r="77" spans="1:31" x14ac:dyDescent="0.25">
      <c r="A77" s="8">
        <v>55</v>
      </c>
      <c r="B77" s="8" t="s">
        <v>287</v>
      </c>
      <c r="C77" s="8">
        <v>49576</v>
      </c>
      <c r="D77" s="8" t="s">
        <v>285</v>
      </c>
      <c r="E77" s="8" t="s">
        <v>286</v>
      </c>
      <c r="F77" s="9">
        <v>7</v>
      </c>
      <c r="G77" s="9" t="s">
        <v>14</v>
      </c>
      <c r="H77" s="1" t="s">
        <v>288</v>
      </c>
      <c r="I77" s="8" t="str">
        <f t="shared" si="18"/>
        <v>https://www.mindat.org/min-49576.html</v>
      </c>
      <c r="J77" s="8">
        <v>49571</v>
      </c>
      <c r="K77" s="8" t="s">
        <v>260</v>
      </c>
      <c r="L77" s="9">
        <v>49846</v>
      </c>
      <c r="M77" s="8" t="s">
        <v>2415</v>
      </c>
      <c r="N77" s="9">
        <v>0</v>
      </c>
      <c r="O77" s="9" t="s">
        <v>2249</v>
      </c>
      <c r="R77" s="8" t="s">
        <v>289</v>
      </c>
      <c r="S77" s="11">
        <f t="shared" ca="1" si="39"/>
        <v>45097.373057291668</v>
      </c>
      <c r="U77" s="8" t="str">
        <f t="shared" si="19"/>
        <v xml:space="preserve">&lt;etma:1:1:49576:3&gt;  rdf:type skos:Concept ;  </v>
      </c>
      <c r="V77" s="8" t="str">
        <f t="shared" si="20"/>
        <v xml:space="preserve"> dcterms:source "https://www.mindat.org/min-49576.html" ; </v>
      </c>
      <c r="W77" s="8" t="str">
        <f t="shared" si="21"/>
        <v xml:space="preserve">skos:definition "A CR chondrite that is of petrologic type 7. Note that perologic type 7 is not used consistently or widely accepted in the literature."@en ; </v>
      </c>
      <c r="X77" s="8" t="str">
        <f t="shared" si="40"/>
        <v xml:space="preserve"> skos:inScheme &lt;https://mindat.org/etmat/cscheme&gt; ;  </v>
      </c>
      <c r="Y77" s="8" t="str">
        <f t="shared" si="22"/>
        <v xml:space="preserve">skos:prefLabel "CR7 chondrite meteorite"@en ; rdfs:label "CR7 chondrite meteorite"@en ; </v>
      </c>
      <c r="Z77" s="8" t="str">
        <f t="shared" si="23"/>
        <v xml:space="preserve"> skos:notation  "CR7"@en ; </v>
      </c>
      <c r="AA77" s="8" t="str">
        <f t="shared" si="36"/>
        <v>dcterms:source "https://www.lpi.usra.edu/meteor/metbullclass.php?sea=CR7";</v>
      </c>
      <c r="AB77" s="8" t="str">
        <f t="shared" si="37"/>
        <v xml:space="preserve">skos:broader &lt;etma:1:1:49571:8&gt;, &lt;etma:1:1:49846:9&gt; ; </v>
      </c>
      <c r="AC77" s="8" t="str">
        <f t="shared" ca="1" si="38"/>
        <v>dcterms:modified "2023-06-20T08:57";  .</v>
      </c>
      <c r="AD77" s="10" t="str">
        <f t="shared" ca="1" si="24"/>
        <v>&lt;etma:1:1:49576:3&gt;  rdf:type skos:Concept ;     dcterms:source "https://www.mindat.org/min-49576.html" ;   skos:definition "A CR chondrite that is of petrologic type 7. Note that perologic type 7 is not used consistently or widely accepted in the literature."@en ;    skos:inScheme &lt;https://mindat.org/etmat/cscheme&gt; ;    skos:prefLabel "CR7 chondrite meteorite"@en ; rdfs:label "CR7 chondrite meteorite"@en ;    skos:notation  "CR7"@en ;   dcterms:source "https://www.lpi.usra.edu/meteor/metbullclass.php?sea=CR7";  skos:broader &lt;etma:1:1:49571:8&gt;, &lt;etma:1:1:49846:9&gt; ;   dcterms:modified "2023-06-20T08:57";  .</v>
      </c>
      <c r="AE77" s="8" t="s">
        <v>2591</v>
      </c>
    </row>
    <row r="78" spans="1:31" hidden="1" x14ac:dyDescent="0.25">
      <c r="A78" s="8">
        <v>170</v>
      </c>
      <c r="B78" s="8" t="s">
        <v>2295</v>
      </c>
      <c r="C78" s="8">
        <v>49577</v>
      </c>
      <c r="D78" s="8" t="s">
        <v>2296</v>
      </c>
      <c r="E78" s="8" t="s">
        <v>2297</v>
      </c>
      <c r="F78" s="9">
        <v>7</v>
      </c>
      <c r="G78" s="9" t="s">
        <v>14</v>
      </c>
      <c r="H78" s="1" t="s">
        <v>2565</v>
      </c>
      <c r="I78" s="8" t="str">
        <f t="shared" si="18"/>
        <v>https://www.mindat.org/min-49577.html</v>
      </c>
      <c r="J78" s="8">
        <v>49519</v>
      </c>
      <c r="K78" s="8" t="s">
        <v>31</v>
      </c>
      <c r="N78" s="9">
        <v>1</v>
      </c>
      <c r="S78" s="11">
        <f t="shared" ca="1" si="39"/>
        <v>45097.373057407407</v>
      </c>
      <c r="U78" s="8" t="str">
        <f t="shared" si="19"/>
        <v xml:space="preserve">&lt;etma:1:1:49577:2&gt;  rdf:type skos:Concept ;  </v>
      </c>
      <c r="V78" s="8" t="str">
        <f t="shared" si="20"/>
        <v xml:space="preserve"> dcterms:source "https://www.mindat.org/min-49577.html" ; </v>
      </c>
      <c r="W78" s="8" t="str">
        <f t="shared" si="21"/>
        <v xml:space="preserve">skos:definition "The Vigarano (CV) chemical group of carbonaceous chondrites, distinguished by large (mm-sized) chondrules, many of which are surrounded by igneous rims, large refractory inclusions and abundant matrix (40 volume percent); CV chondrites may be divided into oxidized and reduced subgroups."@en ; </v>
      </c>
      <c r="X78" s="8" t="str">
        <f t="shared" si="40"/>
        <v xml:space="preserve"> skos:inScheme &lt;https://mindat.org/etmat/cscheme&gt; ;  </v>
      </c>
      <c r="Y78" s="8" t="str">
        <f t="shared" si="22"/>
        <v xml:space="preserve">skos:prefLabel "CV chondrite meteorite"@en ; rdfs:label "CV chondrite meteorite"@en ; </v>
      </c>
      <c r="Z78" s="8" t="str">
        <f t="shared" si="23"/>
        <v/>
      </c>
      <c r="AA78" s="8" t="str">
        <f t="shared" si="36"/>
        <v/>
      </c>
      <c r="AB78" s="8" t="str">
        <f t="shared" si="37"/>
        <v xml:space="preserve">skos:broader &lt;etma:1:1:49519:8&gt; ; </v>
      </c>
      <c r="AC78" s="8" t="str">
        <f t="shared" ca="1" si="38"/>
        <v>dcterms:modified "2023-06-20T08:57";  .</v>
      </c>
      <c r="AD78" s="10" t="str">
        <f t="shared" ca="1" si="24"/>
        <v>&lt;etma:1:1:49577:2&gt;  rdf:type skos:Concept ;     dcterms:source "https://www.mindat.org/min-49577.html" ;   skos:definition "The Vigarano (CV) chemical group of carbonaceous chondrites, distinguished by large (mm-sized) chondrules, many of which are surrounded by igneous rims, large refractory inclusions and abundant matrix (40 volume percent); CV chondrites may be divided into oxidized and reduced subgroups."@en ;    skos:inScheme &lt;https://mindat.org/etmat/cscheme&gt; ;    skos:prefLabel "CV chondrite meteorite"@en ; rdfs:label "CV chondrite meteorite"@en ;   skos:broader &lt;etma:1:1:49519:8&gt; ;   dcterms:modified "2023-06-20T08:57";  .</v>
      </c>
      <c r="AE78" s="8" t="s">
        <v>2591</v>
      </c>
    </row>
    <row r="79" spans="1:31" x14ac:dyDescent="0.25">
      <c r="A79" s="8">
        <v>56</v>
      </c>
      <c r="B79" s="8" t="s">
        <v>292</v>
      </c>
      <c r="C79" s="8">
        <v>49578</v>
      </c>
      <c r="D79" s="8" t="s">
        <v>290</v>
      </c>
      <c r="E79" s="8" t="s">
        <v>291</v>
      </c>
      <c r="F79" s="9">
        <v>7</v>
      </c>
      <c r="G79" s="9" t="s">
        <v>14</v>
      </c>
      <c r="H79" s="1" t="s">
        <v>293</v>
      </c>
      <c r="I79" s="8" t="str">
        <f t="shared" si="18"/>
        <v>https://www.mindat.org/min-49578.html</v>
      </c>
      <c r="J79" s="8">
        <v>49577</v>
      </c>
      <c r="K79" s="8" t="s">
        <v>2296</v>
      </c>
      <c r="L79" s="9">
        <v>49841</v>
      </c>
      <c r="M79" s="8" t="s">
        <v>2396</v>
      </c>
      <c r="N79" s="9">
        <v>1</v>
      </c>
      <c r="O79" s="9" t="s">
        <v>2249</v>
      </c>
      <c r="R79" s="8" t="s">
        <v>294</v>
      </c>
      <c r="S79" s="11">
        <f t="shared" ca="1" si="39"/>
        <v>45097.373057291668</v>
      </c>
      <c r="U79" s="8" t="str">
        <f t="shared" si="19"/>
        <v xml:space="preserve">&lt;etma:1:1:49578:1&gt;  rdf:type skos:Concept ;  </v>
      </c>
      <c r="V79" s="8" t="str">
        <f t="shared" si="20"/>
        <v xml:space="preserve"> dcterms:source "https://www.mindat.org/min-49578.html" ; </v>
      </c>
      <c r="W79" s="8" t="str">
        <f t="shared" si="21"/>
        <v xml:space="preserve">skos:definition "A CV chondrite that is of petrologic type 2."@en ; </v>
      </c>
      <c r="X79" s="8" t="str">
        <f t="shared" si="40"/>
        <v xml:space="preserve"> skos:inScheme &lt;https://mindat.org/etmat/cscheme&gt; ;  </v>
      </c>
      <c r="Y79" s="8" t="str">
        <f t="shared" si="22"/>
        <v xml:space="preserve">skos:prefLabel "CV2 chondrite meteorite"@en ; rdfs:label "CV2 chondrite meteorite"@en ; </v>
      </c>
      <c r="Z79" s="8" t="str">
        <f t="shared" si="23"/>
        <v xml:space="preserve"> skos:notation  "CV2"@en ; </v>
      </c>
      <c r="AA79" s="8" t="str">
        <f t="shared" si="36"/>
        <v>dcterms:source "https://www.lpi.usra.edu/meteor/metbullclass.php?sea=CV2";</v>
      </c>
      <c r="AB79" s="8" t="str">
        <f t="shared" si="37"/>
        <v xml:space="preserve">skos:broader &lt;etma:1:1:49577:2&gt;, &lt;etma:1:1:49841:4&gt; ; </v>
      </c>
      <c r="AC79" s="8" t="str">
        <f t="shared" ca="1" si="38"/>
        <v>dcterms:modified "2023-06-20T08:57";  .</v>
      </c>
      <c r="AD79" s="10" t="str">
        <f t="shared" ca="1" si="24"/>
        <v>&lt;etma:1:1:49578:1&gt;  rdf:type skos:Concept ;     dcterms:source "https://www.mindat.org/min-49578.html" ;   skos:definition "A CV chondrite that is of petrologic type 2."@en ;    skos:inScheme &lt;https://mindat.org/etmat/cscheme&gt; ;    skos:prefLabel "CV2 chondrite meteorite"@en ; rdfs:label "CV2 chondrite meteorite"@en ;    skos:notation  "CV2"@en ;   dcterms:source "https://www.lpi.usra.edu/meteor/metbullclass.php?sea=CV2";  skos:broader &lt;etma:1:1:49577:2&gt;, &lt;etma:1:1:49841:4&gt; ;   dcterms:modified "2023-06-20T08:57";  .</v>
      </c>
      <c r="AE79" s="8" t="s">
        <v>2591</v>
      </c>
    </row>
    <row r="80" spans="1:31" x14ac:dyDescent="0.25">
      <c r="A80" s="8">
        <v>57</v>
      </c>
      <c r="B80" s="8" t="s">
        <v>297</v>
      </c>
      <c r="C80" s="8">
        <v>49579</v>
      </c>
      <c r="D80" s="8" t="s">
        <v>295</v>
      </c>
      <c r="E80" s="8" t="s">
        <v>296</v>
      </c>
      <c r="F80" s="9">
        <v>7</v>
      </c>
      <c r="G80" s="9" t="s">
        <v>14</v>
      </c>
      <c r="H80" s="1" t="s">
        <v>298</v>
      </c>
      <c r="I80" s="8" t="str">
        <f t="shared" si="18"/>
        <v>https://www.mindat.org/min-49579.html</v>
      </c>
      <c r="J80" s="8">
        <v>49577</v>
      </c>
      <c r="K80" s="8" t="s">
        <v>2296</v>
      </c>
      <c r="L80" s="9">
        <v>49842</v>
      </c>
      <c r="M80" s="8" t="s">
        <v>2400</v>
      </c>
      <c r="N80" s="9">
        <v>1</v>
      </c>
      <c r="O80" s="9">
        <v>51872</v>
      </c>
      <c r="P80" s="8" t="s">
        <v>2505</v>
      </c>
      <c r="Q80" s="8" t="s">
        <v>2506</v>
      </c>
      <c r="R80" s="8" t="s">
        <v>299</v>
      </c>
      <c r="S80" s="11">
        <f t="shared" ca="1" si="39"/>
        <v>45097.373057407407</v>
      </c>
      <c r="U80" s="8" t="str">
        <f t="shared" si="19"/>
        <v xml:space="preserve">&lt;etma:1:1:49579:0&gt;  rdf:type skos:Concept ;  </v>
      </c>
      <c r="V80" s="8" t="str">
        <f t="shared" si="20"/>
        <v xml:space="preserve"> dcterms:source "https://www.mindat.org/min-49579.html" ; </v>
      </c>
      <c r="W80" s="8" t="str">
        <f t="shared" si="21"/>
        <v xml:space="preserve">skos:definition "A CV chondrite that is of petrologic type 3."@en ; </v>
      </c>
      <c r="X80" s="8" t="str">
        <f t="shared" si="25"/>
        <v xml:space="preserve"> skos:inScheme &lt;http://example.org/mindat/etmat/cscheme&gt; ;  </v>
      </c>
      <c r="Y80" s="8" t="str">
        <f t="shared" si="22"/>
        <v xml:space="preserve">skos:prefLabel "CV3 chondrite meteorite"@en ; rdfs:label "CV3 chondrite meteorite"@en ; </v>
      </c>
      <c r="Z80" s="8" t="str">
        <f t="shared" si="23"/>
        <v xml:space="preserve">skos:altLabel "CV3 carbonaceous chondrite meteorite"@en ; skos:exactMatch  &lt;etma:1:1:51872:7&gt; ;  skos:notation  "CV3"@en ; </v>
      </c>
      <c r="AA80" s="8" t="str">
        <f t="shared" si="36"/>
        <v>dcterms:source "https://www.lpi.usra.edu/meteor/metbullclass.php?sea=CV3";</v>
      </c>
      <c r="AB80" s="8" t="str">
        <f t="shared" si="37"/>
        <v xml:space="preserve">skos:broader &lt;etma:1:1:49577:2&gt;, &lt;etma:1:1:49842:3&gt; ; </v>
      </c>
      <c r="AC80" s="8" t="str">
        <f t="shared" ca="1" si="38"/>
        <v>dcterms:modified "2023-06-20T08:57";  .</v>
      </c>
      <c r="AD80" s="10" t="str">
        <f t="shared" ca="1" si="24"/>
        <v>&lt;etma:1:1:49579:0&gt;  rdf:type skos:Concept ;     dcterms:source "https://www.mindat.org/min-49579.html" ;   skos:definition "A CV chondrite that is of petrologic type 3."@en ;    skos:inScheme &lt;http://example.org/mindat/etmat/cscheme&gt; ;    skos:prefLabel "CV3 chondrite meteorite"@en ; rdfs:label "CV3 chondrite meteorite"@en ;   skos:altLabel "CV3 carbonaceous chondrite meteorite"@en ; skos:exactMatch  &lt;etma:1:1:51872:7&gt; ;  skos:notation  "CV3"@en ;   dcterms:source "https://www.lpi.usra.edu/meteor/metbullclass.php?sea=CV3";  skos:broader &lt;etma:1:1:49577:2&gt;, &lt;etma:1:1:49842:3&gt; ;   dcterms:modified "2023-06-20T08:57";  .</v>
      </c>
      <c r="AE80" s="8" t="s">
        <v>2591</v>
      </c>
    </row>
    <row r="81" spans="1:31" x14ac:dyDescent="0.25">
      <c r="A81" s="8">
        <v>58</v>
      </c>
      <c r="B81" s="8" t="s">
        <v>302</v>
      </c>
      <c r="C81" s="8">
        <v>49580</v>
      </c>
      <c r="D81" s="8" t="s">
        <v>300</v>
      </c>
      <c r="E81" s="8" t="s">
        <v>301</v>
      </c>
      <c r="F81" s="9">
        <v>7</v>
      </c>
      <c r="G81" s="9" t="s">
        <v>14</v>
      </c>
      <c r="H81" s="1" t="s">
        <v>303</v>
      </c>
      <c r="I81" s="8" t="str">
        <f t="shared" si="18"/>
        <v>https://www.mindat.org/min-49580.html</v>
      </c>
      <c r="J81" s="8">
        <v>49579</v>
      </c>
      <c r="K81" s="8" t="s">
        <v>295</v>
      </c>
      <c r="N81" s="9">
        <v>0</v>
      </c>
      <c r="O81" s="9" t="s">
        <v>2249</v>
      </c>
      <c r="R81" s="8" t="s">
        <v>304</v>
      </c>
      <c r="S81" s="11">
        <v>43051.018263888887</v>
      </c>
      <c r="U81" s="8" t="str">
        <f t="shared" si="19"/>
        <v xml:space="preserve">&lt;etma:1:1:49580:6&gt;  rdf:type skos:Concept ;  </v>
      </c>
      <c r="V81" s="8" t="str">
        <f t="shared" si="20"/>
        <v xml:space="preserve"> dcterms:source "https://www.mindat.org/min-49580.html" ; </v>
      </c>
      <c r="W81" s="8" t="str">
        <f t="shared" si="21"/>
        <v xml:space="preserve">skos:definition "A CV chondrite that is petrologic type 3 and has anomalous properties."@en ; </v>
      </c>
      <c r="X81" s="8" t="str">
        <f>" skos:inScheme &lt;https://mindat.org/etmat/cscheme&gt; ;  "</f>
        <v xml:space="preserve"> skos:inScheme &lt;https://mindat.org/etmat/cscheme&gt; ;  </v>
      </c>
      <c r="Y81" s="8" t="str">
        <f t="shared" si="22"/>
        <v xml:space="preserve">skos:prefLabel "Anomalous CV3 chondrite meteorite"@en ; rdfs:label "Anomalous CV3 chondrite meteorite"@en ; </v>
      </c>
      <c r="Z81" s="8" t="str">
        <f t="shared" si="23"/>
        <v xml:space="preserve"> skos:notation  "CV3-an"@en ; </v>
      </c>
      <c r="AA81" s="8" t="str">
        <f t="shared" si="36"/>
        <v>dcterms:source "https://www.lpi.usra.edu/meteor/metbullclass.php?sea=CV3-an";</v>
      </c>
      <c r="AB81" s="8" t="str">
        <f t="shared" si="37"/>
        <v xml:space="preserve">skos:broader &lt;etma:1:1:49579:0&gt; ; </v>
      </c>
      <c r="AC81" s="8" t="str">
        <f t="shared" si="38"/>
        <v>dcterms:modified "2017-11-12T00:26";  .</v>
      </c>
      <c r="AD81" s="10" t="str">
        <f t="shared" si="24"/>
        <v>&lt;etma:1:1:49580:6&gt;  rdf:type skos:Concept ;     dcterms:source "https://www.mindat.org/min-49580.html" ;   skos:definition "A CV chondrite that is petrologic type 3 and has anomalous properties."@en ;    skos:inScheme &lt;https://mindat.org/etmat/cscheme&gt; ;    skos:prefLabel "Anomalous CV3 chondrite meteorite"@en ; rdfs:label "Anomalous CV3 chondrite meteorite"@en ;    skos:notation  "CV3-an"@en ;   dcterms:source "https://www.lpi.usra.edu/meteor/metbullclass.php?sea=CV3-an";  skos:broader &lt;etma:1:1:49579:0&gt; ;   dcterms:modified "2017-11-12T00:26";  .</v>
      </c>
      <c r="AE81" s="8" t="s">
        <v>2591</v>
      </c>
    </row>
    <row r="82" spans="1:31" x14ac:dyDescent="0.25">
      <c r="A82" s="8">
        <v>59</v>
      </c>
      <c r="B82" s="8" t="s">
        <v>307</v>
      </c>
      <c r="C82" s="8">
        <v>49581</v>
      </c>
      <c r="D82" s="8" t="s">
        <v>305</v>
      </c>
      <c r="E82" s="8" t="s">
        <v>306</v>
      </c>
      <c r="F82" s="9">
        <v>7</v>
      </c>
      <c r="G82" s="9" t="s">
        <v>14</v>
      </c>
      <c r="H82" s="1" t="s">
        <v>2553</v>
      </c>
      <c r="I82" s="8" t="str">
        <f t="shared" si="18"/>
        <v>https://www.mindat.org/min-49581.html</v>
      </c>
      <c r="J82" s="8">
        <v>49515</v>
      </c>
      <c r="K82" s="8" t="s">
        <v>17</v>
      </c>
      <c r="N82" s="9">
        <v>1</v>
      </c>
      <c r="O82" s="9" t="s">
        <v>2250</v>
      </c>
      <c r="P82" s="8" t="s">
        <v>2539</v>
      </c>
      <c r="Q82" s="8" t="s">
        <v>2458</v>
      </c>
      <c r="R82" s="8" t="s">
        <v>309</v>
      </c>
      <c r="S82" s="11">
        <v>43050.873657407406</v>
      </c>
      <c r="U82" s="8" t="str">
        <f t="shared" si="19"/>
        <v xml:space="preserve">&lt;etma:1:1:49581:5&gt;  rdf:type skos:Concept ;  </v>
      </c>
      <c r="V82" s="8" t="str">
        <f t="shared" si="20"/>
        <v xml:space="preserve"> dcterms:source "https://www.mindat.org/min-49581.html" ; </v>
      </c>
      <c r="W82" s="8" t="str">
        <f t="shared" si="21"/>
        <v xml:space="preserve">skos:definition "A major class of chondrites, distinguished by sub-solar Mg/Si and refractory/Si ratios, oxygen isotope compositions that plot above the terrestrial fractionation line, and a large volume percentage of chondrules, with only 10-15 volume percent fine-grained matrix."@en ; </v>
      </c>
      <c r="X82" s="8" t="str">
        <f t="shared" si="25"/>
        <v xml:space="preserve"> skos:inScheme &lt;http://example.org/mindat/etmat/cscheme&gt; ;  </v>
      </c>
      <c r="Y82" s="8" t="str">
        <f t="shared" si="22"/>
        <v xml:space="preserve">skos:prefLabel "Ordinary chondrite meteorite"@en ; rdfs:label "Ordinary chondrite meteorite"@en ; </v>
      </c>
      <c r="Z82" s="8" t="str">
        <f t="shared" si="23"/>
        <v xml:space="preserve">skos:altLabel "O chondrite meteorite  | OC chondrite meteorite"@en ; skos:exactMatch  &lt;etma:1:1:49582:4 | 1:1:49583:3&gt; ;  skos:notation  "OC"@en ; </v>
      </c>
      <c r="AA82" s="8" t="str">
        <f t="shared" si="36"/>
        <v>dcterms:source "https://www.lpi.usra.edu/meteor/metbullclass.php?sea=OC";</v>
      </c>
      <c r="AB82" s="8" t="str">
        <f t="shared" si="37"/>
        <v xml:space="preserve">skos:broader &lt;etma:1:1:49515:2&gt; ; </v>
      </c>
      <c r="AC82" s="8" t="str">
        <f t="shared" si="38"/>
        <v>dcterms:modified "2017-11-11T20:58";  .</v>
      </c>
      <c r="AD82" s="10" t="str">
        <f t="shared" si="24"/>
        <v>&lt;etma:1:1:49581:5&gt;  rdf:type skos:Concept ;     dcterms:source "https://www.mindat.org/min-49581.html" ;   skos:definition "A major class of chondrites, distinguished by sub-solar Mg/Si and refractory/Si ratios, oxygen isotope compositions that plot above the terrestrial fractionation line, and a large volume percentage of chondrules, with only 10-15 volume percent fine-grained matrix."@en ;    skos:inScheme &lt;http://example.org/mindat/etmat/cscheme&gt; ;    skos:prefLabel "Ordinary chondrite meteorite"@en ; rdfs:label "Ordinary chondrite meteorite"@en ;   skos:altLabel "O chondrite meteorite  | OC chondrite meteorite"@en ; skos:exactMatch  &lt;etma:1:1:49582:4 | 1:1:49583:3&gt; ;  skos:notation  "OC"@en ;   dcterms:source "https://www.lpi.usra.edu/meteor/metbullclass.php?sea=OC";  skos:broader &lt;etma:1:1:49515:2&gt; ;   dcterms:modified "2017-11-11T20:58";  .</v>
      </c>
      <c r="AE82" s="8" t="s">
        <v>2591</v>
      </c>
    </row>
    <row r="83" spans="1:31" x14ac:dyDescent="0.25">
      <c r="A83" s="8">
        <v>60</v>
      </c>
      <c r="B83" s="8" t="s">
        <v>312</v>
      </c>
      <c r="C83" s="8">
        <v>49584</v>
      </c>
      <c r="D83" s="8" t="s">
        <v>310</v>
      </c>
      <c r="E83" s="8" t="s">
        <v>311</v>
      </c>
      <c r="F83" s="9">
        <v>7</v>
      </c>
      <c r="G83" s="9" t="s">
        <v>14</v>
      </c>
      <c r="H83" s="1" t="s">
        <v>2566</v>
      </c>
      <c r="I83" s="8" t="str">
        <f t="shared" ref="I83:I146" si="41">"https://www.mindat.org/min-"&amp; C83 &amp; ".html"</f>
        <v>https://www.mindat.org/min-49584.html</v>
      </c>
      <c r="J83" s="8">
        <v>49581</v>
      </c>
      <c r="K83" s="8" t="s">
        <v>305</v>
      </c>
      <c r="N83" s="9">
        <v>1</v>
      </c>
      <c r="O83" s="9" t="s">
        <v>2249</v>
      </c>
      <c r="R83" s="8" t="s">
        <v>314</v>
      </c>
      <c r="S83" s="11">
        <f t="shared" ref="S83:S94" ca="1" si="42">NOW()</f>
        <v>45097.373057291668</v>
      </c>
      <c r="U83" s="8" t="str">
        <f t="shared" ref="U83:U146" si="43">"&lt;etma:"&amp;D83&amp; "&gt;  rdf:type skos:Concept ;  "</f>
        <v xml:space="preserve">&lt;etma:1:1:49584:2&gt;  rdf:type skos:Concept ;  </v>
      </c>
      <c r="V83" s="8" t="str">
        <f t="shared" ref="V83:V146" si="44" xml:space="preserve"> " dcterms:source """ &amp; I83 &amp; """ ; "</f>
        <v xml:space="preserve"> dcterms:source "https://www.mindat.org/min-49584.html" ; </v>
      </c>
      <c r="W83" s="8" t="str">
        <f t="shared" ref="W83:W146" si="45">"skos:definition """ &amp; H83 &amp; """@en ; "</f>
        <v xml:space="preserve">skos:definition "The high-iron (H) chemical group of ordinary chondrites, distinguished by their high siderophile element content, relatively small chondrules (~0.3 mm), and oxygen isotope compositions that are closer to the terrestrial fractionation line than those of other ordinary chondrites."@en ; </v>
      </c>
      <c r="X83" s="8" t="str">
        <f t="shared" ref="X83:X94" si="46">" skos:inScheme &lt;https://mindat.org/etmat/cscheme&gt; ;  "</f>
        <v xml:space="preserve"> skos:inScheme &lt;https://mindat.org/etmat/cscheme&gt; ;  </v>
      </c>
      <c r="Y83" s="8" t="str">
        <f t="shared" ref="Y83:Y146" si="47">"skos:prefLabel """ &amp; B83 &amp; """@en ; rdfs:label """ &amp; B83 &amp; """@en ; "</f>
        <v xml:space="preserve">skos:prefLabel "H chondrite meteorite"@en ; rdfs:label "H chondrite meteorite"@en ; </v>
      </c>
      <c r="Z83" s="8" t="str">
        <f t="shared" ref="Z83:Z146" si="48">IF(ISBLANK(Q83),"", "skos:altLabel """&amp;Q83&amp;"""@en ; ") &amp; IF(ISBLANK(P83),"", "skos:exactMatch  &lt;etma:"&amp;P83&amp;"&gt; ; ") &amp;  IF(ISBLANK(R83),"", " skos:notation  """&amp; R83 &amp;"""@en ; ")</f>
        <v xml:space="preserve"> skos:notation  "H"@en ; </v>
      </c>
      <c r="AA83" s="8" t="str">
        <f t="shared" si="36"/>
        <v>dcterms:source "https://www.lpi.usra.edu/meteor/metbullclass.php?sea=H";</v>
      </c>
      <c r="AB83" s="8" t="str">
        <f t="shared" si="37"/>
        <v xml:space="preserve">skos:broader &lt;etma:1:1:49581:5&gt; ; </v>
      </c>
      <c r="AC83" s="8" t="str">
        <f t="shared" ca="1" si="38"/>
        <v>dcterms:modified "2023-06-20T08:57";  .</v>
      </c>
      <c r="AD83" s="10" t="str">
        <f t="shared" ref="AD83:AD146" ca="1" si="49">_xlfn.TEXTJOIN("  ", TRUE, U83:AC83)</f>
        <v>&lt;etma:1:1:49584:2&gt;  rdf:type skos:Concept ;     dcterms:source "https://www.mindat.org/min-49584.html" ;   skos:definition "The high-iron (H) chemical group of ordinary chondrites, distinguished by their high siderophile element content, relatively small chondrules (~0.3 mm), and oxygen isotope compositions that are closer to the terrestrial fractionation line than those of other ordinary chondrites."@en ;    skos:inScheme &lt;https://mindat.org/etmat/cscheme&gt; ;    skos:prefLabel "H chondrite meteorite"@en ; rdfs:label "H chondrite meteorite"@en ;    skos:notation  "H"@en ;   dcterms:source "https://www.lpi.usra.edu/meteor/metbullclass.php?sea=H";  skos:broader &lt;etma:1:1:49581:5&gt; ;   dcterms:modified "2023-06-20T08:57";  .</v>
      </c>
      <c r="AE83" s="8" t="s">
        <v>2591</v>
      </c>
    </row>
    <row r="84" spans="1:31" x14ac:dyDescent="0.25">
      <c r="A84" s="8">
        <v>61</v>
      </c>
      <c r="B84" s="8" t="s">
        <v>317</v>
      </c>
      <c r="C84" s="8">
        <v>49585</v>
      </c>
      <c r="D84" s="8" t="s">
        <v>315</v>
      </c>
      <c r="E84" s="8" t="s">
        <v>316</v>
      </c>
      <c r="F84" s="9">
        <v>7</v>
      </c>
      <c r="G84" s="9" t="s">
        <v>14</v>
      </c>
      <c r="H84" s="1" t="s">
        <v>318</v>
      </c>
      <c r="I84" s="8" t="str">
        <f t="shared" si="41"/>
        <v>https://www.mindat.org/min-49585.html</v>
      </c>
      <c r="J84" s="8">
        <v>49584</v>
      </c>
      <c r="K84" s="8" t="s">
        <v>310</v>
      </c>
      <c r="L84" s="9">
        <v>49842</v>
      </c>
      <c r="M84" s="8" t="s">
        <v>2400</v>
      </c>
      <c r="N84" s="9">
        <v>1</v>
      </c>
      <c r="O84" s="9" t="s">
        <v>2249</v>
      </c>
      <c r="R84" s="8" t="s">
        <v>319</v>
      </c>
      <c r="S84" s="11">
        <f t="shared" ca="1" si="42"/>
        <v>45097.373057291668</v>
      </c>
      <c r="U84" s="8" t="str">
        <f t="shared" si="43"/>
        <v xml:space="preserve">&lt;etma:1:1:49585:1&gt;  rdf:type skos:Concept ;  </v>
      </c>
      <c r="V84" s="8" t="str">
        <f t="shared" si="44"/>
        <v xml:space="preserve"> dcterms:source "https://www.mindat.org/min-49585.html" ; </v>
      </c>
      <c r="W84" s="8" t="str">
        <f t="shared" si="45"/>
        <v xml:space="preserve">skos:definition "An H chondrite that is of petrologic type 3."@en ; </v>
      </c>
      <c r="X84" s="8" t="str">
        <f t="shared" si="46"/>
        <v xml:space="preserve"> skos:inScheme &lt;https://mindat.org/etmat/cscheme&gt; ;  </v>
      </c>
      <c r="Y84" s="8" t="str">
        <f t="shared" si="47"/>
        <v xml:space="preserve">skos:prefLabel "H3 chondrite meteorite"@en ; rdfs:label "H3 chondrite meteorite"@en ; </v>
      </c>
      <c r="Z84" s="8" t="str">
        <f t="shared" si="48"/>
        <v xml:space="preserve"> skos:notation  "H3"@en ; </v>
      </c>
      <c r="AA84" s="8" t="str">
        <f t="shared" si="36"/>
        <v>dcterms:source "https://www.lpi.usra.edu/meteor/metbullclass.php?sea=H3";</v>
      </c>
      <c r="AB84" s="8" t="str">
        <f t="shared" si="37"/>
        <v xml:space="preserve">skos:broader &lt;etma:1:1:49584:2&gt;, &lt;etma:1:1:49842:3&gt; ; </v>
      </c>
      <c r="AC84" s="8" t="str">
        <f t="shared" ca="1" si="38"/>
        <v>dcterms:modified "2023-06-20T08:57";  .</v>
      </c>
      <c r="AD84" s="10" t="str">
        <f t="shared" ca="1" si="49"/>
        <v>&lt;etma:1:1:49585:1&gt;  rdf:type skos:Concept ;     dcterms:source "https://www.mindat.org/min-49585.html" ;   skos:definition "An H chondrite that is of petrologic type 3."@en ;    skos:inScheme &lt;https://mindat.org/etmat/cscheme&gt; ;    skos:prefLabel "H3 chondrite meteorite"@en ; rdfs:label "H3 chondrite meteorite"@en ;    skos:notation  "H3"@en ;   dcterms:source "https://www.lpi.usra.edu/meteor/metbullclass.php?sea=H3";  skos:broader &lt;etma:1:1:49584:2&gt;, &lt;etma:1:1:49842:3&gt; ;   dcterms:modified "2023-06-20T08:57";  .</v>
      </c>
      <c r="AE84" s="8" t="s">
        <v>2591</v>
      </c>
    </row>
    <row r="85" spans="1:31" x14ac:dyDescent="0.25">
      <c r="A85" s="8">
        <v>62</v>
      </c>
      <c r="B85" s="8" t="s">
        <v>322</v>
      </c>
      <c r="C85" s="8">
        <v>49586</v>
      </c>
      <c r="D85" s="8" t="s">
        <v>320</v>
      </c>
      <c r="E85" s="8" t="s">
        <v>321</v>
      </c>
      <c r="F85" s="9">
        <v>7</v>
      </c>
      <c r="G85" s="9" t="s">
        <v>14</v>
      </c>
      <c r="H85" s="1" t="s">
        <v>323</v>
      </c>
      <c r="I85" s="8" t="str">
        <f t="shared" si="41"/>
        <v>https://www.mindat.org/min-49586.html</v>
      </c>
      <c r="J85" s="8">
        <v>49585</v>
      </c>
      <c r="K85" s="8" t="s">
        <v>315</v>
      </c>
      <c r="L85" s="9">
        <v>49649</v>
      </c>
      <c r="M85" s="8" t="s">
        <v>595</v>
      </c>
      <c r="N85" s="9">
        <v>0</v>
      </c>
      <c r="O85" s="9" t="s">
        <v>2249</v>
      </c>
      <c r="R85" s="8" t="s">
        <v>324</v>
      </c>
      <c r="S85" s="11">
        <f t="shared" ca="1" si="42"/>
        <v>45097.373057291668</v>
      </c>
      <c r="U85" s="8" t="str">
        <f t="shared" si="43"/>
        <v xml:space="preserve">&lt;etma:1:1:49586:0&gt;  rdf:type skos:Concept ;  </v>
      </c>
      <c r="V85" s="8" t="str">
        <f t="shared" si="44"/>
        <v xml:space="preserve"> dcterms:source "https://www.mindat.org/min-49586.html" ; </v>
      </c>
      <c r="W85" s="8" t="str">
        <f t="shared" si="45"/>
        <v xml:space="preserve">skos:definition "An H chondrite (or less likely, an L chondrite) that is of petrologic type 3."@en ; </v>
      </c>
      <c r="X85" s="8" t="str">
        <f t="shared" si="46"/>
        <v xml:space="preserve"> skos:inScheme &lt;https://mindat.org/etmat/cscheme&gt; ;  </v>
      </c>
      <c r="Y85" s="8" t="str">
        <f t="shared" si="47"/>
        <v xml:space="preserve">skos:prefLabel "H(L)3 chondrite meteorite"@en ; rdfs:label "H(L)3 chondrite meteorite"@en ; </v>
      </c>
      <c r="Z85" s="8" t="str">
        <f t="shared" si="48"/>
        <v xml:space="preserve"> skos:notation  "H(L)3"@en ; </v>
      </c>
      <c r="AA85" s="8" t="str">
        <f t="shared" si="36"/>
        <v>dcterms:source "https://www.lpi.usra.edu/meteor/metbullclass.php?sea=H(L)3";</v>
      </c>
      <c r="AB85" s="8" t="str">
        <f t="shared" si="37"/>
        <v xml:space="preserve">skos:broader &lt;etma:1:1:49585:1&gt;, &lt;etma:1:1:49649:8&gt; ; </v>
      </c>
      <c r="AC85" s="8" t="str">
        <f t="shared" ca="1" si="38"/>
        <v>dcterms:modified "2023-06-20T08:57";  .</v>
      </c>
      <c r="AD85" s="10" t="str">
        <f t="shared" ca="1" si="49"/>
        <v>&lt;etma:1:1:49586:0&gt;  rdf:type skos:Concept ;     dcterms:source "https://www.mindat.org/min-49586.html" ;   skos:definition "An H chondrite (or less likely, an L chondrite) that is of petrologic type 3."@en ;    skos:inScheme &lt;https://mindat.org/etmat/cscheme&gt; ;    skos:prefLabel "H(L)3 chondrite meteorite"@en ; rdfs:label "H(L)3 chondrite meteorite"@en ;    skos:notation  "H(L)3"@en ;   dcterms:source "https://www.lpi.usra.edu/meteor/metbullclass.php?sea=H(L)3";  skos:broader &lt;etma:1:1:49585:1&gt;, &lt;etma:1:1:49649:8&gt; ;   dcterms:modified "2023-06-20T08:57";  .</v>
      </c>
      <c r="AE85" s="8" t="s">
        <v>2591</v>
      </c>
    </row>
    <row r="86" spans="1:31" x14ac:dyDescent="0.25">
      <c r="A86" s="8">
        <v>63</v>
      </c>
      <c r="B86" s="8" t="s">
        <v>327</v>
      </c>
      <c r="C86" s="8">
        <v>49587</v>
      </c>
      <c r="D86" s="8" t="s">
        <v>325</v>
      </c>
      <c r="E86" s="8" t="s">
        <v>326</v>
      </c>
      <c r="F86" s="9">
        <v>7</v>
      </c>
      <c r="G86" s="9" t="s">
        <v>14</v>
      </c>
      <c r="H86" s="1" t="s">
        <v>328</v>
      </c>
      <c r="I86" s="8" t="str">
        <f t="shared" si="41"/>
        <v>https://www.mindat.org/min-49587.html</v>
      </c>
      <c r="J86" s="8">
        <v>50445</v>
      </c>
      <c r="K86" s="8" t="s">
        <v>1901</v>
      </c>
      <c r="N86" s="9">
        <v>0</v>
      </c>
      <c r="O86" s="9" t="s">
        <v>2249</v>
      </c>
      <c r="R86" s="8" t="s">
        <v>329</v>
      </c>
      <c r="S86" s="11">
        <f t="shared" ca="1" si="42"/>
        <v>45097.373057291668</v>
      </c>
      <c r="U86" s="8" t="str">
        <f t="shared" si="43"/>
        <v xml:space="preserve">&lt;etma:1:1:49587:9&gt;  rdf:type skos:Concept ;  </v>
      </c>
      <c r="V86" s="8" t="str">
        <f t="shared" si="44"/>
        <v xml:space="preserve"> dcterms:source "https://www.mindat.org/min-49587.html" ; </v>
      </c>
      <c r="W86" s="8" t="str">
        <f t="shared" si="45"/>
        <v xml:space="preserve">skos:definition "An H chondrite or L chondrite that is of petrological type 3.5."@en ; </v>
      </c>
      <c r="X86" s="8" t="str">
        <f t="shared" si="46"/>
        <v xml:space="preserve"> skos:inScheme &lt;https://mindat.org/etmat/cscheme&gt; ;  </v>
      </c>
      <c r="Y86" s="8" t="str">
        <f t="shared" si="47"/>
        <v xml:space="preserve">skos:prefLabel "H/L3.5 chondrite meteorite"@en ; rdfs:label "H/L3.5 chondrite meteorite"@en ; </v>
      </c>
      <c r="Z86" s="8" t="str">
        <f t="shared" si="48"/>
        <v xml:space="preserve"> skos:notation  "H/L3.5"@en ; </v>
      </c>
      <c r="AA86" s="8" t="str">
        <f t="shared" si="36"/>
        <v>dcterms:source "https://www.lpi.usra.edu/meteor/metbullclass.php?sea=H/L3.5";</v>
      </c>
      <c r="AB86" s="8" t="str">
        <f t="shared" si="37"/>
        <v xml:space="preserve">skos:broader &lt;etma:1:1:50445:0&gt; ; </v>
      </c>
      <c r="AC86" s="8" t="str">
        <f t="shared" ca="1" si="38"/>
        <v>dcterms:modified "2023-06-20T08:57";  .</v>
      </c>
      <c r="AD86" s="10" t="str">
        <f t="shared" ca="1" si="49"/>
        <v>&lt;etma:1:1:49587:9&gt;  rdf:type skos:Concept ;     dcterms:source "https://www.mindat.org/min-49587.html" ;   skos:definition "An H chondrite or L chondrite that is of petrological type 3.5."@en ;    skos:inScheme &lt;https://mindat.org/etmat/cscheme&gt; ;    skos:prefLabel "H/L3.5 chondrite meteorite"@en ; rdfs:label "H/L3.5 chondrite meteorite"@en ;    skos:notation  "H/L3.5"@en ;   dcterms:source "https://www.lpi.usra.edu/meteor/metbullclass.php?sea=H/L3.5";  skos:broader &lt;etma:1:1:50445:0&gt; ;   dcterms:modified "2023-06-20T08:57";  .</v>
      </c>
      <c r="AE86" s="8" t="s">
        <v>2591</v>
      </c>
    </row>
    <row r="87" spans="1:31" x14ac:dyDescent="0.25">
      <c r="A87" s="8">
        <v>64</v>
      </c>
      <c r="B87" s="8" t="s">
        <v>332</v>
      </c>
      <c r="C87" s="8">
        <v>49588</v>
      </c>
      <c r="D87" s="8" t="s">
        <v>330</v>
      </c>
      <c r="E87" s="8" t="s">
        <v>331</v>
      </c>
      <c r="F87" s="9">
        <v>7</v>
      </c>
      <c r="G87" s="9" t="s">
        <v>14</v>
      </c>
      <c r="H87" s="1" t="s">
        <v>333</v>
      </c>
      <c r="I87" s="8" t="str">
        <f t="shared" si="41"/>
        <v>https://www.mindat.org/min-49588.html</v>
      </c>
      <c r="J87" s="8">
        <v>50445</v>
      </c>
      <c r="K87" s="8" t="s">
        <v>1901</v>
      </c>
      <c r="N87" s="9">
        <v>0</v>
      </c>
      <c r="O87" s="9" t="s">
        <v>2249</v>
      </c>
      <c r="R87" s="8" t="s">
        <v>334</v>
      </c>
      <c r="S87" s="11">
        <f t="shared" ca="1" si="42"/>
        <v>45097.373057291668</v>
      </c>
      <c r="U87" s="8" t="str">
        <f t="shared" si="43"/>
        <v xml:space="preserve">&lt;etma:1:1:49588:8&gt;  rdf:type skos:Concept ;  </v>
      </c>
      <c r="V87" s="8" t="str">
        <f t="shared" si="44"/>
        <v xml:space="preserve"> dcterms:source "https://www.mindat.org/min-49588.html" ; </v>
      </c>
      <c r="W87" s="8" t="str">
        <f t="shared" si="45"/>
        <v xml:space="preserve">skos:definition "An H chondrite or L chondrite that is of petrological type 3.6."@en ; </v>
      </c>
      <c r="X87" s="8" t="str">
        <f t="shared" si="46"/>
        <v xml:space="preserve"> skos:inScheme &lt;https://mindat.org/etmat/cscheme&gt; ;  </v>
      </c>
      <c r="Y87" s="8" t="str">
        <f t="shared" si="47"/>
        <v xml:space="preserve">skos:prefLabel "H/L3.6 chondrite meteorite"@en ; rdfs:label "H/L3.6 chondrite meteorite"@en ; </v>
      </c>
      <c r="Z87" s="8" t="str">
        <f t="shared" si="48"/>
        <v xml:space="preserve"> skos:notation  "H/L3.6"@en ; </v>
      </c>
      <c r="AA87" s="8" t="str">
        <f t="shared" si="36"/>
        <v>dcterms:source "https://www.lpi.usra.edu/meteor/metbullclass.php?sea=H/L3.6";</v>
      </c>
      <c r="AB87" s="8" t="str">
        <f t="shared" si="37"/>
        <v xml:space="preserve">skos:broader &lt;etma:1:1:50445:0&gt; ; </v>
      </c>
      <c r="AC87" s="8" t="str">
        <f t="shared" ca="1" si="38"/>
        <v>dcterms:modified "2023-06-20T08:57";  .</v>
      </c>
      <c r="AD87" s="10" t="str">
        <f t="shared" ca="1" si="49"/>
        <v>&lt;etma:1:1:49588:8&gt;  rdf:type skos:Concept ;     dcterms:source "https://www.mindat.org/min-49588.html" ;   skos:definition "An H chondrite or L chondrite that is of petrological type 3.6."@en ;    skos:inScheme &lt;https://mindat.org/etmat/cscheme&gt; ;    skos:prefLabel "H/L3.6 chondrite meteorite"@en ; rdfs:label "H/L3.6 chondrite meteorite"@en ;    skos:notation  "H/L3.6"@en ;   dcterms:source "https://www.lpi.usra.edu/meteor/metbullclass.php?sea=H/L3.6";  skos:broader &lt;etma:1:1:50445:0&gt; ;   dcterms:modified "2023-06-20T08:57";  .</v>
      </c>
      <c r="AE87" s="8" t="s">
        <v>2591</v>
      </c>
    </row>
    <row r="88" spans="1:31" x14ac:dyDescent="0.25">
      <c r="A88" s="8">
        <v>65</v>
      </c>
      <c r="B88" s="8" t="s">
        <v>337</v>
      </c>
      <c r="C88" s="8">
        <v>49589</v>
      </c>
      <c r="D88" s="8" t="s">
        <v>335</v>
      </c>
      <c r="E88" s="8" t="s">
        <v>336</v>
      </c>
      <c r="F88" s="9">
        <v>7</v>
      </c>
      <c r="G88" s="9" t="s">
        <v>14</v>
      </c>
      <c r="H88" s="1" t="s">
        <v>338</v>
      </c>
      <c r="I88" s="8" t="str">
        <f t="shared" si="41"/>
        <v>https://www.mindat.org/min-49589.html</v>
      </c>
      <c r="J88" s="8">
        <v>50445</v>
      </c>
      <c r="K88" s="8" t="s">
        <v>1901</v>
      </c>
      <c r="N88" s="9">
        <v>0</v>
      </c>
      <c r="O88" s="9" t="s">
        <v>2249</v>
      </c>
      <c r="R88" s="8" t="s">
        <v>339</v>
      </c>
      <c r="S88" s="11">
        <f t="shared" ca="1" si="42"/>
        <v>45097.373057407407</v>
      </c>
      <c r="U88" s="8" t="str">
        <f t="shared" si="43"/>
        <v xml:space="preserve">&lt;etma:1:1:49589:7&gt;  rdf:type skos:Concept ;  </v>
      </c>
      <c r="V88" s="8" t="str">
        <f t="shared" si="44"/>
        <v xml:space="preserve"> dcterms:source "https://www.mindat.org/min-49589.html" ; </v>
      </c>
      <c r="W88" s="8" t="str">
        <f t="shared" si="45"/>
        <v xml:space="preserve">skos:definition "An H chondrite or L chondrite that is of petrological type 3.7."@en ; </v>
      </c>
      <c r="X88" s="8" t="str">
        <f t="shared" si="46"/>
        <v xml:space="preserve"> skos:inScheme &lt;https://mindat.org/etmat/cscheme&gt; ;  </v>
      </c>
      <c r="Y88" s="8" t="str">
        <f t="shared" si="47"/>
        <v xml:space="preserve">skos:prefLabel "H/L3.7 chondrite meteorite"@en ; rdfs:label "H/L3.7 chondrite meteorite"@en ; </v>
      </c>
      <c r="Z88" s="8" t="str">
        <f t="shared" si="48"/>
        <v xml:space="preserve"> skos:notation  "H/L3.7"@en ; </v>
      </c>
      <c r="AA88" s="8" t="str">
        <f t="shared" si="36"/>
        <v>dcterms:source "https://www.lpi.usra.edu/meteor/metbullclass.php?sea=H/L3.7";</v>
      </c>
      <c r="AB88" s="8" t="str">
        <f t="shared" si="37"/>
        <v xml:space="preserve">skos:broader &lt;etma:1:1:50445:0&gt; ; </v>
      </c>
      <c r="AC88" s="8" t="str">
        <f t="shared" ca="1" si="38"/>
        <v>dcterms:modified "2023-06-20T08:57";  .</v>
      </c>
      <c r="AD88" s="10" t="str">
        <f t="shared" ca="1" si="49"/>
        <v>&lt;etma:1:1:49589:7&gt;  rdf:type skos:Concept ;     dcterms:source "https://www.mindat.org/min-49589.html" ;   skos:definition "An H chondrite or L chondrite that is of petrological type 3.7."@en ;    skos:inScheme &lt;https://mindat.org/etmat/cscheme&gt; ;    skos:prefLabel "H/L3.7 chondrite meteorite"@en ; rdfs:label "H/L3.7 chondrite meteorite"@en ;    skos:notation  "H/L3.7"@en ;   dcterms:source "https://www.lpi.usra.edu/meteor/metbullclass.php?sea=H/L3.7";  skos:broader &lt;etma:1:1:50445:0&gt; ;   dcterms:modified "2023-06-20T08:57";  .</v>
      </c>
      <c r="AE88" s="8" t="s">
        <v>2591</v>
      </c>
    </row>
    <row r="89" spans="1:31" x14ac:dyDescent="0.25">
      <c r="A89" s="8">
        <v>66</v>
      </c>
      <c r="B89" s="8" t="s">
        <v>342</v>
      </c>
      <c r="C89" s="8">
        <v>49590</v>
      </c>
      <c r="D89" s="8" t="s">
        <v>340</v>
      </c>
      <c r="E89" s="8" t="s">
        <v>341</v>
      </c>
      <c r="F89" s="9">
        <v>7</v>
      </c>
      <c r="G89" s="9" t="s">
        <v>14</v>
      </c>
      <c r="H89" s="1" t="s">
        <v>343</v>
      </c>
      <c r="I89" s="8" t="str">
        <f t="shared" si="41"/>
        <v>https://www.mindat.org/min-49590.html</v>
      </c>
      <c r="J89" s="8">
        <v>50445</v>
      </c>
      <c r="K89" s="8" t="s">
        <v>1901</v>
      </c>
      <c r="N89" s="9">
        <v>0</v>
      </c>
      <c r="O89" s="9" t="s">
        <v>2249</v>
      </c>
      <c r="R89" s="8" t="s">
        <v>344</v>
      </c>
      <c r="S89" s="11">
        <f t="shared" ca="1" si="42"/>
        <v>45097.373057291668</v>
      </c>
      <c r="U89" s="8" t="str">
        <f t="shared" si="43"/>
        <v xml:space="preserve">&lt;etma:1:1:49590:3&gt;  rdf:type skos:Concept ;  </v>
      </c>
      <c r="V89" s="8" t="str">
        <f t="shared" si="44"/>
        <v xml:space="preserve"> dcterms:source "https://www.mindat.org/min-49590.html" ; </v>
      </c>
      <c r="W89" s="8" t="str">
        <f t="shared" si="45"/>
        <v xml:space="preserve">skos:definition "An H chondrite or L chondrite that is of petrological type 3.9."@en ; </v>
      </c>
      <c r="X89" s="8" t="str">
        <f t="shared" si="46"/>
        <v xml:space="preserve"> skos:inScheme &lt;https://mindat.org/etmat/cscheme&gt; ;  </v>
      </c>
      <c r="Y89" s="8" t="str">
        <f t="shared" si="47"/>
        <v xml:space="preserve">skos:prefLabel "H/L3.9 chondrite meteorite"@en ; rdfs:label "H/L3.9 chondrite meteorite"@en ; </v>
      </c>
      <c r="Z89" s="8" t="str">
        <f t="shared" si="48"/>
        <v xml:space="preserve"> skos:notation  "H/L3.9"@en ; </v>
      </c>
      <c r="AA89" s="8" t="str">
        <f t="shared" si="36"/>
        <v>dcterms:source "https://www.lpi.usra.edu/meteor/metbullclass.php?sea=H/L3.9";</v>
      </c>
      <c r="AB89" s="8" t="str">
        <f t="shared" si="37"/>
        <v xml:space="preserve">skos:broader &lt;etma:1:1:50445:0&gt; ; </v>
      </c>
      <c r="AC89" s="8" t="str">
        <f t="shared" ca="1" si="38"/>
        <v>dcterms:modified "2023-06-20T08:57";  .</v>
      </c>
      <c r="AD89" s="10" t="str">
        <f t="shared" ca="1" si="49"/>
        <v>&lt;etma:1:1:49590:3&gt;  rdf:type skos:Concept ;     dcterms:source "https://www.mindat.org/min-49590.html" ;   skos:definition "An H chondrite or L chondrite that is of petrological type 3.9."@en ;    skos:inScheme &lt;https://mindat.org/etmat/cscheme&gt; ;    skos:prefLabel "H/L3.9 chondrite meteorite"@en ; rdfs:label "H/L3.9 chondrite meteorite"@en ;    skos:notation  "H/L3.9"@en ;   dcterms:source "https://www.lpi.usra.edu/meteor/metbullclass.php?sea=H/L3.9";  skos:broader &lt;etma:1:1:50445:0&gt; ;   dcterms:modified "2023-06-20T08:57";  .</v>
      </c>
      <c r="AE89" s="8" t="s">
        <v>2591</v>
      </c>
    </row>
    <row r="90" spans="1:31" x14ac:dyDescent="0.25">
      <c r="A90" s="8">
        <v>67</v>
      </c>
      <c r="B90" s="8" t="s">
        <v>347</v>
      </c>
      <c r="C90" s="8">
        <v>49591</v>
      </c>
      <c r="D90" s="8" t="s">
        <v>345</v>
      </c>
      <c r="E90" s="8" t="s">
        <v>346</v>
      </c>
      <c r="F90" s="9">
        <v>7</v>
      </c>
      <c r="G90" s="9" t="s">
        <v>14</v>
      </c>
      <c r="H90" s="1" t="s">
        <v>348</v>
      </c>
      <c r="I90" s="8" t="str">
        <f t="shared" si="41"/>
        <v>https://www.mindat.org/min-49591.html</v>
      </c>
      <c r="J90" s="8">
        <v>50445</v>
      </c>
      <c r="K90" s="8" t="s">
        <v>1901</v>
      </c>
      <c r="L90" s="9">
        <v>49609</v>
      </c>
      <c r="M90" s="8" t="s">
        <v>410</v>
      </c>
      <c r="N90" s="9">
        <v>0</v>
      </c>
      <c r="O90" s="9" t="s">
        <v>2249</v>
      </c>
      <c r="R90" s="8" t="s">
        <v>349</v>
      </c>
      <c r="S90" s="11">
        <f t="shared" ca="1" si="42"/>
        <v>45097.373057407407</v>
      </c>
      <c r="U90" s="8" t="str">
        <f t="shared" si="43"/>
        <v xml:space="preserve">&lt;etma:1:1:49591:2&gt;  rdf:type skos:Concept ;  </v>
      </c>
      <c r="V90" s="8" t="str">
        <f t="shared" si="44"/>
        <v xml:space="preserve"> dcterms:source "https://www.mindat.org/min-49591.html" ; </v>
      </c>
      <c r="W90" s="8" t="str">
        <f t="shared" si="45"/>
        <v xml:space="preserve">skos:definition "An H chondrite or L chondrite that is a breccia of petrological type 3 and 4 components."@en ; </v>
      </c>
      <c r="X90" s="8" t="str">
        <f t="shared" si="46"/>
        <v xml:space="preserve"> skos:inScheme &lt;https://mindat.org/etmat/cscheme&gt; ;  </v>
      </c>
      <c r="Y90" s="8" t="str">
        <f t="shared" si="47"/>
        <v xml:space="preserve">skos:prefLabel "H/L3-4 chondrite meteorite"@en ; rdfs:label "H/L3-4 chondrite meteorite"@en ; </v>
      </c>
      <c r="Z90" s="8" t="str">
        <f t="shared" si="48"/>
        <v xml:space="preserve"> skos:notation  "H/L3-4"@en ; </v>
      </c>
      <c r="AA90" s="8" t="str">
        <f t="shared" si="36"/>
        <v>dcterms:source "https://www.lpi.usra.edu/meteor/metbullclass.php?sea=H/L3-4";</v>
      </c>
      <c r="AB90" s="8" t="str">
        <f t="shared" si="37"/>
        <v xml:space="preserve">skos:broader &lt;etma:1:1:50445:0&gt;, &lt;etma:1:1:49609:0&gt; ; </v>
      </c>
      <c r="AC90" s="8" t="str">
        <f t="shared" ca="1" si="38"/>
        <v>dcterms:modified "2023-06-20T08:57";  .</v>
      </c>
      <c r="AD90" s="10" t="str">
        <f t="shared" ca="1" si="49"/>
        <v>&lt;etma:1:1:49591:2&gt;  rdf:type skos:Concept ;     dcterms:source "https://www.mindat.org/min-49591.html" ;   skos:definition "An H chondrite or L chondrite that is a breccia of petrological type 3 and 4 components."@en ;    skos:inScheme &lt;https://mindat.org/etmat/cscheme&gt; ;    skos:prefLabel "H/L3-4 chondrite meteorite"@en ; rdfs:label "H/L3-4 chondrite meteorite"@en ;    skos:notation  "H/L3-4"@en ;   dcterms:source "https://www.lpi.usra.edu/meteor/metbullclass.php?sea=H/L3-4";  skos:broader &lt;etma:1:1:50445:0&gt;, &lt;etma:1:1:49609:0&gt; ;   dcterms:modified "2023-06-20T08:57";  .</v>
      </c>
      <c r="AE90" s="8" t="s">
        <v>2591</v>
      </c>
    </row>
    <row r="91" spans="1:31" x14ac:dyDescent="0.25">
      <c r="A91" s="8">
        <v>68</v>
      </c>
      <c r="B91" s="8" t="s">
        <v>352</v>
      </c>
      <c r="C91" s="8">
        <v>49592</v>
      </c>
      <c r="D91" s="8" t="s">
        <v>350</v>
      </c>
      <c r="E91" s="8" t="s">
        <v>351</v>
      </c>
      <c r="F91" s="9">
        <v>7</v>
      </c>
      <c r="G91" s="9" t="s">
        <v>14</v>
      </c>
      <c r="H91" s="1" t="s">
        <v>353</v>
      </c>
      <c r="I91" s="8" t="str">
        <f t="shared" si="41"/>
        <v>https://www.mindat.org/min-49592.html</v>
      </c>
      <c r="J91" s="8">
        <v>49585</v>
      </c>
      <c r="K91" s="8" t="s">
        <v>315</v>
      </c>
      <c r="L91" s="9">
        <v>49606</v>
      </c>
      <c r="M91" s="8" t="s">
        <v>395</v>
      </c>
      <c r="N91" s="9">
        <v>0</v>
      </c>
      <c r="O91" s="9" t="s">
        <v>2249</v>
      </c>
      <c r="R91" s="8" t="s">
        <v>354</v>
      </c>
      <c r="S91" s="11">
        <f t="shared" ca="1" si="42"/>
        <v>45097.373057291668</v>
      </c>
      <c r="U91" s="8" t="str">
        <f t="shared" si="43"/>
        <v xml:space="preserve">&lt;etma:1:1:49592:1&gt;  rdf:type skos:Concept ;  </v>
      </c>
      <c r="V91" s="8" t="str">
        <f t="shared" si="44"/>
        <v xml:space="preserve"> dcterms:source "https://www.mindat.org/min-49592.html" ; </v>
      </c>
      <c r="W91" s="8" t="str">
        <f t="shared" si="45"/>
        <v xml:space="preserve">skos:definition "An H chondrite that is transitional between petrologic type 3 and 4."@en ; </v>
      </c>
      <c r="X91" s="8" t="str">
        <f t="shared" si="46"/>
        <v xml:space="preserve"> skos:inScheme &lt;https://mindat.org/etmat/cscheme&gt; ;  </v>
      </c>
      <c r="Y91" s="8" t="str">
        <f t="shared" si="47"/>
        <v xml:space="preserve">skos:prefLabel "H3/4 chondrite meteorite"@en ; rdfs:label "H3/4 chondrite meteorite"@en ; </v>
      </c>
      <c r="Z91" s="8" t="str">
        <f t="shared" si="48"/>
        <v xml:space="preserve"> skos:notation  "H3/4"@en ; </v>
      </c>
      <c r="AA91" s="8" t="str">
        <f t="shared" si="36"/>
        <v>dcterms:source "https://www.lpi.usra.edu/meteor/metbullclass.php?sea=H3/4";</v>
      </c>
      <c r="AB91" s="8" t="str">
        <f t="shared" si="37"/>
        <v xml:space="preserve">skos:broader &lt;etma:1:1:49585:1&gt;, &lt;etma:1:1:49606:3&gt; ; </v>
      </c>
      <c r="AC91" s="8" t="str">
        <f t="shared" ca="1" si="38"/>
        <v>dcterms:modified "2023-06-20T08:57";  .</v>
      </c>
      <c r="AD91" s="10" t="str">
        <f t="shared" ca="1" si="49"/>
        <v>&lt;etma:1:1:49592:1&gt;  rdf:type skos:Concept ;     dcterms:source "https://www.mindat.org/min-49592.html" ;   skos:definition "An H chondrite that is transitional between petrologic type 3 and 4."@en ;    skos:inScheme &lt;https://mindat.org/etmat/cscheme&gt; ;    skos:prefLabel "H3/4 chondrite meteorite"@en ; rdfs:label "H3/4 chondrite meteorite"@en ;    skos:notation  "H3/4"@en ;   dcterms:source "https://www.lpi.usra.edu/meteor/metbullclass.php?sea=H3/4";  skos:broader &lt;etma:1:1:49585:1&gt;, &lt;etma:1:1:49606:3&gt; ;   dcterms:modified "2023-06-20T08:57";  .</v>
      </c>
      <c r="AE91" s="8" t="s">
        <v>2591</v>
      </c>
    </row>
    <row r="92" spans="1:31" x14ac:dyDescent="0.25">
      <c r="A92" s="8">
        <v>69</v>
      </c>
      <c r="B92" s="8" t="s">
        <v>357</v>
      </c>
      <c r="C92" s="8">
        <v>49593</v>
      </c>
      <c r="D92" s="8" t="s">
        <v>355</v>
      </c>
      <c r="E92" s="8" t="s">
        <v>356</v>
      </c>
      <c r="F92" s="9">
        <v>7</v>
      </c>
      <c r="G92" s="9" t="s">
        <v>14</v>
      </c>
      <c r="H92" s="1" t="s">
        <v>358</v>
      </c>
      <c r="I92" s="8" t="str">
        <f t="shared" si="41"/>
        <v>https://www.mindat.org/min-49593.html</v>
      </c>
      <c r="J92" s="8">
        <v>49585</v>
      </c>
      <c r="K92" s="8" t="s">
        <v>315</v>
      </c>
      <c r="N92" s="9">
        <v>0</v>
      </c>
      <c r="O92" s="9" t="s">
        <v>2249</v>
      </c>
      <c r="R92" s="8" t="s">
        <v>359</v>
      </c>
      <c r="S92" s="11">
        <f t="shared" ca="1" si="42"/>
        <v>45097.373057291668</v>
      </c>
      <c r="U92" s="8" t="str">
        <f t="shared" si="43"/>
        <v xml:space="preserve">&lt;etma:1:1:49593:0&gt;  rdf:type skos:Concept ;  </v>
      </c>
      <c r="V92" s="8" t="str">
        <f t="shared" si="44"/>
        <v xml:space="preserve"> dcterms:source "https://www.mindat.org/min-49593.html" ; </v>
      </c>
      <c r="W92" s="8" t="str">
        <f t="shared" si="45"/>
        <v xml:space="preserve">skos:definition "An H chondrite that is petrologic type 3 and has anomalous properties."@en ; </v>
      </c>
      <c r="X92" s="8" t="str">
        <f t="shared" si="46"/>
        <v xml:space="preserve"> skos:inScheme &lt;https://mindat.org/etmat/cscheme&gt; ;  </v>
      </c>
      <c r="Y92" s="8" t="str">
        <f t="shared" si="47"/>
        <v xml:space="preserve">skos:prefLabel "H3-an chondrite meteorite"@en ; rdfs:label "H3-an chondrite meteorite"@en ; </v>
      </c>
      <c r="Z92" s="8" t="str">
        <f t="shared" si="48"/>
        <v xml:space="preserve"> skos:notation  "H3-an"@en ; </v>
      </c>
      <c r="AA92" s="8" t="str">
        <f t="shared" si="36"/>
        <v>dcterms:source "https://www.lpi.usra.edu/meteor/metbullclass.php?sea=H3-an";</v>
      </c>
      <c r="AB92" s="8" t="str">
        <f t="shared" si="37"/>
        <v xml:space="preserve">skos:broader &lt;etma:1:1:49585:1&gt; ; </v>
      </c>
      <c r="AC92" s="8" t="str">
        <f t="shared" ca="1" si="38"/>
        <v>dcterms:modified "2023-06-20T08:57";  .</v>
      </c>
      <c r="AD92" s="10" t="str">
        <f t="shared" ca="1" si="49"/>
        <v>&lt;etma:1:1:49593:0&gt;  rdf:type skos:Concept ;     dcterms:source "https://www.mindat.org/min-49593.html" ;   skos:definition "An H chondrite that is petrologic type 3 and has anomalous properties."@en ;    skos:inScheme &lt;https://mindat.org/etmat/cscheme&gt; ;    skos:prefLabel "H3-an chondrite meteorite"@en ; rdfs:label "H3-an chondrite meteorite"@en ;    skos:notation  "H3-an"@en ;   dcterms:source "https://www.lpi.usra.edu/meteor/metbullclass.php?sea=H3-an";  skos:broader &lt;etma:1:1:49585:1&gt; ;   dcterms:modified "2023-06-20T08:57";  .</v>
      </c>
      <c r="AE92" s="8" t="s">
        <v>2591</v>
      </c>
    </row>
    <row r="93" spans="1:31" x14ac:dyDescent="0.25">
      <c r="A93" s="8">
        <v>70</v>
      </c>
      <c r="B93" s="8" t="s">
        <v>362</v>
      </c>
      <c r="C93" s="8">
        <v>49595</v>
      </c>
      <c r="D93" s="8" t="s">
        <v>360</v>
      </c>
      <c r="E93" s="8" t="s">
        <v>361</v>
      </c>
      <c r="F93" s="9">
        <v>7</v>
      </c>
      <c r="G93" s="9" t="s">
        <v>14</v>
      </c>
      <c r="H93" s="1" t="s">
        <v>363</v>
      </c>
      <c r="I93" s="8" t="str">
        <f t="shared" si="41"/>
        <v>https://www.mindat.org/min-49595.html</v>
      </c>
      <c r="J93" s="8">
        <v>49586</v>
      </c>
      <c r="K93" s="8" t="s">
        <v>320</v>
      </c>
      <c r="N93" s="9">
        <v>0</v>
      </c>
      <c r="O93" s="9" t="s">
        <v>2249</v>
      </c>
      <c r="R93" s="8" t="s">
        <v>364</v>
      </c>
      <c r="S93" s="11">
        <f t="shared" ca="1" si="42"/>
        <v>45097.373057291668</v>
      </c>
      <c r="U93" s="8" t="str">
        <f t="shared" si="43"/>
        <v xml:space="preserve">&lt;etma:1:1:49595:8&gt;  rdf:type skos:Concept ;  </v>
      </c>
      <c r="V93" s="8" t="str">
        <f t="shared" si="44"/>
        <v xml:space="preserve"> dcterms:source "https://www.mindat.org/min-49595.html" ; </v>
      </c>
      <c r="W93" s="8" t="str">
        <f t="shared" si="45"/>
        <v xml:space="preserve">skos:definition "An H chondrite (or less likely, an L chondrite) that is of petrologic type 3 and has anomalous properties."@en ; </v>
      </c>
      <c r="X93" s="8" t="str">
        <f t="shared" si="46"/>
        <v xml:space="preserve"> skos:inScheme &lt;https://mindat.org/etmat/cscheme&gt; ;  </v>
      </c>
      <c r="Y93" s="8" t="str">
        <f t="shared" si="47"/>
        <v xml:space="preserve">skos:prefLabel "H(L)3-an chondrite meteorite"@en ; rdfs:label "H(L)3-an chondrite meteorite"@en ; </v>
      </c>
      <c r="Z93" s="8" t="str">
        <f t="shared" si="48"/>
        <v xml:space="preserve"> skos:notation  "H(L)3-an"@en ; </v>
      </c>
      <c r="AA93" s="8" t="str">
        <f t="shared" si="36"/>
        <v>dcterms:source "https://www.lpi.usra.edu/meteor/metbullclass.php?sea=H(L)3-an";</v>
      </c>
      <c r="AB93" s="8" t="str">
        <f t="shared" si="37"/>
        <v xml:space="preserve">skos:broader &lt;etma:1:1:49586:0&gt; ; </v>
      </c>
      <c r="AC93" s="8" t="str">
        <f t="shared" ca="1" si="38"/>
        <v>dcterms:modified "2023-06-20T08:57";  .</v>
      </c>
      <c r="AD93" s="10" t="str">
        <f t="shared" ca="1" si="49"/>
        <v>&lt;etma:1:1:49595:8&gt;  rdf:type skos:Concept ;     dcterms:source "https://www.mindat.org/min-49595.html" ;   skos:definition "An H chondrite (or less likely, an L chondrite) that is of petrologic type 3 and has anomalous properties."@en ;    skos:inScheme &lt;https://mindat.org/etmat/cscheme&gt; ;    skos:prefLabel "H(L)3-an chondrite meteorite"@en ; rdfs:label "H(L)3-an chondrite meteorite"@en ;    skos:notation  "H(L)3-an"@en ;   dcterms:source "https://www.lpi.usra.edu/meteor/metbullclass.php?sea=H(L)3-an";  skos:broader &lt;etma:1:1:49586:0&gt; ;   dcterms:modified "2023-06-20T08:57";  .</v>
      </c>
      <c r="AE93" s="8" t="s">
        <v>2591</v>
      </c>
    </row>
    <row r="94" spans="1:31" x14ac:dyDescent="0.25">
      <c r="A94" s="8">
        <v>71</v>
      </c>
      <c r="B94" s="8" t="s">
        <v>367</v>
      </c>
      <c r="C94" s="8">
        <v>49596</v>
      </c>
      <c r="D94" s="8" t="s">
        <v>365</v>
      </c>
      <c r="E94" s="8" t="s">
        <v>366</v>
      </c>
      <c r="F94" s="9">
        <v>7</v>
      </c>
      <c r="G94" s="9" t="s">
        <v>14</v>
      </c>
      <c r="H94" s="1" t="s">
        <v>368</v>
      </c>
      <c r="I94" s="8" t="str">
        <f t="shared" si="41"/>
        <v>https://www.mindat.org/min-49596.html</v>
      </c>
      <c r="J94" s="8">
        <v>49586</v>
      </c>
      <c r="K94" s="8" t="s">
        <v>320</v>
      </c>
      <c r="N94" s="9">
        <v>0</v>
      </c>
      <c r="O94" s="9" t="s">
        <v>2249</v>
      </c>
      <c r="R94" s="8" t="s">
        <v>369</v>
      </c>
      <c r="S94" s="11">
        <f t="shared" ca="1" si="42"/>
        <v>45097.373057291668</v>
      </c>
      <c r="U94" s="8" t="str">
        <f t="shared" si="43"/>
        <v xml:space="preserve">&lt;etma:1:1:49596:7&gt;  rdf:type skos:Concept ;  </v>
      </c>
      <c r="V94" s="8" t="str">
        <f t="shared" si="44"/>
        <v xml:space="preserve"> dcterms:source "https://www.mindat.org/min-49596.html" ; </v>
      </c>
      <c r="W94" s="8" t="str">
        <f t="shared" si="45"/>
        <v xml:space="preserve">skos:definition "An H chondrite (or less likely, an L chondrite) that is of petrologic type 3.1."@en ; </v>
      </c>
      <c r="X94" s="8" t="str">
        <f t="shared" si="46"/>
        <v xml:space="preserve"> skos:inScheme &lt;https://mindat.org/etmat/cscheme&gt; ;  </v>
      </c>
      <c r="Y94" s="8" t="str">
        <f t="shared" si="47"/>
        <v xml:space="preserve">skos:prefLabel "H(L)3.1 chondrite meteorite"@en ; rdfs:label "H(L)3.1 chondrite meteorite"@en ; </v>
      </c>
      <c r="Z94" s="8" t="str">
        <f t="shared" si="48"/>
        <v xml:space="preserve"> skos:notation  "H(L)3.1"@en ; </v>
      </c>
      <c r="AA94" s="8" t="str">
        <f t="shared" si="36"/>
        <v>dcterms:source "https://www.lpi.usra.edu/meteor/metbullclass.php?sea=H(L)3.1";</v>
      </c>
      <c r="AB94" s="8" t="str">
        <f t="shared" si="37"/>
        <v xml:space="preserve">skos:broader &lt;etma:1:1:49586:0&gt; ; </v>
      </c>
      <c r="AC94" s="8" t="str">
        <f t="shared" ca="1" si="38"/>
        <v>dcterms:modified "2023-06-20T08:57";  .</v>
      </c>
      <c r="AD94" s="10" t="str">
        <f t="shared" ca="1" si="49"/>
        <v>&lt;etma:1:1:49596:7&gt;  rdf:type skos:Concept ;     dcterms:source "https://www.mindat.org/min-49596.html" ;   skos:definition "An H chondrite (or less likely, an L chondrite) that is of petrologic type 3.1."@en ;    skos:inScheme &lt;https://mindat.org/etmat/cscheme&gt; ;    skos:prefLabel "H(L)3.1 chondrite meteorite"@en ; rdfs:label "H(L)3.1 chondrite meteorite"@en ;    skos:notation  "H(L)3.1"@en ;   dcterms:source "https://www.lpi.usra.edu/meteor/metbullclass.php?sea=H(L)3.1";  skos:broader &lt;etma:1:1:49586:0&gt; ;   dcterms:modified "2023-06-20T08:57";  .</v>
      </c>
      <c r="AE94" s="8" t="s">
        <v>2591</v>
      </c>
    </row>
    <row r="95" spans="1:31" x14ac:dyDescent="0.25">
      <c r="A95" s="8">
        <v>72</v>
      </c>
      <c r="B95" s="8" t="s">
        <v>372</v>
      </c>
      <c r="C95" s="8">
        <v>49597</v>
      </c>
      <c r="D95" s="8" t="s">
        <v>370</v>
      </c>
      <c r="E95" s="8" t="s">
        <v>371</v>
      </c>
      <c r="F95" s="9">
        <v>7</v>
      </c>
      <c r="G95" s="9" t="s">
        <v>14</v>
      </c>
      <c r="H95" s="1" t="s">
        <v>373</v>
      </c>
      <c r="I95" s="8" t="str">
        <f t="shared" si="41"/>
        <v>https://www.mindat.org/min-49597.html</v>
      </c>
      <c r="J95" s="8">
        <v>49585</v>
      </c>
      <c r="K95" s="8" t="s">
        <v>315</v>
      </c>
      <c r="N95" s="9">
        <v>0</v>
      </c>
      <c r="O95" s="9">
        <v>49598</v>
      </c>
      <c r="P95" s="8" t="s">
        <v>2507</v>
      </c>
      <c r="Q95" s="8" t="s">
        <v>2508</v>
      </c>
      <c r="R95" s="8" t="s">
        <v>374</v>
      </c>
      <c r="S95" s="11">
        <v>43039.5940162037</v>
      </c>
      <c r="U95" s="8" t="str">
        <f t="shared" si="43"/>
        <v xml:space="preserve">&lt;etma:1:1:49597:6&gt;  rdf:type skos:Concept ;  </v>
      </c>
      <c r="V95" s="8" t="str">
        <f t="shared" si="44"/>
        <v xml:space="preserve"> dcterms:source "https://www.mindat.org/min-49597.html" ; </v>
      </c>
      <c r="W95" s="8" t="str">
        <f t="shared" si="45"/>
        <v xml:space="preserve">skos:definition "An H chondrite that is petrologic type 3.0."@en ; </v>
      </c>
      <c r="X95" s="8" t="str">
        <f t="shared" ref="X83:X146" si="50">" skos:inScheme &lt;http://example.org/mindat/etmat/cscheme&gt; ;  "</f>
        <v xml:space="preserve"> skos:inScheme &lt;http://example.org/mindat/etmat/cscheme&gt; ;  </v>
      </c>
      <c r="Y95" s="8" t="str">
        <f t="shared" si="47"/>
        <v xml:space="preserve">skos:prefLabel "H3.0 chondrite meteorite"@en ; rdfs:label "H3.0 chondrite meteorite"@en ; </v>
      </c>
      <c r="Z95" s="8" t="str">
        <f t="shared" si="48"/>
        <v xml:space="preserve">skos:altLabel "H.3.05 chondrite meteorite"@en ; skos:exactMatch  &lt;etma:1:1:49598:5&gt; ;  skos:notation  "H3.0"@en ; </v>
      </c>
      <c r="AA95" s="8" t="str">
        <f t="shared" si="36"/>
        <v>dcterms:source "https://www.lpi.usra.edu/meteor/metbullclass.php?sea=H3.0";</v>
      </c>
      <c r="AB95" s="8" t="str">
        <f t="shared" si="37"/>
        <v xml:space="preserve">skos:broader &lt;etma:1:1:49585:1&gt; ; </v>
      </c>
      <c r="AC95" s="8" t="str">
        <f t="shared" si="38"/>
        <v>dcterms:modified "2017-10-31T14:15";  .</v>
      </c>
      <c r="AD95" s="10" t="str">
        <f t="shared" si="49"/>
        <v>&lt;etma:1:1:49597:6&gt;  rdf:type skos:Concept ;     dcterms:source "https://www.mindat.org/min-49597.html" ;   skos:definition "An H chondrite that is petrologic type 3.0."@en ;    skos:inScheme &lt;http://example.org/mindat/etmat/cscheme&gt; ;    skos:prefLabel "H3.0 chondrite meteorite"@en ; rdfs:label "H3.0 chondrite meteorite"@en ;   skos:altLabel "H.3.05 chondrite meteorite"@en ; skos:exactMatch  &lt;etma:1:1:49598:5&gt; ;  skos:notation  "H3.0"@en ;   dcterms:source "https://www.lpi.usra.edu/meteor/metbullclass.php?sea=H3.0";  skos:broader &lt;etma:1:1:49585:1&gt; ;   dcterms:modified "2017-10-31T14:15";  .</v>
      </c>
      <c r="AE95" s="8" t="s">
        <v>2591</v>
      </c>
    </row>
    <row r="96" spans="1:31" x14ac:dyDescent="0.25">
      <c r="A96" s="8">
        <v>73</v>
      </c>
      <c r="B96" s="8" t="s">
        <v>377</v>
      </c>
      <c r="C96" s="8">
        <v>49599</v>
      </c>
      <c r="D96" s="8" t="s">
        <v>375</v>
      </c>
      <c r="E96" s="8" t="s">
        <v>376</v>
      </c>
      <c r="F96" s="9">
        <v>7</v>
      </c>
      <c r="G96" s="9" t="s">
        <v>14</v>
      </c>
      <c r="H96" s="1" t="s">
        <v>378</v>
      </c>
      <c r="I96" s="8" t="str">
        <f t="shared" si="41"/>
        <v>https://www.mindat.org/min-49599.html</v>
      </c>
      <c r="J96" s="8">
        <v>49585</v>
      </c>
      <c r="K96" s="8" t="s">
        <v>315</v>
      </c>
      <c r="N96" s="9">
        <v>0</v>
      </c>
      <c r="O96" s="9" t="s">
        <v>2249</v>
      </c>
      <c r="R96" s="8" t="s">
        <v>379</v>
      </c>
      <c r="S96" s="11">
        <v>43039.603495370371</v>
      </c>
      <c r="U96" s="8" t="str">
        <f t="shared" si="43"/>
        <v xml:space="preserve">&lt;etma:1:1:49599:4&gt;  rdf:type skos:Concept ;  </v>
      </c>
      <c r="V96" s="8" t="str">
        <f t="shared" si="44"/>
        <v xml:space="preserve"> dcterms:source "https://www.mindat.org/min-49599.html" ; </v>
      </c>
      <c r="W96" s="8" t="str">
        <f t="shared" si="45"/>
        <v xml:space="preserve">skos:definition "An H chondrite that is a breccia of components ranging from petrologic type 3.0 to type 3.4"@en ; </v>
      </c>
      <c r="X96" s="8" t="str">
        <f>" skos:inScheme &lt;https://mindat.org/etmat/cscheme&gt; ;  "</f>
        <v xml:space="preserve"> skos:inScheme &lt;https://mindat.org/etmat/cscheme&gt; ;  </v>
      </c>
      <c r="Y96" s="8" t="str">
        <f t="shared" si="47"/>
        <v xml:space="preserve">skos:prefLabel "H3.0-3.4 chondrite meteorite"@en ; rdfs:label "H3.0-3.4 chondrite meteorite"@en ; </v>
      </c>
      <c r="Z96" s="8" t="str">
        <f t="shared" si="48"/>
        <v xml:space="preserve"> skos:notation  "H3.0-3.4"@en ; </v>
      </c>
      <c r="AA96" s="8" t="str">
        <f t="shared" si="36"/>
        <v>dcterms:source "https://www.lpi.usra.edu/meteor/metbullclass.php?sea=H3.0-3.4";</v>
      </c>
      <c r="AB96" s="8" t="str">
        <f t="shared" si="37"/>
        <v xml:space="preserve">skos:broader &lt;etma:1:1:49585:1&gt; ; </v>
      </c>
      <c r="AC96" s="8" t="str">
        <f t="shared" si="38"/>
        <v>dcterms:modified "2017-10-31T14:29";  .</v>
      </c>
      <c r="AD96" s="10" t="str">
        <f t="shared" si="49"/>
        <v>&lt;etma:1:1:49599:4&gt;  rdf:type skos:Concept ;     dcterms:source "https://www.mindat.org/min-49599.html" ;   skos:definition "An H chondrite that is a breccia of components ranging from petrologic type 3.0 to type 3.4"@en ;    skos:inScheme &lt;https://mindat.org/etmat/cscheme&gt; ;    skos:prefLabel "H3.0-3.4 chondrite meteorite"@en ; rdfs:label "H3.0-3.4 chondrite meteorite"@en ;    skos:notation  "H3.0-3.4"@en ;   dcterms:source "https://www.lpi.usra.edu/meteor/metbullclass.php?sea=H3.0-3.4";  skos:broader &lt;etma:1:1:49585:1&gt; ;   dcterms:modified "2017-10-31T14:29";  .</v>
      </c>
      <c r="AE96" s="8" t="s">
        <v>2591</v>
      </c>
    </row>
    <row r="97" spans="1:31" x14ac:dyDescent="0.25">
      <c r="A97" s="8">
        <v>74</v>
      </c>
      <c r="B97" s="8" t="s">
        <v>382</v>
      </c>
      <c r="C97" s="8">
        <v>49600</v>
      </c>
      <c r="D97" s="8" t="s">
        <v>380</v>
      </c>
      <c r="E97" s="8" t="s">
        <v>381</v>
      </c>
      <c r="F97" s="9">
        <v>7</v>
      </c>
      <c r="G97" s="9" t="s">
        <v>14</v>
      </c>
      <c r="H97" s="1" t="s">
        <v>383</v>
      </c>
      <c r="I97" s="8" t="str">
        <f t="shared" si="41"/>
        <v>https://www.mindat.org/min-49600.html</v>
      </c>
      <c r="J97" s="8">
        <v>49585</v>
      </c>
      <c r="K97" s="8" t="s">
        <v>315</v>
      </c>
      <c r="N97" s="9">
        <v>0</v>
      </c>
      <c r="O97" s="9" t="s">
        <v>2251</v>
      </c>
      <c r="P97" s="8" t="s">
        <v>2540</v>
      </c>
      <c r="Q97" s="8" t="s">
        <v>2459</v>
      </c>
      <c r="R97" s="8" t="s">
        <v>384</v>
      </c>
      <c r="S97" s="11">
        <v>43039.594293981485</v>
      </c>
      <c r="U97" s="8" t="str">
        <f t="shared" si="43"/>
        <v xml:space="preserve">&lt;etma:1:1:49600:9&gt;  rdf:type skos:Concept ;  </v>
      </c>
      <c r="V97" s="8" t="str">
        <f t="shared" si="44"/>
        <v xml:space="preserve"> dcterms:source "https://www.mindat.org/min-49600.html" ; </v>
      </c>
      <c r="W97" s="8" t="str">
        <f t="shared" si="45"/>
        <v xml:space="preserve">skos:definition "An H chondrite that is petrologic type 3.1."@en ; </v>
      </c>
      <c r="X97" s="8" t="str">
        <f t="shared" si="50"/>
        <v xml:space="preserve"> skos:inScheme &lt;http://example.org/mindat/etmat/cscheme&gt; ;  </v>
      </c>
      <c r="Y97" s="8" t="str">
        <f t="shared" si="47"/>
        <v xml:space="preserve">skos:prefLabel "H3.1 chondrite meteorite"@en ; rdfs:label "H3.1 chondrite meteorite"@en ; </v>
      </c>
      <c r="Z97" s="8" t="str">
        <f t="shared" si="48"/>
        <v xml:space="preserve">skos:altLabel "H.3.10 chondrite meteorite | H3.15 chondrite meteorite"@en ; skos:exactMatch  &lt;etma:1:1:49601:8 | 1:1:49602:7&gt; ;  skos:notation  "H3.1"@en ; </v>
      </c>
      <c r="AA97" s="8" t="str">
        <f t="shared" si="36"/>
        <v>dcterms:source "https://www.lpi.usra.edu/meteor/metbullclass.php?sea=H3.1";</v>
      </c>
      <c r="AB97" s="8" t="str">
        <f t="shared" si="37"/>
        <v xml:space="preserve">skos:broader &lt;etma:1:1:49585:1&gt; ; </v>
      </c>
      <c r="AC97" s="8" t="str">
        <f t="shared" si="38"/>
        <v>dcterms:modified "2017-10-31T14:15";  .</v>
      </c>
      <c r="AD97" s="10" t="str">
        <f t="shared" si="49"/>
        <v>&lt;etma:1:1:49600:9&gt;  rdf:type skos:Concept ;     dcterms:source "https://www.mindat.org/min-49600.html" ;   skos:definition "An H chondrite that is petrologic type 3.1."@en ;    skos:inScheme &lt;http://example.org/mindat/etmat/cscheme&gt; ;    skos:prefLabel "H3.1 chondrite meteorite"@en ; rdfs:label "H3.1 chondrite meteorite"@en ;   skos:altLabel "H.3.10 chondrite meteorite | H3.15 chondrite meteorite"@en ; skos:exactMatch  &lt;etma:1:1:49601:8 | 1:1:49602:7&gt; ;  skos:notation  "H3.1"@en ;   dcterms:source "https://www.lpi.usra.edu/meteor/metbullclass.php?sea=H3.1";  skos:broader &lt;etma:1:1:49585:1&gt; ;   dcterms:modified "2017-10-31T14:15";  .</v>
      </c>
      <c r="AE97" s="8" t="s">
        <v>2591</v>
      </c>
    </row>
    <row r="98" spans="1:31" x14ac:dyDescent="0.25">
      <c r="A98" s="8">
        <v>75</v>
      </c>
      <c r="B98" s="8" t="s">
        <v>387</v>
      </c>
      <c r="C98" s="8">
        <v>49603</v>
      </c>
      <c r="D98" s="8" t="s">
        <v>385</v>
      </c>
      <c r="E98" s="8" t="s">
        <v>386</v>
      </c>
      <c r="F98" s="9">
        <v>7</v>
      </c>
      <c r="G98" s="9" t="s">
        <v>14</v>
      </c>
      <c r="H98" s="1" t="s">
        <v>388</v>
      </c>
      <c r="I98" s="8" t="str">
        <f t="shared" si="41"/>
        <v>https://www.mindat.org/min-49603.html</v>
      </c>
      <c r="J98" s="8">
        <v>49585</v>
      </c>
      <c r="K98" s="8" t="s">
        <v>315</v>
      </c>
      <c r="N98" s="9">
        <v>0</v>
      </c>
      <c r="O98" s="9" t="s">
        <v>2249</v>
      </c>
      <c r="R98" s="8" t="s">
        <v>389</v>
      </c>
      <c r="S98" s="11">
        <v>43039.594502314816</v>
      </c>
      <c r="U98" s="8" t="str">
        <f t="shared" si="43"/>
        <v xml:space="preserve">&lt;etma:1:1:49603:6&gt;  rdf:type skos:Concept ;  </v>
      </c>
      <c r="V98" s="8" t="str">
        <f t="shared" si="44"/>
        <v xml:space="preserve"> dcterms:source "https://www.mindat.org/min-49603.html" ; </v>
      </c>
      <c r="W98" s="8" t="str">
        <f t="shared" si="45"/>
        <v xml:space="preserve">skos:definition "An H chondrite that is petrologic type 3.2."@en ; </v>
      </c>
      <c r="X98" s="8" t="str">
        <f t="shared" ref="X98:X161" si="51">" skos:inScheme &lt;https://mindat.org/etmat/cscheme&gt; ;  "</f>
        <v xml:space="preserve"> skos:inScheme &lt;https://mindat.org/etmat/cscheme&gt; ;  </v>
      </c>
      <c r="Y98" s="8" t="str">
        <f t="shared" si="47"/>
        <v xml:space="preserve">skos:prefLabel "H3.2 chondrite meteorite"@en ; rdfs:label "H3.2 chondrite meteorite"@en ; </v>
      </c>
      <c r="Z98" s="8" t="str">
        <f t="shared" si="48"/>
        <v xml:space="preserve"> skos:notation  "H3.2"@en ; </v>
      </c>
      <c r="AA98" s="8" t="str">
        <f t="shared" si="36"/>
        <v>dcterms:source "https://www.lpi.usra.edu/meteor/metbullclass.php?sea=H3.2";</v>
      </c>
      <c r="AB98" s="8" t="str">
        <f t="shared" si="37"/>
        <v xml:space="preserve">skos:broader &lt;etma:1:1:49585:1&gt; ; </v>
      </c>
      <c r="AC98" s="8" t="str">
        <f t="shared" si="38"/>
        <v>dcterms:modified "2017-10-31T14:16";  .</v>
      </c>
      <c r="AD98" s="10" t="str">
        <f t="shared" si="49"/>
        <v>&lt;etma:1:1:49603:6&gt;  rdf:type skos:Concept ;     dcterms:source "https://www.mindat.org/min-49603.html" ;   skos:definition "An H chondrite that is petrologic type 3.2."@en ;    skos:inScheme &lt;https://mindat.org/etmat/cscheme&gt; ;    skos:prefLabel "H3.2 chondrite meteorite"@en ; rdfs:label "H3.2 chondrite meteorite"@en ;    skos:notation  "H3.2"@en ;   dcterms:source "https://www.lpi.usra.edu/meteor/metbullclass.php?sea=H3.2";  skos:broader &lt;etma:1:1:49585:1&gt; ;   dcterms:modified "2017-10-31T14:16";  .</v>
      </c>
      <c r="AE98" s="8" t="s">
        <v>2591</v>
      </c>
    </row>
    <row r="99" spans="1:31" x14ac:dyDescent="0.25">
      <c r="A99" s="8">
        <v>76</v>
      </c>
      <c r="B99" s="8" t="s">
        <v>392</v>
      </c>
      <c r="C99" s="8">
        <v>49604</v>
      </c>
      <c r="D99" s="8" t="s">
        <v>390</v>
      </c>
      <c r="E99" s="8" t="s">
        <v>391</v>
      </c>
      <c r="F99" s="9">
        <v>7</v>
      </c>
      <c r="G99" s="9" t="s">
        <v>14</v>
      </c>
      <c r="H99" s="1" t="s">
        <v>393</v>
      </c>
      <c r="I99" s="8" t="str">
        <f t="shared" si="41"/>
        <v>https://www.mindat.org/min-49604.html</v>
      </c>
      <c r="J99" s="8">
        <v>49585</v>
      </c>
      <c r="K99" s="8" t="s">
        <v>315</v>
      </c>
      <c r="N99" s="9">
        <v>0</v>
      </c>
      <c r="O99" s="9" t="s">
        <v>2249</v>
      </c>
      <c r="R99" s="8" t="s">
        <v>394</v>
      </c>
      <c r="S99" s="11">
        <v>43039.604027777779</v>
      </c>
      <c r="U99" s="8" t="str">
        <f t="shared" si="43"/>
        <v xml:space="preserve">&lt;etma:1:1:49604:5&gt;  rdf:type skos:Concept ;  </v>
      </c>
      <c r="V99" s="8" t="str">
        <f t="shared" si="44"/>
        <v xml:space="preserve"> dcterms:source "https://www.mindat.org/min-49604.html" ; </v>
      </c>
      <c r="W99" s="8" t="str">
        <f t="shared" si="45"/>
        <v xml:space="preserve">skos:definition "An H chondrite that is a breccia of components ranging from petrologic type 3.2 to type 3.7."@en ; </v>
      </c>
      <c r="X99" s="8" t="str">
        <f t="shared" si="51"/>
        <v xml:space="preserve"> skos:inScheme &lt;https://mindat.org/etmat/cscheme&gt; ;  </v>
      </c>
      <c r="Y99" s="8" t="str">
        <f t="shared" si="47"/>
        <v xml:space="preserve">skos:prefLabel "H3.2-3.7 chondrite meteorite"@en ; rdfs:label "H3.2-3.7 chondrite meteorite"@en ; </v>
      </c>
      <c r="Z99" s="8" t="str">
        <f t="shared" si="48"/>
        <v xml:space="preserve"> skos:notation  "H3.2-3.7"@en ; </v>
      </c>
      <c r="AA99" s="8" t="str">
        <f t="shared" si="36"/>
        <v>dcterms:source "https://www.lpi.usra.edu/meteor/metbullclass.php?sea=H3.2-3.7";</v>
      </c>
      <c r="AB99" s="8" t="str">
        <f t="shared" si="37"/>
        <v xml:space="preserve">skos:broader &lt;etma:1:1:49585:1&gt; ; </v>
      </c>
      <c r="AC99" s="8" t="str">
        <f t="shared" si="38"/>
        <v>dcterms:modified "2017-10-31T14:29";  .</v>
      </c>
      <c r="AD99" s="10" t="str">
        <f t="shared" si="49"/>
        <v>&lt;etma:1:1:49604:5&gt;  rdf:type skos:Concept ;     dcterms:source "https://www.mindat.org/min-49604.html" ;   skos:definition "An H chondrite that is a breccia of components ranging from petrologic type 3.2 to type 3.7."@en ;    skos:inScheme &lt;https://mindat.org/etmat/cscheme&gt; ;    skos:prefLabel "H3.2-3.7 chondrite meteorite"@en ; rdfs:label "H3.2-3.7 chondrite meteorite"@en ;    skos:notation  "H3.2-3.7"@en ;   dcterms:source "https://www.lpi.usra.edu/meteor/metbullclass.php?sea=H3.2-3.7";  skos:broader &lt;etma:1:1:49585:1&gt; ;   dcterms:modified "2017-10-31T14:29";  .</v>
      </c>
      <c r="AE99" s="8" t="s">
        <v>2591</v>
      </c>
    </row>
    <row r="100" spans="1:31" x14ac:dyDescent="0.25">
      <c r="A100" s="8">
        <v>77</v>
      </c>
      <c r="B100" s="8" t="s">
        <v>397</v>
      </c>
      <c r="C100" s="8">
        <v>49606</v>
      </c>
      <c r="D100" s="8" t="s">
        <v>395</v>
      </c>
      <c r="E100" s="8" t="s">
        <v>396</v>
      </c>
      <c r="F100" s="9">
        <v>7</v>
      </c>
      <c r="G100" s="9" t="s">
        <v>14</v>
      </c>
      <c r="H100" s="1" t="s">
        <v>398</v>
      </c>
      <c r="I100" s="8" t="str">
        <f t="shared" si="41"/>
        <v>https://www.mindat.org/min-49606.html</v>
      </c>
      <c r="J100" s="8">
        <v>49584</v>
      </c>
      <c r="K100" s="8" t="s">
        <v>310</v>
      </c>
      <c r="L100" s="9">
        <v>49843</v>
      </c>
      <c r="M100" s="8" t="s">
        <v>2404</v>
      </c>
      <c r="N100" s="9">
        <v>1</v>
      </c>
      <c r="O100" s="9" t="s">
        <v>2249</v>
      </c>
      <c r="R100" s="8" t="s">
        <v>399</v>
      </c>
      <c r="S100" s="11">
        <f t="shared" ref="S100:S138" ca="1" si="52">NOW()</f>
        <v>45097.373057291668</v>
      </c>
      <c r="U100" s="8" t="str">
        <f t="shared" si="43"/>
        <v xml:space="preserve">&lt;etma:1:1:49606:3&gt;  rdf:type skos:Concept ;  </v>
      </c>
      <c r="V100" s="8" t="str">
        <f t="shared" si="44"/>
        <v xml:space="preserve"> dcterms:source "https://www.mindat.org/min-49606.html" ; </v>
      </c>
      <c r="W100" s="8" t="str">
        <f t="shared" si="45"/>
        <v xml:space="preserve">skos:definition "An H chondrite that is of petrologic type 4."@en ; </v>
      </c>
      <c r="X100" s="8" t="str">
        <f t="shared" si="51"/>
        <v xml:space="preserve"> skos:inScheme &lt;https://mindat.org/etmat/cscheme&gt; ;  </v>
      </c>
      <c r="Y100" s="8" t="str">
        <f t="shared" si="47"/>
        <v xml:space="preserve">skos:prefLabel "H4 chondrite meteorite"@en ; rdfs:label "H4 chondrite meteorite"@en ; </v>
      </c>
      <c r="Z100" s="8" t="str">
        <f t="shared" si="48"/>
        <v xml:space="preserve"> skos:notation  "H4"@en ; </v>
      </c>
      <c r="AA100" s="8" t="str">
        <f t="shared" si="36"/>
        <v>dcterms:source "https://www.lpi.usra.edu/meteor/metbullclass.php?sea=H4";</v>
      </c>
      <c r="AB100" s="8" t="str">
        <f t="shared" si="37"/>
        <v xml:space="preserve">skos:broader &lt;etma:1:1:49584:2&gt;, &lt;etma:1:1:49843:2&gt; ; </v>
      </c>
      <c r="AC100" s="8" t="str">
        <f t="shared" ca="1" si="38"/>
        <v>dcterms:modified "2023-06-20T08:57";  .</v>
      </c>
      <c r="AD100" s="10" t="str">
        <f t="shared" ca="1" si="49"/>
        <v>&lt;etma:1:1:49606:3&gt;  rdf:type skos:Concept ;     dcterms:source "https://www.mindat.org/min-49606.html" ;   skos:definition "An H chondrite that is of petrologic type 4."@en ;    skos:inScheme &lt;https://mindat.org/etmat/cscheme&gt; ;    skos:prefLabel "H4 chondrite meteorite"@en ; rdfs:label "H4 chondrite meteorite"@en ;    skos:notation  "H4"@en ;   dcterms:source "https://www.lpi.usra.edu/meteor/metbullclass.php?sea=H4";  skos:broader &lt;etma:1:1:49584:2&gt;, &lt;etma:1:1:49843:2&gt; ;   dcterms:modified "2023-06-20T08:57";  .</v>
      </c>
      <c r="AE100" s="8" t="s">
        <v>2591</v>
      </c>
    </row>
    <row r="101" spans="1:31" x14ac:dyDescent="0.25">
      <c r="A101" s="8">
        <v>78</v>
      </c>
      <c r="B101" s="8" t="s">
        <v>402</v>
      </c>
      <c r="C101" s="8">
        <v>49607</v>
      </c>
      <c r="D101" s="8" t="s">
        <v>400</v>
      </c>
      <c r="E101" s="8" t="s">
        <v>401</v>
      </c>
      <c r="F101" s="9">
        <v>7</v>
      </c>
      <c r="G101" s="9" t="s">
        <v>14</v>
      </c>
      <c r="H101" s="1" t="s">
        <v>403</v>
      </c>
      <c r="I101" s="8" t="str">
        <f t="shared" si="41"/>
        <v>https://www.mindat.org/min-49607.html</v>
      </c>
      <c r="J101" s="8">
        <v>49606</v>
      </c>
      <c r="K101" s="8" t="s">
        <v>395</v>
      </c>
      <c r="N101" s="9">
        <v>0</v>
      </c>
      <c r="O101" s="9" t="s">
        <v>2249</v>
      </c>
      <c r="R101" s="8" t="s">
        <v>404</v>
      </c>
      <c r="S101" s="11">
        <f t="shared" ca="1" si="52"/>
        <v>45097.373057407407</v>
      </c>
      <c r="U101" s="8" t="str">
        <f t="shared" si="43"/>
        <v xml:space="preserve">&lt;etma:1:1:49607:2&gt;  rdf:type skos:Concept ;  </v>
      </c>
      <c r="V101" s="8" t="str">
        <f t="shared" si="44"/>
        <v xml:space="preserve"> dcterms:source "https://www.mindat.org/min-49607.html" ; </v>
      </c>
      <c r="W101" s="8" t="str">
        <f t="shared" si="45"/>
        <v xml:space="preserve">skos:definition "An H4 chondrite that is a breccia with melted material forming the matrix."@en ; </v>
      </c>
      <c r="X101" s="8" t="str">
        <f t="shared" si="51"/>
        <v xml:space="preserve"> skos:inScheme &lt;https://mindat.org/etmat/cscheme&gt; ;  </v>
      </c>
      <c r="Y101" s="8" t="str">
        <f t="shared" si="47"/>
        <v xml:space="preserve">skos:prefLabel "H4-melt breccia chondrite meteorite"@en ; rdfs:label "H4-melt breccia chondrite meteorite"@en ; </v>
      </c>
      <c r="Z101" s="8" t="str">
        <f t="shared" si="48"/>
        <v xml:space="preserve"> skos:notation  "H4-melt breccia"@en ; </v>
      </c>
      <c r="AA101" s="8" t="str">
        <f t="shared" si="36"/>
        <v>dcterms:source "https://www.lpi.usra.edu/meteor/metbullclass.php?sea=H4-melt%20breccia";</v>
      </c>
      <c r="AB101" s="8" t="str">
        <f t="shared" si="37"/>
        <v xml:space="preserve">skos:broader &lt;etma:1:1:49606:3&gt; ; </v>
      </c>
      <c r="AC101" s="8" t="str">
        <f t="shared" ca="1" si="38"/>
        <v>dcterms:modified "2023-06-20T08:57";  .</v>
      </c>
      <c r="AD101" s="10" t="str">
        <f t="shared" ca="1" si="49"/>
        <v>&lt;etma:1:1:49607:2&gt;  rdf:type skos:Concept ;     dcterms:source "https://www.mindat.org/min-49607.html" ;   skos:definition "An H4 chondrite that is a breccia with melted material forming the matrix."@en ;    skos:inScheme &lt;https://mindat.org/etmat/cscheme&gt; ;    skos:prefLabel "H4-melt breccia chondrite meteorite"@en ; rdfs:label "H4-melt breccia chondrite meteorite"@en ;    skos:notation  "H4-melt breccia"@en ;   dcterms:source "https://www.lpi.usra.edu/meteor/metbullclass.php?sea=H4-melt%20breccia";  skos:broader &lt;etma:1:1:49606:3&gt; ;   dcterms:modified "2023-06-20T08:57";  .</v>
      </c>
      <c r="AE101" s="8" t="s">
        <v>2591</v>
      </c>
    </row>
    <row r="102" spans="1:31" x14ac:dyDescent="0.25">
      <c r="A102" s="8">
        <v>79</v>
      </c>
      <c r="B102" s="8" t="s">
        <v>407</v>
      </c>
      <c r="C102" s="8">
        <v>49608</v>
      </c>
      <c r="D102" s="8" t="s">
        <v>405</v>
      </c>
      <c r="E102" s="8" t="s">
        <v>406</v>
      </c>
      <c r="F102" s="9">
        <v>7</v>
      </c>
      <c r="G102" s="9" t="s">
        <v>14</v>
      </c>
      <c r="H102" s="1" t="s">
        <v>408</v>
      </c>
      <c r="I102" s="8" t="str">
        <f t="shared" si="41"/>
        <v>https://www.mindat.org/min-49608.html</v>
      </c>
      <c r="J102" s="8">
        <v>49606</v>
      </c>
      <c r="K102" s="8" t="s">
        <v>395</v>
      </c>
      <c r="N102" s="9">
        <v>0</v>
      </c>
      <c r="O102" s="9" t="s">
        <v>2249</v>
      </c>
      <c r="R102" s="8" t="s">
        <v>409</v>
      </c>
      <c r="S102" s="11">
        <f t="shared" ca="1" si="52"/>
        <v>45097.373057291668</v>
      </c>
      <c r="U102" s="8" t="str">
        <f t="shared" si="43"/>
        <v xml:space="preserve">&lt;etma:1:1:49608:1&gt;  rdf:type skos:Concept ;  </v>
      </c>
      <c r="V102" s="8" t="str">
        <f t="shared" si="44"/>
        <v xml:space="preserve"> dcterms:source "https://www.mindat.org/min-49608.html" ; </v>
      </c>
      <c r="W102" s="8" t="str">
        <f t="shared" si="45"/>
        <v xml:space="preserve">skos:definition "An H chondrite that is petrologic type 4 and has anomalous properties."@en ; </v>
      </c>
      <c r="X102" s="8" t="str">
        <f t="shared" si="51"/>
        <v xml:space="preserve"> skos:inScheme &lt;https://mindat.org/etmat/cscheme&gt; ;  </v>
      </c>
      <c r="Y102" s="8" t="str">
        <f t="shared" si="47"/>
        <v xml:space="preserve">skos:prefLabel "H4-an chondrite meteorite"@en ; rdfs:label "H4-an chondrite meteorite"@en ; </v>
      </c>
      <c r="Z102" s="8" t="str">
        <f t="shared" si="48"/>
        <v xml:space="preserve"> skos:notation  "H4-an"@en ; </v>
      </c>
      <c r="AA102" s="8" t="str">
        <f t="shared" si="36"/>
        <v>dcterms:source "https://www.lpi.usra.edu/meteor/metbullclass.php?sea=H4-an";</v>
      </c>
      <c r="AB102" s="8" t="str">
        <f t="shared" si="37"/>
        <v xml:space="preserve">skos:broader &lt;etma:1:1:49606:3&gt; ; </v>
      </c>
      <c r="AC102" s="8" t="str">
        <f t="shared" ca="1" si="38"/>
        <v>dcterms:modified "2023-06-20T08:57";  .</v>
      </c>
      <c r="AD102" s="10" t="str">
        <f t="shared" ca="1" si="49"/>
        <v>&lt;etma:1:1:49608:1&gt;  rdf:type skos:Concept ;     dcterms:source "https://www.mindat.org/min-49608.html" ;   skos:definition "An H chondrite that is petrologic type 4 and has anomalous properties."@en ;    skos:inScheme &lt;https://mindat.org/etmat/cscheme&gt; ;    skos:prefLabel "H4-an chondrite meteorite"@en ; rdfs:label "H4-an chondrite meteorite"@en ;    skos:notation  "H4-an"@en ;   dcterms:source "https://www.lpi.usra.edu/meteor/metbullclass.php?sea=H4-an";  skos:broader &lt;etma:1:1:49606:3&gt; ;   dcterms:modified "2023-06-20T08:57";  .</v>
      </c>
      <c r="AE102" s="8" t="s">
        <v>2591</v>
      </c>
    </row>
    <row r="103" spans="1:31" x14ac:dyDescent="0.25">
      <c r="A103" s="8">
        <v>80</v>
      </c>
      <c r="B103" s="8" t="s">
        <v>412</v>
      </c>
      <c r="C103" s="8">
        <v>49609</v>
      </c>
      <c r="D103" s="8" t="s">
        <v>410</v>
      </c>
      <c r="E103" s="8" t="s">
        <v>411</v>
      </c>
      <c r="F103" s="9">
        <v>7</v>
      </c>
      <c r="G103" s="9" t="s">
        <v>14</v>
      </c>
      <c r="H103" s="1" t="s">
        <v>413</v>
      </c>
      <c r="I103" s="8" t="str">
        <f t="shared" si="41"/>
        <v>https://www.mindat.org/min-49609.html</v>
      </c>
      <c r="J103" s="8">
        <v>49606</v>
      </c>
      <c r="K103" s="8" t="s">
        <v>395</v>
      </c>
      <c r="L103" s="9">
        <v>49695</v>
      </c>
      <c r="M103" s="8" t="s">
        <v>810</v>
      </c>
      <c r="N103" s="9">
        <v>0</v>
      </c>
      <c r="O103" s="9" t="s">
        <v>2249</v>
      </c>
      <c r="R103" s="8" t="s">
        <v>414</v>
      </c>
      <c r="S103" s="11">
        <f t="shared" ca="1" si="52"/>
        <v>45097.373057407407</v>
      </c>
      <c r="U103" s="8" t="str">
        <f t="shared" si="43"/>
        <v xml:space="preserve">&lt;etma:1:1:49609:0&gt;  rdf:type skos:Concept ;  </v>
      </c>
      <c r="V103" s="8" t="str">
        <f t="shared" si="44"/>
        <v xml:space="preserve"> dcterms:source "https://www.mindat.org/min-49609.html" ; </v>
      </c>
      <c r="W103" s="8" t="str">
        <f t="shared" si="45"/>
        <v xml:space="preserve">skos:definition "An H chondrite or L chondrite that is of petrological type 4."@en ; </v>
      </c>
      <c r="X103" s="8" t="str">
        <f t="shared" si="51"/>
        <v xml:space="preserve"> skos:inScheme &lt;https://mindat.org/etmat/cscheme&gt; ;  </v>
      </c>
      <c r="Y103" s="8" t="str">
        <f t="shared" si="47"/>
        <v xml:space="preserve">skos:prefLabel "H/L4 chondrite meteorite"@en ; rdfs:label "H/L4 chondrite meteorite"@en ; </v>
      </c>
      <c r="Z103" s="8" t="str">
        <f t="shared" si="48"/>
        <v xml:space="preserve"> skos:notation  "H/L4"@en ; </v>
      </c>
      <c r="AA103" s="8" t="str">
        <f t="shared" si="36"/>
        <v>dcterms:source "https://www.lpi.usra.edu/meteor/metbullclass.php?sea=H/L4";</v>
      </c>
      <c r="AB103" s="8" t="str">
        <f t="shared" si="37"/>
        <v xml:space="preserve">skos:broader &lt;etma:1:1:49606:3&gt;, &lt;etma:1:1:49695:7&gt; ; </v>
      </c>
      <c r="AC103" s="8" t="str">
        <f t="shared" ca="1" si="38"/>
        <v>dcterms:modified "2023-06-20T08:57";  .</v>
      </c>
      <c r="AD103" s="10" t="str">
        <f t="shared" ca="1" si="49"/>
        <v>&lt;etma:1:1:49609:0&gt;  rdf:type skos:Concept ;     dcterms:source "https://www.mindat.org/min-49609.html" ;   skos:definition "An H chondrite or L chondrite that is of petrological type 4."@en ;    skos:inScheme &lt;https://mindat.org/etmat/cscheme&gt; ;    skos:prefLabel "H/L4 chondrite meteorite"@en ; rdfs:label "H/L4 chondrite meteorite"@en ;    skos:notation  "H/L4"@en ;   dcterms:source "https://www.lpi.usra.edu/meteor/metbullclass.php?sea=H/L4";  skos:broader &lt;etma:1:1:49606:3&gt;, &lt;etma:1:1:49695:7&gt; ;   dcterms:modified "2023-06-20T08:57";  .</v>
      </c>
      <c r="AE103" s="8" t="s">
        <v>2591</v>
      </c>
    </row>
    <row r="104" spans="1:31" x14ac:dyDescent="0.25">
      <c r="A104" s="8">
        <v>81</v>
      </c>
      <c r="B104" s="8" t="s">
        <v>417</v>
      </c>
      <c r="C104" s="8">
        <v>49610</v>
      </c>
      <c r="D104" s="8" t="s">
        <v>415</v>
      </c>
      <c r="E104" s="8" t="s">
        <v>416</v>
      </c>
      <c r="F104" s="9">
        <v>7</v>
      </c>
      <c r="G104" s="9" t="s">
        <v>14</v>
      </c>
      <c r="H104" s="1" t="s">
        <v>418</v>
      </c>
      <c r="I104" s="8" t="str">
        <f t="shared" si="41"/>
        <v>https://www.mindat.org/min-49610.html</v>
      </c>
      <c r="J104" s="8">
        <v>49609</v>
      </c>
      <c r="K104" s="8" t="s">
        <v>410</v>
      </c>
      <c r="L104" s="9">
        <v>49617</v>
      </c>
      <c r="M104" s="8" t="s">
        <v>440</v>
      </c>
      <c r="N104" s="9">
        <v>0</v>
      </c>
      <c r="O104" s="9" t="s">
        <v>2249</v>
      </c>
      <c r="R104" s="8" t="s">
        <v>419</v>
      </c>
      <c r="S104" s="11">
        <f t="shared" ca="1" si="52"/>
        <v>45097.373057291668</v>
      </c>
      <c r="U104" s="8" t="str">
        <f t="shared" si="43"/>
        <v xml:space="preserve">&lt;etma:1:1:49610:6&gt;  rdf:type skos:Concept ;  </v>
      </c>
      <c r="V104" s="8" t="str">
        <f t="shared" si="44"/>
        <v xml:space="preserve"> dcterms:source "https://www.mindat.org/min-49610.html" ; </v>
      </c>
      <c r="W104" s="8" t="str">
        <f t="shared" si="45"/>
        <v xml:space="preserve">skos:definition "An H chondrite or L chondrite that is transitional between petrological types 4 and 5."@en ; </v>
      </c>
      <c r="X104" s="8" t="str">
        <f t="shared" si="51"/>
        <v xml:space="preserve"> skos:inScheme &lt;https://mindat.org/etmat/cscheme&gt; ;  </v>
      </c>
      <c r="Y104" s="8" t="str">
        <f t="shared" si="47"/>
        <v xml:space="preserve">skos:prefLabel "H/L4/5 chondrite meteorite"@en ; rdfs:label "H/L4/5 chondrite meteorite"@en ; </v>
      </c>
      <c r="Z104" s="8" t="str">
        <f t="shared" si="48"/>
        <v xml:space="preserve"> skos:notation  "H/L4/5"@en ; </v>
      </c>
      <c r="AA104" s="8" t="str">
        <f t="shared" si="36"/>
        <v>dcterms:source "https://www.lpi.usra.edu/meteor/metbullclass.php?sea=H/L4/5";</v>
      </c>
      <c r="AB104" s="8" t="str">
        <f t="shared" si="37"/>
        <v xml:space="preserve">skos:broader &lt;etma:1:1:49609:0&gt;, &lt;etma:1:1:49617:9&gt; ; </v>
      </c>
      <c r="AC104" s="8" t="str">
        <f t="shared" ca="1" si="38"/>
        <v>dcterms:modified "2023-06-20T08:57";  .</v>
      </c>
      <c r="AD104" s="10" t="str">
        <f t="shared" ca="1" si="49"/>
        <v>&lt;etma:1:1:49610:6&gt;  rdf:type skos:Concept ;     dcterms:source "https://www.mindat.org/min-49610.html" ;   skos:definition "An H chondrite or L chondrite that is transitional between petrological types 4 and 5."@en ;    skos:inScheme &lt;https://mindat.org/etmat/cscheme&gt; ;    skos:prefLabel "H/L4/5 chondrite meteorite"@en ; rdfs:label "H/L4/5 chondrite meteorite"@en ;    skos:notation  "H/L4/5"@en ;   dcterms:source "https://www.lpi.usra.edu/meteor/metbullclass.php?sea=H/L4/5";  skos:broader &lt;etma:1:1:49609:0&gt;, &lt;etma:1:1:49617:9&gt; ;   dcterms:modified "2023-06-20T08:57";  .</v>
      </c>
      <c r="AE104" s="8" t="s">
        <v>2591</v>
      </c>
    </row>
    <row r="105" spans="1:31" x14ac:dyDescent="0.25">
      <c r="A105" s="8">
        <v>82</v>
      </c>
      <c r="B105" s="8" t="s">
        <v>422</v>
      </c>
      <c r="C105" s="8">
        <v>49612</v>
      </c>
      <c r="D105" s="8" t="s">
        <v>420</v>
      </c>
      <c r="E105" s="8" t="s">
        <v>421</v>
      </c>
      <c r="F105" s="9">
        <v>7</v>
      </c>
      <c r="G105" s="9" t="s">
        <v>14</v>
      </c>
      <c r="H105" s="1" t="s">
        <v>423</v>
      </c>
      <c r="I105" s="8" t="str">
        <f t="shared" si="41"/>
        <v>https://www.mindat.org/min-49612.html</v>
      </c>
      <c r="J105" s="8">
        <v>49606</v>
      </c>
      <c r="K105" s="8" t="s">
        <v>395</v>
      </c>
      <c r="N105" s="9">
        <v>0</v>
      </c>
      <c r="O105" s="9" t="s">
        <v>2249</v>
      </c>
      <c r="R105" s="8" t="s">
        <v>424</v>
      </c>
      <c r="S105" s="11">
        <f t="shared" ca="1" si="52"/>
        <v>45097.373057291668</v>
      </c>
      <c r="U105" s="8" t="str">
        <f t="shared" si="43"/>
        <v xml:space="preserve">&lt;etma:1:1:49612:4&gt;  rdf:type skos:Concept ;  </v>
      </c>
      <c r="V105" s="8" t="str">
        <f t="shared" si="44"/>
        <v xml:space="preserve"> dcterms:source "https://www.mindat.org/min-49612.html" ; </v>
      </c>
      <c r="W105" s="8" t="str">
        <f t="shared" si="45"/>
        <v xml:space="preserve">skos:definition "An H chondrite that is transitional between petrological types 4 and 5."@en ; </v>
      </c>
      <c r="X105" s="8" t="str">
        <f t="shared" si="51"/>
        <v xml:space="preserve"> skos:inScheme &lt;https://mindat.org/etmat/cscheme&gt; ;  </v>
      </c>
      <c r="Y105" s="8" t="str">
        <f t="shared" si="47"/>
        <v xml:space="preserve">skos:prefLabel "H4/5 chondrite meteorite"@en ; rdfs:label "H4/5 chondrite meteorite"@en ; </v>
      </c>
      <c r="Z105" s="8" t="str">
        <f t="shared" si="48"/>
        <v xml:space="preserve"> skos:notation  "H4/5"@en ; </v>
      </c>
      <c r="AA105" s="8" t="str">
        <f t="shared" si="36"/>
        <v>dcterms:source "https://www.lpi.usra.edu/meteor/metbullclass.php?sea=H4/5";</v>
      </c>
      <c r="AB105" s="8" t="str">
        <f t="shared" si="37"/>
        <v xml:space="preserve">skos:broader &lt;etma:1:1:49606:3&gt; ; </v>
      </c>
      <c r="AC105" s="8" t="str">
        <f t="shared" ca="1" si="38"/>
        <v>dcterms:modified "2023-06-20T08:57";  .</v>
      </c>
      <c r="AD105" s="10" t="str">
        <f t="shared" ca="1" si="49"/>
        <v>&lt;etma:1:1:49612:4&gt;  rdf:type skos:Concept ;     dcterms:source "https://www.mindat.org/min-49612.html" ;   skos:definition "An H chondrite that is transitional between petrological types 4 and 5."@en ;    skos:inScheme &lt;https://mindat.org/etmat/cscheme&gt; ;    skos:prefLabel "H4/5 chondrite meteorite"@en ; rdfs:label "H4/5 chondrite meteorite"@en ;    skos:notation  "H4/5"@en ;   dcterms:source "https://www.lpi.usra.edu/meteor/metbullclass.php?sea=H4/5";  skos:broader &lt;etma:1:1:49606:3&gt; ;   dcterms:modified "2023-06-20T08:57";  .</v>
      </c>
      <c r="AE105" s="8" t="s">
        <v>2591</v>
      </c>
    </row>
    <row r="106" spans="1:31" x14ac:dyDescent="0.25">
      <c r="A106" s="8">
        <v>83</v>
      </c>
      <c r="B106" s="8" t="s">
        <v>427</v>
      </c>
      <c r="C106" s="8">
        <v>49614</v>
      </c>
      <c r="D106" s="8" t="s">
        <v>425</v>
      </c>
      <c r="E106" s="8" t="s">
        <v>426</v>
      </c>
      <c r="F106" s="9">
        <v>7</v>
      </c>
      <c r="G106" s="9" t="s">
        <v>14</v>
      </c>
      <c r="H106" s="1" t="s">
        <v>428</v>
      </c>
      <c r="I106" s="8" t="str">
        <f t="shared" si="41"/>
        <v>https://www.mindat.org/min-49614.html</v>
      </c>
      <c r="J106" s="8">
        <v>49584</v>
      </c>
      <c r="K106" s="8" t="s">
        <v>310</v>
      </c>
      <c r="L106" s="9">
        <v>49844</v>
      </c>
      <c r="M106" s="8" t="s">
        <v>2278</v>
      </c>
      <c r="N106" s="9">
        <v>1</v>
      </c>
      <c r="O106" s="9" t="s">
        <v>2249</v>
      </c>
      <c r="R106" s="8" t="s">
        <v>429</v>
      </c>
      <c r="S106" s="11">
        <f t="shared" ca="1" si="52"/>
        <v>45097.373057291668</v>
      </c>
      <c r="U106" s="8" t="str">
        <f t="shared" si="43"/>
        <v xml:space="preserve">&lt;etma:1:1:49614:2&gt;  rdf:type skos:Concept ;  </v>
      </c>
      <c r="V106" s="8" t="str">
        <f t="shared" si="44"/>
        <v xml:space="preserve"> dcterms:source "https://www.mindat.org/min-49614.html" ; </v>
      </c>
      <c r="W106" s="8" t="str">
        <f t="shared" si="45"/>
        <v xml:space="preserve">skos:definition "An H chondrite that is of petrologic type 5."@en ; </v>
      </c>
      <c r="X106" s="8" t="str">
        <f t="shared" si="51"/>
        <v xml:space="preserve"> skos:inScheme &lt;https://mindat.org/etmat/cscheme&gt; ;  </v>
      </c>
      <c r="Y106" s="8" t="str">
        <f t="shared" si="47"/>
        <v xml:space="preserve">skos:prefLabel "H5 chondrite meteorite"@en ; rdfs:label "H5 chondrite meteorite"@en ; </v>
      </c>
      <c r="Z106" s="8" t="str">
        <f t="shared" si="48"/>
        <v xml:space="preserve"> skos:notation  "H5"@en ; </v>
      </c>
      <c r="AA106" s="8" t="str">
        <f t="shared" si="36"/>
        <v>dcterms:source "https://www.lpi.usra.edu/meteor/metbullclass.php?sea=H5";</v>
      </c>
      <c r="AB106" s="8" t="str">
        <f t="shared" si="37"/>
        <v xml:space="preserve">skos:broader &lt;etma:1:1:49584:2&gt;, &lt;etma:1:1:49844:1&gt; ; </v>
      </c>
      <c r="AC106" s="8" t="str">
        <f t="shared" ca="1" si="38"/>
        <v>dcterms:modified "2023-06-20T08:57";  .</v>
      </c>
      <c r="AD106" s="10" t="str">
        <f t="shared" ca="1" si="49"/>
        <v>&lt;etma:1:1:49614:2&gt;  rdf:type skos:Concept ;     dcterms:source "https://www.mindat.org/min-49614.html" ;   skos:definition "An H chondrite that is of petrologic type 5."@en ;    skos:inScheme &lt;https://mindat.org/etmat/cscheme&gt; ;    skos:prefLabel "H5 chondrite meteorite"@en ; rdfs:label "H5 chondrite meteorite"@en ;    skos:notation  "H5"@en ;   dcterms:source "https://www.lpi.usra.edu/meteor/metbullclass.php?sea=H5";  skos:broader &lt;etma:1:1:49584:2&gt;, &lt;etma:1:1:49844:1&gt; ;   dcterms:modified "2023-06-20T08:57";  .</v>
      </c>
      <c r="AE106" s="8" t="s">
        <v>2591</v>
      </c>
    </row>
    <row r="107" spans="1:31" x14ac:dyDescent="0.25">
      <c r="A107" s="8">
        <v>84</v>
      </c>
      <c r="B107" s="8" t="s">
        <v>432</v>
      </c>
      <c r="C107" s="8">
        <v>49615</v>
      </c>
      <c r="D107" s="8" t="s">
        <v>430</v>
      </c>
      <c r="E107" s="8" t="s">
        <v>431</v>
      </c>
      <c r="F107" s="9">
        <v>7</v>
      </c>
      <c r="G107" s="9" t="s">
        <v>14</v>
      </c>
      <c r="H107" s="1" t="s">
        <v>433</v>
      </c>
      <c r="I107" s="8" t="str">
        <f t="shared" si="41"/>
        <v>https://www.mindat.org/min-49615.html</v>
      </c>
      <c r="J107" s="8">
        <v>49614</v>
      </c>
      <c r="K107" s="8" t="s">
        <v>425</v>
      </c>
      <c r="N107" s="9">
        <v>0</v>
      </c>
      <c r="O107" s="9" t="s">
        <v>2249</v>
      </c>
      <c r="R107" s="8" t="s">
        <v>434</v>
      </c>
      <c r="S107" s="11">
        <f t="shared" ca="1" si="52"/>
        <v>45097.373057291668</v>
      </c>
      <c r="U107" s="8" t="str">
        <f t="shared" si="43"/>
        <v xml:space="preserve">&lt;etma:1:1:49615:1&gt;  rdf:type skos:Concept ;  </v>
      </c>
      <c r="V107" s="8" t="str">
        <f t="shared" si="44"/>
        <v xml:space="preserve"> dcterms:source "https://www.mindat.org/min-49615.html" ; </v>
      </c>
      <c r="W107" s="8" t="str">
        <f t="shared" si="45"/>
        <v xml:space="preserve">skos:definition "An H chondrite that is petrologic type 5 and has anomalous properties."@en ; </v>
      </c>
      <c r="X107" s="8" t="str">
        <f t="shared" si="51"/>
        <v xml:space="preserve"> skos:inScheme &lt;https://mindat.org/etmat/cscheme&gt; ;  </v>
      </c>
      <c r="Y107" s="8" t="str">
        <f t="shared" si="47"/>
        <v xml:space="preserve">skos:prefLabel "H5-an chondrite meteorite"@en ; rdfs:label "H5-an chondrite meteorite"@en ; </v>
      </c>
      <c r="Z107" s="8" t="str">
        <f t="shared" si="48"/>
        <v xml:space="preserve"> skos:notation  "H5-an"@en ; </v>
      </c>
      <c r="AA107" s="8" t="str">
        <f t="shared" si="36"/>
        <v>dcterms:source "https://www.lpi.usra.edu/meteor/metbullclass.php?sea=H5-an";</v>
      </c>
      <c r="AB107" s="8" t="str">
        <f t="shared" si="37"/>
        <v xml:space="preserve">skos:broader &lt;etma:1:1:49614:2&gt; ; </v>
      </c>
      <c r="AC107" s="8" t="str">
        <f t="shared" ca="1" si="38"/>
        <v>dcterms:modified "2023-06-20T08:57";  .</v>
      </c>
      <c r="AD107" s="10" t="str">
        <f t="shared" ca="1" si="49"/>
        <v>&lt;etma:1:1:49615:1&gt;  rdf:type skos:Concept ;     dcterms:source "https://www.mindat.org/min-49615.html" ;   skos:definition "An H chondrite that is petrologic type 5 and has anomalous properties."@en ;    skos:inScheme &lt;https://mindat.org/etmat/cscheme&gt; ;    skos:prefLabel "H5-an chondrite meteorite"@en ; rdfs:label "H5-an chondrite meteorite"@en ;    skos:notation  "H5-an"@en ;   dcterms:source "https://www.lpi.usra.edu/meteor/metbullclass.php?sea=H5-an";  skos:broader &lt;etma:1:1:49614:2&gt; ;   dcterms:modified "2023-06-20T08:57";  .</v>
      </c>
      <c r="AE107" s="8" t="s">
        <v>2591</v>
      </c>
    </row>
    <row r="108" spans="1:31" x14ac:dyDescent="0.25">
      <c r="A108" s="8">
        <v>85</v>
      </c>
      <c r="B108" s="8" t="s">
        <v>437</v>
      </c>
      <c r="C108" s="8">
        <v>49616</v>
      </c>
      <c r="D108" s="8" t="s">
        <v>435</v>
      </c>
      <c r="E108" s="8" t="s">
        <v>436</v>
      </c>
      <c r="F108" s="9">
        <v>7</v>
      </c>
      <c r="G108" s="9" t="s">
        <v>14</v>
      </c>
      <c r="H108" s="1" t="s">
        <v>438</v>
      </c>
      <c r="I108" s="8" t="str">
        <f t="shared" si="41"/>
        <v>https://www.mindat.org/min-49616.html</v>
      </c>
      <c r="J108" s="8">
        <v>49614</v>
      </c>
      <c r="K108" s="8" t="s">
        <v>425</v>
      </c>
      <c r="N108" s="9">
        <v>0</v>
      </c>
      <c r="O108" s="9" t="s">
        <v>2249</v>
      </c>
      <c r="R108" s="8" t="s">
        <v>439</v>
      </c>
      <c r="S108" s="11">
        <f t="shared" ca="1" si="52"/>
        <v>45097.373057291668</v>
      </c>
      <c r="U108" s="8" t="str">
        <f t="shared" si="43"/>
        <v xml:space="preserve">&lt;etma:1:1:49616:0&gt;  rdf:type skos:Concept ;  </v>
      </c>
      <c r="V108" s="8" t="str">
        <f t="shared" si="44"/>
        <v xml:space="preserve"> dcterms:source "https://www.mindat.org/min-49616.html" ; </v>
      </c>
      <c r="W108" s="8" t="str">
        <f t="shared" si="45"/>
        <v xml:space="preserve">skos:definition "An H5 chondrite that is a breccia with melted material forming the matrix."@en ; </v>
      </c>
      <c r="X108" s="8" t="str">
        <f t="shared" si="51"/>
        <v xml:space="preserve"> skos:inScheme &lt;https://mindat.org/etmat/cscheme&gt; ;  </v>
      </c>
      <c r="Y108" s="8" t="str">
        <f t="shared" si="47"/>
        <v xml:space="preserve">skos:prefLabel "H5-melt breccia chondrite meteorite"@en ; rdfs:label "H5-melt breccia chondrite meteorite"@en ; </v>
      </c>
      <c r="Z108" s="8" t="str">
        <f t="shared" si="48"/>
        <v xml:space="preserve"> skos:notation  "H5-melt breccia"@en ; </v>
      </c>
      <c r="AA108" s="8" t="str">
        <f t="shared" si="36"/>
        <v>dcterms:source "https://www.lpi.usra.edu/meteor/metbullclass.php?sea=H5-melt%20breccia";</v>
      </c>
      <c r="AB108" s="8" t="str">
        <f t="shared" si="37"/>
        <v xml:space="preserve">skos:broader &lt;etma:1:1:49614:2&gt; ; </v>
      </c>
      <c r="AC108" s="8" t="str">
        <f t="shared" ca="1" si="38"/>
        <v>dcterms:modified "2023-06-20T08:57";  .</v>
      </c>
      <c r="AD108" s="10" t="str">
        <f t="shared" ca="1" si="49"/>
        <v>&lt;etma:1:1:49616:0&gt;  rdf:type skos:Concept ;     dcterms:source "https://www.mindat.org/min-49616.html" ;   skos:definition "An H5 chondrite that is a breccia with melted material forming the matrix."@en ;    skos:inScheme &lt;https://mindat.org/etmat/cscheme&gt; ;    skos:prefLabel "H5-melt breccia chondrite meteorite"@en ; rdfs:label "H5-melt breccia chondrite meteorite"@en ;    skos:notation  "H5-melt breccia"@en ;   dcterms:source "https://www.lpi.usra.edu/meteor/metbullclass.php?sea=H5-melt%20breccia";  skos:broader &lt;etma:1:1:49614:2&gt; ;   dcterms:modified "2023-06-20T08:57";  .</v>
      </c>
      <c r="AE108" s="8" t="s">
        <v>2591</v>
      </c>
    </row>
    <row r="109" spans="1:31" x14ac:dyDescent="0.25">
      <c r="A109" s="8">
        <v>86</v>
      </c>
      <c r="B109" s="8" t="s">
        <v>442</v>
      </c>
      <c r="C109" s="8">
        <v>49617</v>
      </c>
      <c r="D109" s="8" t="s">
        <v>440</v>
      </c>
      <c r="E109" s="8" t="s">
        <v>441</v>
      </c>
      <c r="F109" s="9">
        <v>7</v>
      </c>
      <c r="G109" s="9" t="s">
        <v>14</v>
      </c>
      <c r="H109" s="1" t="s">
        <v>443</v>
      </c>
      <c r="I109" s="8" t="str">
        <f t="shared" si="41"/>
        <v>https://www.mindat.org/min-49617.html</v>
      </c>
      <c r="J109" s="8">
        <v>49614</v>
      </c>
      <c r="K109" s="8" t="s">
        <v>425</v>
      </c>
      <c r="N109" s="9">
        <v>0</v>
      </c>
      <c r="O109" s="9" t="s">
        <v>2249</v>
      </c>
      <c r="R109" s="8" t="s">
        <v>444</v>
      </c>
      <c r="S109" s="11">
        <f t="shared" ca="1" si="52"/>
        <v>45097.373057407407</v>
      </c>
      <c r="U109" s="8" t="str">
        <f t="shared" si="43"/>
        <v xml:space="preserve">&lt;etma:1:1:49617:9&gt;  rdf:type skos:Concept ;  </v>
      </c>
      <c r="V109" s="8" t="str">
        <f t="shared" si="44"/>
        <v xml:space="preserve"> dcterms:source "https://www.mindat.org/min-49617.html" ; </v>
      </c>
      <c r="W109" s="8" t="str">
        <f t="shared" si="45"/>
        <v xml:space="preserve">skos:definition "An H chondrite or L chondrite that is of petrological type 5."@en ; </v>
      </c>
      <c r="X109" s="8" t="str">
        <f t="shared" si="51"/>
        <v xml:space="preserve"> skos:inScheme &lt;https://mindat.org/etmat/cscheme&gt; ;  </v>
      </c>
      <c r="Y109" s="8" t="str">
        <f t="shared" si="47"/>
        <v xml:space="preserve">skos:prefLabel "H/L5 chondrite meteorite"@en ; rdfs:label "H/L5 chondrite meteorite"@en ; </v>
      </c>
      <c r="Z109" s="8" t="str">
        <f t="shared" si="48"/>
        <v xml:space="preserve"> skos:notation  "H/L5"@en ; </v>
      </c>
      <c r="AA109" s="8" t="str">
        <f t="shared" si="36"/>
        <v>dcterms:source "https://www.lpi.usra.edu/meteor/metbullclass.php?sea=H/L5";</v>
      </c>
      <c r="AB109" s="8" t="str">
        <f t="shared" si="37"/>
        <v xml:space="preserve">skos:broader &lt;etma:1:1:49614:2&gt; ; </v>
      </c>
      <c r="AC109" s="8" t="str">
        <f t="shared" ca="1" si="38"/>
        <v>dcterms:modified "2023-06-20T08:57";  .</v>
      </c>
      <c r="AD109" s="10" t="str">
        <f t="shared" ca="1" si="49"/>
        <v>&lt;etma:1:1:49617:9&gt;  rdf:type skos:Concept ;     dcterms:source "https://www.mindat.org/min-49617.html" ;   skos:definition "An H chondrite or L chondrite that is of petrological type 5."@en ;    skos:inScheme &lt;https://mindat.org/etmat/cscheme&gt; ;    skos:prefLabel "H/L5 chondrite meteorite"@en ; rdfs:label "H/L5 chondrite meteorite"@en ;    skos:notation  "H/L5"@en ;   dcterms:source "https://www.lpi.usra.edu/meteor/metbullclass.php?sea=H/L5";  skos:broader &lt;etma:1:1:49614:2&gt; ;   dcterms:modified "2023-06-20T08:57";  .</v>
      </c>
      <c r="AE109" s="8" t="s">
        <v>2591</v>
      </c>
    </row>
    <row r="110" spans="1:31" x14ac:dyDescent="0.25">
      <c r="A110" s="8">
        <v>87</v>
      </c>
      <c r="B110" s="8" t="s">
        <v>447</v>
      </c>
      <c r="C110" s="8">
        <v>49618</v>
      </c>
      <c r="D110" s="8" t="s">
        <v>445</v>
      </c>
      <c r="E110" s="8" t="s">
        <v>446</v>
      </c>
      <c r="F110" s="9">
        <v>7</v>
      </c>
      <c r="G110" s="9" t="s">
        <v>14</v>
      </c>
      <c r="H110" s="1" t="s">
        <v>448</v>
      </c>
      <c r="I110" s="8" t="str">
        <f t="shared" si="41"/>
        <v>https://www.mindat.org/min-49618.html</v>
      </c>
      <c r="J110" s="8">
        <v>49614</v>
      </c>
      <c r="K110" s="8" t="s">
        <v>425</v>
      </c>
      <c r="N110" s="9">
        <v>0</v>
      </c>
      <c r="O110" s="9" t="s">
        <v>2249</v>
      </c>
      <c r="R110" s="8" t="s">
        <v>449</v>
      </c>
      <c r="S110" s="11">
        <f t="shared" ca="1" si="52"/>
        <v>45097.373057291668</v>
      </c>
      <c r="U110" s="8" t="str">
        <f t="shared" si="43"/>
        <v xml:space="preserve">&lt;etma:1:1:49618:8&gt;  rdf:type skos:Concept ;  </v>
      </c>
      <c r="V110" s="8" t="str">
        <f t="shared" si="44"/>
        <v xml:space="preserve"> dcterms:source "https://www.mindat.org/min-49618.html" ; </v>
      </c>
      <c r="W110" s="8" t="str">
        <f t="shared" si="45"/>
        <v xml:space="preserve">skos:definition "An H chondrite that is a breccia of petrological type 5 and 6 components."@en ; </v>
      </c>
      <c r="X110" s="8" t="str">
        <f t="shared" si="51"/>
        <v xml:space="preserve"> skos:inScheme &lt;https://mindat.org/etmat/cscheme&gt; ;  </v>
      </c>
      <c r="Y110" s="8" t="str">
        <f t="shared" si="47"/>
        <v xml:space="preserve">skos:prefLabel "H5-6 chondrite meteorite"@en ; rdfs:label "H5-6 chondrite meteorite"@en ; </v>
      </c>
      <c r="Z110" s="8" t="str">
        <f t="shared" si="48"/>
        <v xml:space="preserve"> skos:notation  "H5-6"@en ; </v>
      </c>
      <c r="AA110" s="8" t="str">
        <f t="shared" si="36"/>
        <v>dcterms:source "https://www.lpi.usra.edu/meteor/metbullclass.php?sea=H5-6";</v>
      </c>
      <c r="AB110" s="8" t="str">
        <f t="shared" si="37"/>
        <v xml:space="preserve">skos:broader &lt;etma:1:1:49614:2&gt; ; </v>
      </c>
      <c r="AC110" s="8" t="str">
        <f t="shared" ca="1" si="38"/>
        <v>dcterms:modified "2023-06-20T08:57";  .</v>
      </c>
      <c r="AD110" s="10" t="str">
        <f t="shared" ca="1" si="49"/>
        <v>&lt;etma:1:1:49618:8&gt;  rdf:type skos:Concept ;     dcterms:source "https://www.mindat.org/min-49618.html" ;   skos:definition "An H chondrite that is a breccia of petrological type 5 and 6 components."@en ;    skos:inScheme &lt;https://mindat.org/etmat/cscheme&gt; ;    skos:prefLabel "H5-6 chondrite meteorite"@en ; rdfs:label "H5-6 chondrite meteorite"@en ;    skos:notation  "H5-6"@en ;   dcterms:source "https://www.lpi.usra.edu/meteor/metbullclass.php?sea=H5-6";  skos:broader &lt;etma:1:1:49614:2&gt; ;   dcterms:modified "2023-06-20T08:57";  .</v>
      </c>
      <c r="AE110" s="8" t="s">
        <v>2591</v>
      </c>
    </row>
    <row r="111" spans="1:31" x14ac:dyDescent="0.25">
      <c r="A111" s="8">
        <v>88</v>
      </c>
      <c r="B111" s="8" t="s">
        <v>452</v>
      </c>
      <c r="C111" s="8">
        <v>49619</v>
      </c>
      <c r="D111" s="8" t="s">
        <v>450</v>
      </c>
      <c r="E111" s="8" t="s">
        <v>451</v>
      </c>
      <c r="F111" s="9">
        <v>7</v>
      </c>
      <c r="G111" s="9" t="s">
        <v>14</v>
      </c>
      <c r="H111" s="1" t="s">
        <v>453</v>
      </c>
      <c r="I111" s="8" t="str">
        <f t="shared" si="41"/>
        <v>https://www.mindat.org/min-49619.html</v>
      </c>
      <c r="J111" s="8">
        <v>49584</v>
      </c>
      <c r="K111" s="8" t="s">
        <v>310</v>
      </c>
      <c r="L111" s="9">
        <v>49845</v>
      </c>
      <c r="M111" s="8" t="s">
        <v>2411</v>
      </c>
      <c r="N111" s="9">
        <v>1</v>
      </c>
      <c r="O111" s="9" t="s">
        <v>2249</v>
      </c>
      <c r="R111" s="8" t="s">
        <v>454</v>
      </c>
      <c r="S111" s="11">
        <f t="shared" ca="1" si="52"/>
        <v>45097.373057407407</v>
      </c>
      <c r="U111" s="8" t="str">
        <f t="shared" si="43"/>
        <v xml:space="preserve">&lt;etma:1:1:49619:7&gt;  rdf:type skos:Concept ;  </v>
      </c>
      <c r="V111" s="8" t="str">
        <f t="shared" si="44"/>
        <v xml:space="preserve"> dcterms:source "https://www.mindat.org/min-49619.html" ; </v>
      </c>
      <c r="W111" s="8" t="str">
        <f t="shared" si="45"/>
        <v xml:space="preserve">skos:definition "An H chondrite that is of petrologic type 6."@en ; </v>
      </c>
      <c r="X111" s="8" t="str">
        <f t="shared" si="51"/>
        <v xml:space="preserve"> skos:inScheme &lt;https://mindat.org/etmat/cscheme&gt; ;  </v>
      </c>
      <c r="Y111" s="8" t="str">
        <f t="shared" si="47"/>
        <v xml:space="preserve">skos:prefLabel "H6 chondrite meteorite"@en ; rdfs:label "H6 chondrite meteorite"@en ; </v>
      </c>
      <c r="Z111" s="8" t="str">
        <f t="shared" si="48"/>
        <v xml:space="preserve"> skos:notation  "H6"@en ; </v>
      </c>
      <c r="AA111" s="8" t="str">
        <f t="shared" si="36"/>
        <v>dcterms:source "https://www.lpi.usra.edu/meteor/metbullclass.php?sea=H6";</v>
      </c>
      <c r="AB111" s="8" t="str">
        <f t="shared" si="37"/>
        <v xml:space="preserve">skos:broader &lt;etma:1:1:49584:2&gt;, &lt;etma:1:1:49845:0&gt; ; </v>
      </c>
      <c r="AC111" s="8" t="str">
        <f t="shared" ca="1" si="38"/>
        <v>dcterms:modified "2023-06-20T08:57";  .</v>
      </c>
      <c r="AD111" s="10" t="str">
        <f t="shared" ca="1" si="49"/>
        <v>&lt;etma:1:1:49619:7&gt;  rdf:type skos:Concept ;     dcterms:source "https://www.mindat.org/min-49619.html" ;   skos:definition "An H chondrite that is of petrologic type 6."@en ;    skos:inScheme &lt;https://mindat.org/etmat/cscheme&gt; ;    skos:prefLabel "H6 chondrite meteorite"@en ; rdfs:label "H6 chondrite meteorite"@en ;    skos:notation  "H6"@en ;   dcterms:source "https://www.lpi.usra.edu/meteor/metbullclass.php?sea=H6";  skos:broader &lt;etma:1:1:49584:2&gt;, &lt;etma:1:1:49845:0&gt; ;   dcterms:modified "2023-06-20T08:57";  .</v>
      </c>
      <c r="AE111" s="8" t="s">
        <v>2591</v>
      </c>
    </row>
    <row r="112" spans="1:31" x14ac:dyDescent="0.25">
      <c r="A112" s="8">
        <v>89</v>
      </c>
      <c r="B112" s="8" t="s">
        <v>457</v>
      </c>
      <c r="C112" s="8">
        <v>49620</v>
      </c>
      <c r="D112" s="8" t="s">
        <v>455</v>
      </c>
      <c r="E112" s="8" t="s">
        <v>456</v>
      </c>
      <c r="F112" s="9">
        <v>7</v>
      </c>
      <c r="G112" s="9" t="s">
        <v>14</v>
      </c>
      <c r="H112" s="1" t="s">
        <v>458</v>
      </c>
      <c r="I112" s="8" t="str">
        <f t="shared" si="41"/>
        <v>https://www.mindat.org/min-49620.html</v>
      </c>
      <c r="J112" s="8">
        <v>49619</v>
      </c>
      <c r="K112" s="8" t="s">
        <v>450</v>
      </c>
      <c r="N112" s="9">
        <v>0</v>
      </c>
      <c r="O112" s="9" t="s">
        <v>2249</v>
      </c>
      <c r="R112" s="8" t="s">
        <v>459</v>
      </c>
      <c r="S112" s="11">
        <f t="shared" ca="1" si="52"/>
        <v>45097.373057291668</v>
      </c>
      <c r="U112" s="8" t="str">
        <f t="shared" si="43"/>
        <v xml:space="preserve">&lt;etma:1:1:49620:3&gt;  rdf:type skos:Concept ;  </v>
      </c>
      <c r="V112" s="8" t="str">
        <f t="shared" si="44"/>
        <v xml:space="preserve"> dcterms:source "https://www.mindat.org/min-49620.html" ; </v>
      </c>
      <c r="W112" s="8" t="str">
        <f t="shared" si="45"/>
        <v xml:space="preserve">skos:definition "An H chondrite that is petrologic type 6 and has anomalous properties."@en ; </v>
      </c>
      <c r="X112" s="8" t="str">
        <f t="shared" si="51"/>
        <v xml:space="preserve"> skos:inScheme &lt;https://mindat.org/etmat/cscheme&gt; ;  </v>
      </c>
      <c r="Y112" s="8" t="str">
        <f t="shared" si="47"/>
        <v xml:space="preserve">skos:prefLabel "H6-an chondrite meteorite"@en ; rdfs:label "H6-an chondrite meteorite"@en ; </v>
      </c>
      <c r="Z112" s="8" t="str">
        <f t="shared" si="48"/>
        <v xml:space="preserve"> skos:notation  "H6-an"@en ; </v>
      </c>
      <c r="AA112" s="8" t="str">
        <f t="shared" si="36"/>
        <v>dcterms:source "https://www.lpi.usra.edu/meteor/metbullclass.php?sea=H6-an";</v>
      </c>
      <c r="AB112" s="8" t="str">
        <f t="shared" si="37"/>
        <v xml:space="preserve">skos:broader &lt;etma:1:1:49619:7&gt; ; </v>
      </c>
      <c r="AC112" s="8" t="str">
        <f t="shared" ca="1" si="38"/>
        <v>dcterms:modified "2023-06-20T08:57";  .</v>
      </c>
      <c r="AD112" s="10" t="str">
        <f t="shared" ca="1" si="49"/>
        <v>&lt;etma:1:1:49620:3&gt;  rdf:type skos:Concept ;     dcterms:source "https://www.mindat.org/min-49620.html" ;   skos:definition "An H chondrite that is petrologic type 6 and has anomalous properties."@en ;    skos:inScheme &lt;https://mindat.org/etmat/cscheme&gt; ;    skos:prefLabel "H6-an chondrite meteorite"@en ; rdfs:label "H6-an chondrite meteorite"@en ;    skos:notation  "H6-an"@en ;   dcterms:source "https://www.lpi.usra.edu/meteor/metbullclass.php?sea=H6-an";  skos:broader &lt;etma:1:1:49619:7&gt; ;   dcterms:modified "2023-06-20T08:57";  .</v>
      </c>
      <c r="AE112" s="8" t="s">
        <v>2591</v>
      </c>
    </row>
    <row r="113" spans="1:31" x14ac:dyDescent="0.25">
      <c r="A113" s="8">
        <v>90</v>
      </c>
      <c r="B113" s="8" t="s">
        <v>462</v>
      </c>
      <c r="C113" s="8">
        <v>49621</v>
      </c>
      <c r="D113" s="8" t="s">
        <v>460</v>
      </c>
      <c r="E113" s="8" t="s">
        <v>461</v>
      </c>
      <c r="F113" s="9">
        <v>7</v>
      </c>
      <c r="G113" s="9" t="s">
        <v>14</v>
      </c>
      <c r="H113" s="1" t="s">
        <v>463</v>
      </c>
      <c r="I113" s="8" t="str">
        <f t="shared" si="41"/>
        <v>https://www.mindat.org/min-49621.html</v>
      </c>
      <c r="J113" s="8">
        <v>49619</v>
      </c>
      <c r="K113" s="8" t="s">
        <v>450</v>
      </c>
      <c r="N113" s="9">
        <v>0</v>
      </c>
      <c r="O113" s="9" t="s">
        <v>2249</v>
      </c>
      <c r="R113" s="8" t="s">
        <v>464</v>
      </c>
      <c r="S113" s="11">
        <f t="shared" ca="1" si="52"/>
        <v>45097.373057291668</v>
      </c>
      <c r="U113" s="8" t="str">
        <f t="shared" si="43"/>
        <v xml:space="preserve">&lt;etma:1:1:49621:2&gt;  rdf:type skos:Concept ;  </v>
      </c>
      <c r="V113" s="8" t="str">
        <f t="shared" si="44"/>
        <v xml:space="preserve"> dcterms:source "https://www.mindat.org/min-49621.html" ; </v>
      </c>
      <c r="W113" s="8" t="str">
        <f t="shared" si="45"/>
        <v xml:space="preserve">skos:definition "An H6 chondrite that is a breccia with melted material forming the matrix."@en ; </v>
      </c>
      <c r="X113" s="8" t="str">
        <f t="shared" si="51"/>
        <v xml:space="preserve"> skos:inScheme &lt;https://mindat.org/etmat/cscheme&gt; ;  </v>
      </c>
      <c r="Y113" s="8" t="str">
        <f t="shared" si="47"/>
        <v xml:space="preserve">skos:prefLabel "H6-melt breccia chondrite meteorite"@en ; rdfs:label "H6-melt breccia chondrite meteorite"@en ; </v>
      </c>
      <c r="Z113" s="8" t="str">
        <f t="shared" si="48"/>
        <v xml:space="preserve"> skos:notation  "H6-melt breccia"@en ; </v>
      </c>
      <c r="AA113" s="8" t="str">
        <f t="shared" si="36"/>
        <v>dcterms:source "https://www.lpi.usra.edu/meteor/metbullclass.php?sea=H6-melt%20breccia";</v>
      </c>
      <c r="AB113" s="8" t="str">
        <f t="shared" si="37"/>
        <v xml:space="preserve">skos:broader &lt;etma:1:1:49619:7&gt; ; </v>
      </c>
      <c r="AC113" s="8" t="str">
        <f t="shared" ca="1" si="38"/>
        <v>dcterms:modified "2023-06-20T08:57";  .</v>
      </c>
      <c r="AD113" s="10" t="str">
        <f t="shared" ca="1" si="49"/>
        <v>&lt;etma:1:1:49621:2&gt;  rdf:type skos:Concept ;     dcterms:source "https://www.mindat.org/min-49621.html" ;   skos:definition "An H6 chondrite that is a breccia with melted material forming the matrix."@en ;    skos:inScheme &lt;https://mindat.org/etmat/cscheme&gt; ;    skos:prefLabel "H6-melt breccia chondrite meteorite"@en ; rdfs:label "H6-melt breccia chondrite meteorite"@en ;    skos:notation  "H6-melt breccia"@en ;   dcterms:source "https://www.lpi.usra.edu/meteor/metbullclass.php?sea=H6-melt%20breccia";  skos:broader &lt;etma:1:1:49619:7&gt; ;   dcterms:modified "2023-06-20T08:57";  .</v>
      </c>
      <c r="AE113" s="8" t="s">
        <v>2591</v>
      </c>
    </row>
    <row r="114" spans="1:31" x14ac:dyDescent="0.25">
      <c r="A114" s="8">
        <v>91</v>
      </c>
      <c r="B114" s="8" t="s">
        <v>467</v>
      </c>
      <c r="C114" s="8">
        <v>49622</v>
      </c>
      <c r="D114" s="8" t="s">
        <v>465</v>
      </c>
      <c r="E114" s="8" t="s">
        <v>466</v>
      </c>
      <c r="F114" s="9">
        <v>7</v>
      </c>
      <c r="G114" s="9" t="s">
        <v>14</v>
      </c>
      <c r="H114" s="1" t="s">
        <v>468</v>
      </c>
      <c r="I114" s="8" t="str">
        <f t="shared" si="41"/>
        <v>https://www.mindat.org/min-49622.html</v>
      </c>
      <c r="J114" s="8">
        <v>49585</v>
      </c>
      <c r="K114" s="8" t="s">
        <v>315</v>
      </c>
      <c r="L114" s="9">
        <v>49710</v>
      </c>
      <c r="M114" s="8" t="s">
        <v>870</v>
      </c>
      <c r="N114" s="9">
        <v>0</v>
      </c>
      <c r="O114" s="9" t="s">
        <v>2249</v>
      </c>
      <c r="R114" s="8" t="s">
        <v>469</v>
      </c>
      <c r="S114" s="11">
        <f t="shared" ca="1" si="52"/>
        <v>45097.373057291668</v>
      </c>
      <c r="U114" s="8" t="str">
        <f t="shared" si="43"/>
        <v xml:space="preserve">&lt;etma:1:1:49622:1&gt;  rdf:type skos:Concept ;  </v>
      </c>
      <c r="V114" s="8" t="str">
        <f t="shared" si="44"/>
        <v xml:space="preserve"> dcterms:source "https://www.mindat.org/min-49622.html" ; </v>
      </c>
      <c r="W114" s="8" t="str">
        <f t="shared" si="45"/>
        <v xml:space="preserve">skos:definition "An H chondrite (or less likely, an L chondrite) that is of petrologic type 6."@en ; </v>
      </c>
      <c r="X114" s="8" t="str">
        <f t="shared" si="51"/>
        <v xml:space="preserve"> skos:inScheme &lt;https://mindat.org/etmat/cscheme&gt; ;  </v>
      </c>
      <c r="Y114" s="8" t="str">
        <f t="shared" si="47"/>
        <v xml:space="preserve">skos:prefLabel "H(L)6 chondrite meteorite"@en ; rdfs:label "H(L)6 chondrite meteorite"@en ; </v>
      </c>
      <c r="Z114" s="8" t="str">
        <f t="shared" si="48"/>
        <v xml:space="preserve"> skos:notation  "H(L)6"@en ; </v>
      </c>
      <c r="AA114" s="8" t="str">
        <f t="shared" si="36"/>
        <v>dcterms:source "https://www.lpi.usra.edu/meteor/metbullclass.php?sea=H(L)6";</v>
      </c>
      <c r="AB114" s="8" t="str">
        <f t="shared" si="37"/>
        <v xml:space="preserve">skos:broader &lt;etma:1:1:49585:1&gt;, &lt;etma:1:1:49710:5&gt; ; </v>
      </c>
      <c r="AC114" s="8" t="str">
        <f t="shared" ca="1" si="38"/>
        <v>dcterms:modified "2023-06-20T08:57";  .</v>
      </c>
      <c r="AD114" s="10" t="str">
        <f t="shared" ca="1" si="49"/>
        <v>&lt;etma:1:1:49622:1&gt;  rdf:type skos:Concept ;     dcterms:source "https://www.mindat.org/min-49622.html" ;   skos:definition "An H chondrite (or less likely, an L chondrite) that is of petrologic type 6."@en ;    skos:inScheme &lt;https://mindat.org/etmat/cscheme&gt; ;    skos:prefLabel "H(L)6 chondrite meteorite"@en ; rdfs:label "H(L)6 chondrite meteorite"@en ;    skos:notation  "H(L)6"@en ;   dcterms:source "https://www.lpi.usra.edu/meteor/metbullclass.php?sea=H(L)6";  skos:broader &lt;etma:1:1:49585:1&gt;, &lt;etma:1:1:49710:5&gt; ;   dcterms:modified "2023-06-20T08:57";  .</v>
      </c>
      <c r="AE114" s="8" t="s">
        <v>2591</v>
      </c>
    </row>
    <row r="115" spans="1:31" x14ac:dyDescent="0.25">
      <c r="A115" s="8">
        <v>92</v>
      </c>
      <c r="B115" s="8" t="s">
        <v>472</v>
      </c>
      <c r="C115" s="8">
        <v>49623</v>
      </c>
      <c r="D115" s="8" t="s">
        <v>470</v>
      </c>
      <c r="E115" s="8" t="s">
        <v>471</v>
      </c>
      <c r="F115" s="9">
        <v>7</v>
      </c>
      <c r="G115" s="9" t="s">
        <v>14</v>
      </c>
      <c r="H115" s="1" t="s">
        <v>473</v>
      </c>
      <c r="I115" s="8" t="str">
        <f t="shared" si="41"/>
        <v>https://www.mindat.org/min-49623.html</v>
      </c>
      <c r="J115" s="8">
        <v>50449</v>
      </c>
      <c r="K115" s="8" t="s">
        <v>1921</v>
      </c>
      <c r="N115" s="9">
        <v>0</v>
      </c>
      <c r="O115" s="9" t="s">
        <v>2249</v>
      </c>
      <c r="R115" s="8" t="s">
        <v>474</v>
      </c>
      <c r="S115" s="11">
        <f t="shared" ca="1" si="52"/>
        <v>45097.373057291668</v>
      </c>
      <c r="U115" s="8" t="str">
        <f t="shared" si="43"/>
        <v xml:space="preserve">&lt;etma:1:1:49623:0&gt;  rdf:type skos:Concept ;  </v>
      </c>
      <c r="V115" s="8" t="str">
        <f t="shared" si="44"/>
        <v xml:space="preserve"> dcterms:source "https://www.mindat.org/min-49623.html" ; </v>
      </c>
      <c r="W115" s="8" t="str">
        <f t="shared" si="45"/>
        <v xml:space="preserve">skos:definition "An H chondrite or L chondrite that is of petrological type 6 and has experienced secondary melting."@en ; </v>
      </c>
      <c r="X115" s="8" t="str">
        <f t="shared" si="51"/>
        <v xml:space="preserve"> skos:inScheme &lt;https://mindat.org/etmat/cscheme&gt; ;  </v>
      </c>
      <c r="Y115" s="8" t="str">
        <f t="shared" si="47"/>
        <v xml:space="preserve">skos:prefLabel "H/L6-melt rock chondrite meteorite"@en ; rdfs:label "H/L6-melt rock chondrite meteorite"@en ; </v>
      </c>
      <c r="Z115" s="8" t="str">
        <f t="shared" si="48"/>
        <v xml:space="preserve"> skos:notation  "H/L6-melt rock"@en ; </v>
      </c>
      <c r="AA115" s="8" t="str">
        <f t="shared" si="36"/>
        <v>dcterms:source "https://www.lpi.usra.edu/meteor/metbullclass.php?sea=H/L6-melt%20rock";</v>
      </c>
      <c r="AB115" s="8" t="str">
        <f t="shared" si="37"/>
        <v xml:space="preserve">skos:broader &lt;etma:1:1:50449:6&gt; ; </v>
      </c>
      <c r="AC115" s="8" t="str">
        <f t="shared" ca="1" si="38"/>
        <v>dcterms:modified "2023-06-20T08:57";  .</v>
      </c>
      <c r="AD115" s="10" t="str">
        <f t="shared" ca="1" si="49"/>
        <v>&lt;etma:1:1:49623:0&gt;  rdf:type skos:Concept ;     dcterms:source "https://www.mindat.org/min-49623.html" ;   skos:definition "An H chondrite or L chondrite that is of petrological type 6 and has experienced secondary melting."@en ;    skos:inScheme &lt;https://mindat.org/etmat/cscheme&gt; ;    skos:prefLabel "H/L6-melt rock chondrite meteorite"@en ; rdfs:label "H/L6-melt rock chondrite meteorite"@en ;    skos:notation  "H/L6-melt rock"@en ;   dcterms:source "https://www.lpi.usra.edu/meteor/metbullclass.php?sea=H/L6-melt%20rock";  skos:broader &lt;etma:1:1:50449:6&gt; ;   dcterms:modified "2023-06-20T08:57";  .</v>
      </c>
      <c r="AE115" s="8" t="s">
        <v>2591</v>
      </c>
    </row>
    <row r="116" spans="1:31" x14ac:dyDescent="0.25">
      <c r="A116" s="8">
        <v>93</v>
      </c>
      <c r="B116" s="8" t="s">
        <v>477</v>
      </c>
      <c r="C116" s="8">
        <v>49625</v>
      </c>
      <c r="D116" s="8" t="s">
        <v>475</v>
      </c>
      <c r="E116" s="8" t="s">
        <v>476</v>
      </c>
      <c r="F116" s="9">
        <v>7</v>
      </c>
      <c r="G116" s="9" t="s">
        <v>14</v>
      </c>
      <c r="H116" s="1" t="s">
        <v>478</v>
      </c>
      <c r="I116" s="8" t="str">
        <f t="shared" si="41"/>
        <v>https://www.mindat.org/min-49625.html</v>
      </c>
      <c r="J116" s="8">
        <v>49584</v>
      </c>
      <c r="K116" s="8" t="s">
        <v>310</v>
      </c>
      <c r="L116" s="9">
        <v>49846</v>
      </c>
      <c r="M116" s="8" t="s">
        <v>2415</v>
      </c>
      <c r="N116" s="9">
        <v>0</v>
      </c>
      <c r="O116" s="9" t="s">
        <v>2249</v>
      </c>
      <c r="R116" s="8" t="s">
        <v>479</v>
      </c>
      <c r="S116" s="11">
        <f t="shared" ca="1" si="52"/>
        <v>45097.373057291668</v>
      </c>
      <c r="U116" s="8" t="str">
        <f t="shared" si="43"/>
        <v xml:space="preserve">&lt;etma:1:1:49625:8&gt;  rdf:type skos:Concept ;  </v>
      </c>
      <c r="V116" s="8" t="str">
        <f t="shared" si="44"/>
        <v xml:space="preserve"> dcterms:source "https://www.mindat.org/min-49625.html" ; </v>
      </c>
      <c r="W116" s="8" t="str">
        <f t="shared" si="45"/>
        <v xml:space="preserve">skos:definition "An H chondrite that is of petrologic type 7. Note that petrologic type 7 is not used consistently or widely accepted in the literature."@en ; </v>
      </c>
      <c r="X116" s="8" t="str">
        <f t="shared" si="51"/>
        <v xml:space="preserve"> skos:inScheme &lt;https://mindat.org/etmat/cscheme&gt; ;  </v>
      </c>
      <c r="Y116" s="8" t="str">
        <f t="shared" si="47"/>
        <v xml:space="preserve">skos:prefLabel "H7 chondrite meteorite"@en ; rdfs:label "H7 chondrite meteorite"@en ; </v>
      </c>
      <c r="Z116" s="8" t="str">
        <f t="shared" si="48"/>
        <v xml:space="preserve"> skos:notation  "H7"@en ; </v>
      </c>
      <c r="AA116" s="8" t="str">
        <f t="shared" si="36"/>
        <v>dcterms:source "https://www.lpi.usra.edu/meteor/metbullclass.php?sea=H7";</v>
      </c>
      <c r="AB116" s="8" t="str">
        <f t="shared" si="37"/>
        <v xml:space="preserve">skos:broader &lt;etma:1:1:49584:2&gt;, &lt;etma:1:1:49846:9&gt; ; </v>
      </c>
      <c r="AC116" s="8" t="str">
        <f t="shared" ca="1" si="38"/>
        <v>dcterms:modified "2023-06-20T08:57";  .</v>
      </c>
      <c r="AD116" s="10" t="str">
        <f t="shared" ca="1" si="49"/>
        <v>&lt;etma:1:1:49625:8&gt;  rdf:type skos:Concept ;     dcterms:source "https://www.mindat.org/min-49625.html" ;   skos:definition "An H chondrite that is of petrologic type 7. Note that petrologic type 7 is not used consistently or widely accepted in the literature."@en ;    skos:inScheme &lt;https://mindat.org/etmat/cscheme&gt; ;    skos:prefLabel "H7 chondrite meteorite"@en ; rdfs:label "H7 chondrite meteorite"@en ;    skos:notation  "H7"@en ;   dcterms:source "https://www.lpi.usra.edu/meteor/metbullclass.php?sea=H7";  skos:broader &lt;etma:1:1:49584:2&gt;, &lt;etma:1:1:49846:9&gt; ;   dcterms:modified "2023-06-20T08:57";  .</v>
      </c>
      <c r="AE116" s="8" t="s">
        <v>2591</v>
      </c>
    </row>
    <row r="117" spans="1:31" x14ac:dyDescent="0.25">
      <c r="A117" s="8">
        <v>94</v>
      </c>
      <c r="B117" s="8" t="s">
        <v>482</v>
      </c>
      <c r="C117" s="8">
        <v>49626</v>
      </c>
      <c r="D117" s="8" t="s">
        <v>480</v>
      </c>
      <c r="E117" s="8" t="s">
        <v>481</v>
      </c>
      <c r="F117" s="9">
        <v>7</v>
      </c>
      <c r="G117" s="9" t="s">
        <v>14</v>
      </c>
      <c r="H117" s="1" t="s">
        <v>483</v>
      </c>
      <c r="I117" s="8" t="str">
        <f t="shared" si="41"/>
        <v>https://www.mindat.org/min-49626.html</v>
      </c>
      <c r="J117" s="8">
        <v>49584</v>
      </c>
      <c r="K117" s="8" t="s">
        <v>310</v>
      </c>
      <c r="N117" s="9">
        <v>0</v>
      </c>
      <c r="O117" s="9" t="s">
        <v>2249</v>
      </c>
      <c r="R117" s="8" t="s">
        <v>484</v>
      </c>
      <c r="S117" s="11">
        <f t="shared" ca="1" si="52"/>
        <v>45097.373057407407</v>
      </c>
      <c r="U117" s="8" t="str">
        <f t="shared" si="43"/>
        <v xml:space="preserve">&lt;etma:1:1:49626:7&gt;  rdf:type skos:Concept ;  </v>
      </c>
      <c r="V117" s="8" t="str">
        <f t="shared" si="44"/>
        <v xml:space="preserve"> dcterms:source "https://www.mindat.org/min-49626.html" ; </v>
      </c>
      <c r="W117" s="8" t="str">
        <f t="shared" si="45"/>
        <v xml:space="preserve">skos:definition "An H chondrite that is anomalous and for which the petrologic type has not been determined."@en ; </v>
      </c>
      <c r="X117" s="8" t="str">
        <f t="shared" si="51"/>
        <v xml:space="preserve"> skos:inScheme &lt;https://mindat.org/etmat/cscheme&gt; ;  </v>
      </c>
      <c r="Y117" s="8" t="str">
        <f t="shared" si="47"/>
        <v xml:space="preserve">skos:prefLabel "H-an chondrite meteorite"@en ; rdfs:label "H-an chondrite meteorite"@en ; </v>
      </c>
      <c r="Z117" s="8" t="str">
        <f t="shared" si="48"/>
        <v xml:space="preserve"> skos:notation  "H-an"@en ; </v>
      </c>
      <c r="AA117" s="8" t="str">
        <f t="shared" si="36"/>
        <v>dcterms:source "https://www.lpi.usra.edu/meteor/metbullclass.php?sea=H-an";</v>
      </c>
      <c r="AB117" s="8" t="str">
        <f t="shared" si="37"/>
        <v xml:space="preserve">skos:broader &lt;etma:1:1:49584:2&gt; ; </v>
      </c>
      <c r="AC117" s="8" t="str">
        <f t="shared" ca="1" si="38"/>
        <v>dcterms:modified "2023-06-20T08:57";  .</v>
      </c>
      <c r="AD117" s="10" t="str">
        <f t="shared" ca="1" si="49"/>
        <v>&lt;etma:1:1:49626:7&gt;  rdf:type skos:Concept ;     dcterms:source "https://www.mindat.org/min-49626.html" ;   skos:definition "An H chondrite that is anomalous and for which the petrologic type has not been determined."@en ;    skos:inScheme &lt;https://mindat.org/etmat/cscheme&gt; ;    skos:prefLabel "H-an chondrite meteorite"@en ; rdfs:label "H-an chondrite meteorite"@en ;    skos:notation  "H-an"@en ;   dcterms:source "https://www.lpi.usra.edu/meteor/metbullclass.php?sea=H-an";  skos:broader &lt;etma:1:1:49584:2&gt; ;   dcterms:modified "2023-06-20T08:57";  .</v>
      </c>
      <c r="AE117" s="8" t="s">
        <v>2591</v>
      </c>
    </row>
    <row r="118" spans="1:31" x14ac:dyDescent="0.25">
      <c r="A118" s="8">
        <v>95</v>
      </c>
      <c r="B118" s="8" t="s">
        <v>487</v>
      </c>
      <c r="C118" s="8">
        <v>49627</v>
      </c>
      <c r="D118" s="8" t="s">
        <v>485</v>
      </c>
      <c r="E118" s="8" t="s">
        <v>486</v>
      </c>
      <c r="F118" s="9">
        <v>7</v>
      </c>
      <c r="G118" s="9" t="s">
        <v>14</v>
      </c>
      <c r="H118" s="1" t="s">
        <v>488</v>
      </c>
      <c r="I118" s="8" t="str">
        <f t="shared" si="41"/>
        <v>https://www.mindat.org/min-49627.html</v>
      </c>
      <c r="J118" s="8">
        <v>49584</v>
      </c>
      <c r="K118" s="8" t="s">
        <v>310</v>
      </c>
      <c r="N118" s="9">
        <v>0</v>
      </c>
      <c r="O118" s="9" t="s">
        <v>2249</v>
      </c>
      <c r="R118" s="8" t="s">
        <v>489</v>
      </c>
      <c r="S118" s="11">
        <f t="shared" ca="1" si="52"/>
        <v>45097.373057291668</v>
      </c>
      <c r="U118" s="8" t="str">
        <f t="shared" si="43"/>
        <v xml:space="preserve">&lt;etma:1:1:49627:6&gt;  rdf:type skos:Concept ;  </v>
      </c>
      <c r="V118" s="8" t="str">
        <f t="shared" si="44"/>
        <v xml:space="preserve"> dcterms:source "https://www.mindat.org/min-49627.html" ; </v>
      </c>
      <c r="W118" s="8" t="str">
        <f t="shared" si="45"/>
        <v xml:space="preserve">skos:definition "An H chondrite that has experienced impact melting and for which the petrologic type has not been determined."@en ; </v>
      </c>
      <c r="X118" s="8" t="str">
        <f t="shared" si="51"/>
        <v xml:space="preserve"> skos:inScheme &lt;https://mindat.org/etmat/cscheme&gt; ;  </v>
      </c>
      <c r="Y118" s="8" t="str">
        <f t="shared" si="47"/>
        <v xml:space="preserve">skos:prefLabel "H-imp melt chondrite meteorite"@en ; rdfs:label "H-imp melt chondrite meteorite"@en ; </v>
      </c>
      <c r="Z118" s="8" t="str">
        <f t="shared" si="48"/>
        <v xml:space="preserve"> skos:notation  "H-imp melt"@en ; </v>
      </c>
      <c r="AA118" s="8" t="str">
        <f t="shared" si="36"/>
        <v>dcterms:source "https://www.lpi.usra.edu/meteor/metbullclass.php?sea=H-imp%20melt";</v>
      </c>
      <c r="AB118" s="8" t="str">
        <f t="shared" si="37"/>
        <v xml:space="preserve">skos:broader &lt;etma:1:1:49584:2&gt; ; </v>
      </c>
      <c r="AC118" s="8" t="str">
        <f t="shared" ca="1" si="38"/>
        <v>dcterms:modified "2023-06-20T08:57";  .</v>
      </c>
      <c r="AD118" s="10" t="str">
        <f t="shared" ca="1" si="49"/>
        <v>&lt;etma:1:1:49627:6&gt;  rdf:type skos:Concept ;     dcterms:source "https://www.mindat.org/min-49627.html" ;   skos:definition "An H chondrite that has experienced impact melting and for which the petrologic type has not been determined."@en ;    skos:inScheme &lt;https://mindat.org/etmat/cscheme&gt; ;    skos:prefLabel "H-imp melt chondrite meteorite"@en ; rdfs:label "H-imp melt chondrite meteorite"@en ;    skos:notation  "H-imp melt"@en ;   dcterms:source "https://www.lpi.usra.edu/meteor/metbullclass.php?sea=H-imp%20melt";  skos:broader &lt;etma:1:1:49584:2&gt; ;   dcterms:modified "2023-06-20T08:57";  .</v>
      </c>
      <c r="AE118" s="8" t="s">
        <v>2591</v>
      </c>
    </row>
    <row r="119" spans="1:31" x14ac:dyDescent="0.25">
      <c r="A119" s="8">
        <v>96</v>
      </c>
      <c r="B119" s="8" t="s">
        <v>492</v>
      </c>
      <c r="C119" s="8">
        <v>49628</v>
      </c>
      <c r="D119" s="8" t="s">
        <v>490</v>
      </c>
      <c r="E119" s="8" t="s">
        <v>491</v>
      </c>
      <c r="F119" s="9">
        <v>7</v>
      </c>
      <c r="G119" s="9" t="s">
        <v>14</v>
      </c>
      <c r="H119" s="1" t="s">
        <v>493</v>
      </c>
      <c r="I119" s="8" t="str">
        <f t="shared" si="41"/>
        <v>https://www.mindat.org/min-49628.html</v>
      </c>
      <c r="J119" s="8">
        <v>49584</v>
      </c>
      <c r="K119" s="8" t="s">
        <v>310</v>
      </c>
      <c r="N119" s="9">
        <v>0</v>
      </c>
      <c r="O119" s="9" t="s">
        <v>2249</v>
      </c>
      <c r="R119" s="8" t="s">
        <v>494</v>
      </c>
      <c r="S119" s="11">
        <f t="shared" ca="1" si="52"/>
        <v>45097.373057407407</v>
      </c>
      <c r="U119" s="8" t="str">
        <f t="shared" si="43"/>
        <v xml:space="preserve">&lt;etma:1:1:49628:5&gt;  rdf:type skos:Concept ;  </v>
      </c>
      <c r="V119" s="8" t="str">
        <f t="shared" si="44"/>
        <v xml:space="preserve"> dcterms:source "https://www.mindat.org/min-49628.html" ; </v>
      </c>
      <c r="W119" s="8" t="str">
        <f t="shared" si="45"/>
        <v xml:space="preserve">skos:definition "An H chondrite that is a breccia with melted material forming the matrix and for which the petrologic type has not been determined."@en ; </v>
      </c>
      <c r="X119" s="8" t="str">
        <f t="shared" si="51"/>
        <v xml:space="preserve"> skos:inScheme &lt;https://mindat.org/etmat/cscheme&gt; ;  </v>
      </c>
      <c r="Y119" s="8" t="str">
        <f t="shared" si="47"/>
        <v xml:space="preserve">skos:prefLabel "H-melt breccia chondrite meteorite"@en ; rdfs:label "H-melt breccia chondrite meteorite"@en ; </v>
      </c>
      <c r="Z119" s="8" t="str">
        <f t="shared" si="48"/>
        <v xml:space="preserve"> skos:notation  "H-melt breccia"@en ; </v>
      </c>
      <c r="AA119" s="8" t="str">
        <f t="shared" si="36"/>
        <v>dcterms:source "https://www.lpi.usra.edu/meteor/metbullclass.php?sea=H-melt%20breccia";</v>
      </c>
      <c r="AB119" s="8" t="str">
        <f t="shared" si="37"/>
        <v xml:space="preserve">skos:broader &lt;etma:1:1:49584:2&gt; ; </v>
      </c>
      <c r="AC119" s="8" t="str">
        <f t="shared" ca="1" si="38"/>
        <v>dcterms:modified "2023-06-20T08:57";  .</v>
      </c>
      <c r="AD119" s="10" t="str">
        <f t="shared" ca="1" si="49"/>
        <v>&lt;etma:1:1:49628:5&gt;  rdf:type skos:Concept ;     dcterms:source "https://www.mindat.org/min-49628.html" ;   skos:definition "An H chondrite that is a breccia with melted material forming the matrix and for which the petrologic type has not been determined."@en ;    skos:inScheme &lt;https://mindat.org/etmat/cscheme&gt; ;    skos:prefLabel "H-melt breccia chondrite meteorite"@en ; rdfs:label "H-melt breccia chondrite meteorite"@en ;    skos:notation  "H-melt breccia"@en ;   dcterms:source "https://www.lpi.usra.edu/meteor/metbullclass.php?sea=H-melt%20breccia";  skos:broader &lt;etma:1:1:49584:2&gt; ;   dcterms:modified "2023-06-20T08:57";  .</v>
      </c>
      <c r="AE119" s="8" t="s">
        <v>2591</v>
      </c>
    </row>
    <row r="120" spans="1:31" x14ac:dyDescent="0.25">
      <c r="A120" s="8">
        <v>97</v>
      </c>
      <c r="B120" s="8" t="s">
        <v>497</v>
      </c>
      <c r="C120" s="8">
        <v>49629</v>
      </c>
      <c r="D120" s="8" t="s">
        <v>495</v>
      </c>
      <c r="E120" s="8" t="s">
        <v>496</v>
      </c>
      <c r="F120" s="9">
        <v>7</v>
      </c>
      <c r="G120" s="9" t="s">
        <v>14</v>
      </c>
      <c r="H120" s="1" t="s">
        <v>498</v>
      </c>
      <c r="I120" s="8" t="str">
        <f t="shared" si="41"/>
        <v>https://www.mindat.org/min-49629.html</v>
      </c>
      <c r="J120" s="8">
        <v>49584</v>
      </c>
      <c r="K120" s="8" t="s">
        <v>310</v>
      </c>
      <c r="N120" s="9">
        <v>0</v>
      </c>
      <c r="O120" s="9" t="s">
        <v>2249</v>
      </c>
      <c r="R120" s="8" t="s">
        <v>499</v>
      </c>
      <c r="S120" s="11">
        <f t="shared" ca="1" si="52"/>
        <v>45097.373057291668</v>
      </c>
      <c r="U120" s="8" t="str">
        <f t="shared" si="43"/>
        <v xml:space="preserve">&lt;etma:1:1:49629:4&gt;  rdf:type skos:Concept ;  </v>
      </c>
      <c r="V120" s="8" t="str">
        <f t="shared" si="44"/>
        <v xml:space="preserve"> dcterms:source "https://www.mindat.org/min-49629.html" ; </v>
      </c>
      <c r="W120" s="8" t="str">
        <f t="shared" si="45"/>
        <v xml:space="preserve">skos:definition "An H chondrite that has experienced secondary melting and for which the petrologic type has not been determined."@en ; </v>
      </c>
      <c r="X120" s="8" t="str">
        <f t="shared" si="51"/>
        <v xml:space="preserve"> skos:inScheme &lt;https://mindat.org/etmat/cscheme&gt; ;  </v>
      </c>
      <c r="Y120" s="8" t="str">
        <f t="shared" si="47"/>
        <v xml:space="preserve">skos:prefLabel "H-melt rock chondrite meteorite"@en ; rdfs:label "H-melt rock chondrite meteorite"@en ; </v>
      </c>
      <c r="Z120" s="8" t="str">
        <f t="shared" si="48"/>
        <v xml:space="preserve"> skos:notation  "H-melt rock"@en ; </v>
      </c>
      <c r="AA120" s="8" t="str">
        <f t="shared" si="36"/>
        <v>dcterms:source "https://www.lpi.usra.edu/meteor/metbullclass.php?sea=H-melt%20rock";</v>
      </c>
      <c r="AB120" s="8" t="str">
        <f t="shared" si="37"/>
        <v xml:space="preserve">skos:broader &lt;etma:1:1:49584:2&gt; ; </v>
      </c>
      <c r="AC120" s="8" t="str">
        <f t="shared" ca="1" si="38"/>
        <v>dcterms:modified "2023-06-20T08:57";  .</v>
      </c>
      <c r="AD120" s="10" t="str">
        <f t="shared" ca="1" si="49"/>
        <v>&lt;etma:1:1:49629:4&gt;  rdf:type skos:Concept ;     dcterms:source "https://www.mindat.org/min-49629.html" ;   skos:definition "An H chondrite that has experienced secondary melting and for which the petrologic type has not been determined."@en ;    skos:inScheme &lt;https://mindat.org/etmat/cscheme&gt; ;    skos:prefLabel "H-melt rock chondrite meteorite"@en ; rdfs:label "H-melt rock chondrite meteorite"@en ;    skos:notation  "H-melt rock"@en ;   dcterms:source "https://www.lpi.usra.edu/meteor/metbullclass.php?sea=H-melt%20rock";  skos:broader &lt;etma:1:1:49584:2&gt; ;   dcterms:modified "2023-06-20T08:57";  .</v>
      </c>
      <c r="AE120" s="8" t="s">
        <v>2591</v>
      </c>
    </row>
    <row r="121" spans="1:31" x14ac:dyDescent="0.25">
      <c r="A121" s="8">
        <v>98</v>
      </c>
      <c r="B121" s="8" t="s">
        <v>502</v>
      </c>
      <c r="C121" s="8">
        <v>49630</v>
      </c>
      <c r="D121" s="8" t="s">
        <v>500</v>
      </c>
      <c r="E121" s="8" t="s">
        <v>501</v>
      </c>
      <c r="F121" s="9">
        <v>7</v>
      </c>
      <c r="G121" s="9" t="s">
        <v>14</v>
      </c>
      <c r="H121" s="1" t="s">
        <v>503</v>
      </c>
      <c r="I121" s="8" t="str">
        <f t="shared" si="41"/>
        <v>https://www.mindat.org/min-49630.html</v>
      </c>
      <c r="J121" s="8">
        <v>49584</v>
      </c>
      <c r="K121" s="8" t="s">
        <v>310</v>
      </c>
      <c r="N121" s="9">
        <v>0</v>
      </c>
      <c r="O121" s="9" t="s">
        <v>2249</v>
      </c>
      <c r="R121" s="8" t="s">
        <v>504</v>
      </c>
      <c r="S121" s="11">
        <f t="shared" ca="1" si="52"/>
        <v>45097.373057291668</v>
      </c>
      <c r="U121" s="8" t="str">
        <f t="shared" si="43"/>
        <v xml:space="preserve">&lt;etma:1:1:49630:0&gt;  rdf:type skos:Concept ;  </v>
      </c>
      <c r="V121" s="8" t="str">
        <f t="shared" si="44"/>
        <v xml:space="preserve"> dcterms:source "https://www.mindat.org/min-49630.html" ; </v>
      </c>
      <c r="W121" s="8" t="str">
        <f t="shared" si="45"/>
        <v xml:space="preserve">skos:definition "A meteorite that is dominantly composed of Fe-Ni metal. It seems likely that the object was derived from an ordinary H chondrite and was not once part of an extended metal-rich body."@en ; </v>
      </c>
      <c r="X121" s="8" t="str">
        <f t="shared" si="51"/>
        <v xml:space="preserve"> skos:inScheme &lt;https://mindat.org/etmat/cscheme&gt; ;  </v>
      </c>
      <c r="Y121" s="8" t="str">
        <f t="shared" si="47"/>
        <v xml:space="preserve">skos:prefLabel "H-metal chondrite meteorite"@en ; rdfs:label "H-metal chondrite meteorite"@en ; </v>
      </c>
      <c r="Z121" s="8" t="str">
        <f t="shared" si="48"/>
        <v xml:space="preserve"> skos:notation  "H-metal"@en ; </v>
      </c>
      <c r="AA121" s="8" t="str">
        <f t="shared" si="36"/>
        <v>dcterms:source "https://www.lpi.usra.edu/meteor/metbullclass.php?sea=H-metal";</v>
      </c>
      <c r="AB121" s="8" t="str">
        <f t="shared" si="37"/>
        <v xml:space="preserve">skos:broader &lt;etma:1:1:49584:2&gt; ; </v>
      </c>
      <c r="AC121" s="8" t="str">
        <f t="shared" ca="1" si="38"/>
        <v>dcterms:modified "2023-06-20T08:57";  .</v>
      </c>
      <c r="AD121" s="10" t="str">
        <f t="shared" ca="1" si="49"/>
        <v>&lt;etma:1:1:49630:0&gt;  rdf:type skos:Concept ;     dcterms:source "https://www.mindat.org/min-49630.html" ;   skos:definition "A meteorite that is dominantly composed of Fe-Ni metal. It seems likely that the object was derived from an ordinary H chondrite and was not once part of an extended metal-rich body."@en ;    skos:inScheme &lt;https://mindat.org/etmat/cscheme&gt; ;    skos:prefLabel "H-metal chondrite meteorite"@en ; rdfs:label "H-metal chondrite meteorite"@en ;    skos:notation  "H-metal"@en ;   dcterms:source "https://www.lpi.usra.edu/meteor/metbullclass.php?sea=H-metal";  skos:broader &lt;etma:1:1:49584:2&gt; ;   dcterms:modified "2023-06-20T08:57";  .</v>
      </c>
      <c r="AE121" s="8" t="s">
        <v>2591</v>
      </c>
    </row>
    <row r="122" spans="1:31" x14ac:dyDescent="0.25">
      <c r="A122" s="8">
        <v>99</v>
      </c>
      <c r="B122" s="8" t="s">
        <v>507</v>
      </c>
      <c r="C122" s="8">
        <v>49631</v>
      </c>
      <c r="D122" s="8" t="s">
        <v>505</v>
      </c>
      <c r="E122" s="8" t="s">
        <v>506</v>
      </c>
      <c r="F122" s="9">
        <v>2</v>
      </c>
      <c r="G122" s="9" t="s">
        <v>508</v>
      </c>
      <c r="H122" s="1" t="s">
        <v>509</v>
      </c>
      <c r="I122" s="8" t="str">
        <f t="shared" si="41"/>
        <v>https://www.mindat.org/min-49631.html</v>
      </c>
      <c r="J122" s="8">
        <v>49584</v>
      </c>
      <c r="K122" s="8" t="s">
        <v>310</v>
      </c>
      <c r="N122" s="9">
        <v>0</v>
      </c>
      <c r="O122" s="9" t="s">
        <v>2249</v>
      </c>
      <c r="R122" s="8" t="s">
        <v>510</v>
      </c>
      <c r="S122" s="11">
        <f t="shared" ca="1" si="52"/>
        <v>45097.373057291668</v>
      </c>
      <c r="U122" s="8" t="str">
        <f t="shared" si="43"/>
        <v xml:space="preserve">&lt;etma:1:1:49631:9&gt;  rdf:type skos:Concept ;  </v>
      </c>
      <c r="V122" s="8" t="str">
        <f t="shared" si="44"/>
        <v xml:space="preserve"> dcterms:source "https://www.mindat.org/min-49631.html" ; </v>
      </c>
      <c r="W122" s="8" t="str">
        <f t="shared" si="45"/>
        <v xml:space="preserve">skos:definition "An ordinary chondrite that may be from the H chondrite group and for which petrologic type has not been determined."@en ; </v>
      </c>
      <c r="X122" s="8" t="str">
        <f t="shared" si="51"/>
        <v xml:space="preserve"> skos:inScheme &lt;https://mindat.org/etmat/cscheme&gt; ;  </v>
      </c>
      <c r="Y122" s="8" t="str">
        <f t="shared" si="47"/>
        <v xml:space="preserve">skos:prefLabel "H? chondrite meteorite"@en ; rdfs:label "H? chondrite meteorite"@en ; </v>
      </c>
      <c r="Z122" s="8" t="str">
        <f t="shared" si="48"/>
        <v xml:space="preserve"> skos:notation  "H?"@en ; </v>
      </c>
      <c r="AA122" s="8" t="str">
        <f t="shared" si="36"/>
        <v>dcterms:source "https://www.lpi.usra.edu/meteor/metbullclass.php?sea=H?";</v>
      </c>
      <c r="AB122" s="8" t="str">
        <f t="shared" si="37"/>
        <v xml:space="preserve">skos:broader &lt;etma:1:1:49584:2&gt; ; </v>
      </c>
      <c r="AC122" s="8" t="str">
        <f t="shared" ca="1" si="38"/>
        <v>dcterms:modified "2023-06-20T08:57";  .</v>
      </c>
      <c r="AD122" s="10" t="str">
        <f t="shared" ca="1" si="49"/>
        <v>&lt;etma:1:1:49631:9&gt;  rdf:type skos:Concept ;     dcterms:source "https://www.mindat.org/min-49631.html" ;   skos:definition "An ordinary chondrite that may be from the H chondrite group and for which petrologic type has not been determined."@en ;    skos:inScheme &lt;https://mindat.org/etmat/cscheme&gt; ;    skos:prefLabel "H? chondrite meteorite"@en ; rdfs:label "H? chondrite meteorite"@en ;    skos:notation  "H?"@en ;   dcterms:source "https://www.lpi.usra.edu/meteor/metbullclass.php?sea=H?";  skos:broader &lt;etma:1:1:49584:2&gt; ;   dcterms:modified "2023-06-20T08:57";  .</v>
      </c>
      <c r="AE122" s="8" t="s">
        <v>2591</v>
      </c>
    </row>
    <row r="123" spans="1:31" x14ac:dyDescent="0.25">
      <c r="A123" s="8">
        <v>100</v>
      </c>
      <c r="B123" s="8" t="s">
        <v>513</v>
      </c>
      <c r="C123" s="8">
        <v>49632</v>
      </c>
      <c r="D123" s="8" t="s">
        <v>511</v>
      </c>
      <c r="E123" s="8" t="s">
        <v>512</v>
      </c>
      <c r="F123" s="9">
        <v>2</v>
      </c>
      <c r="G123" s="9" t="s">
        <v>508</v>
      </c>
      <c r="H123" s="1" t="s">
        <v>514</v>
      </c>
      <c r="I123" s="8" t="str">
        <f t="shared" si="41"/>
        <v>https://www.mindat.org/min-49632.html</v>
      </c>
      <c r="J123" s="8">
        <v>49584</v>
      </c>
      <c r="K123" s="8" t="s">
        <v>310</v>
      </c>
      <c r="N123" s="9">
        <v>0</v>
      </c>
      <c r="O123" s="9" t="s">
        <v>2249</v>
      </c>
      <c r="R123" s="8" t="s">
        <v>515</v>
      </c>
      <c r="S123" s="11">
        <f t="shared" ca="1" si="52"/>
        <v>45097.373057291668</v>
      </c>
      <c r="U123" s="8" t="str">
        <f t="shared" si="43"/>
        <v xml:space="preserve">&lt;etma:1:1:49632:8&gt;  rdf:type skos:Concept ;  </v>
      </c>
      <c r="V123" s="8" t="str">
        <f t="shared" si="44"/>
        <v xml:space="preserve"> dcterms:source "https://www.mindat.org/min-49632.html" ; </v>
      </c>
      <c r="W123" s="8" t="str">
        <f t="shared" si="45"/>
        <v xml:space="preserve">skos:definition "An H chondrite that is approximately petrologic type 4."@en ; </v>
      </c>
      <c r="X123" s="8" t="str">
        <f t="shared" si="51"/>
        <v xml:space="preserve"> skos:inScheme &lt;https://mindat.org/etmat/cscheme&gt; ;  </v>
      </c>
      <c r="Y123" s="8" t="str">
        <f t="shared" si="47"/>
        <v xml:space="preserve">skos:prefLabel "H~4 chondrite meteorite"@en ; rdfs:label "H~4 chondrite meteorite"@en ; </v>
      </c>
      <c r="Z123" s="8" t="str">
        <f t="shared" si="48"/>
        <v xml:space="preserve"> skos:notation  "H~4"@en ; </v>
      </c>
      <c r="AA123" s="8" t="str">
        <f t="shared" si="36"/>
        <v>dcterms:source "https://www.lpi.usra.edu/meteor/metbullclass.php?sea=H~4";</v>
      </c>
      <c r="AB123" s="8" t="str">
        <f t="shared" si="37"/>
        <v xml:space="preserve">skos:broader &lt;etma:1:1:49584:2&gt; ; </v>
      </c>
      <c r="AC123" s="8" t="str">
        <f t="shared" ca="1" si="38"/>
        <v>dcterms:modified "2023-06-20T08:57";  .</v>
      </c>
      <c r="AD123" s="10" t="str">
        <f t="shared" ca="1" si="49"/>
        <v>&lt;etma:1:1:49632:8&gt;  rdf:type skos:Concept ;     dcterms:source "https://www.mindat.org/min-49632.html" ;   skos:definition "An H chondrite that is approximately petrologic type 4."@en ;    skos:inScheme &lt;https://mindat.org/etmat/cscheme&gt; ;    skos:prefLabel "H~4 chondrite meteorite"@en ; rdfs:label "H~4 chondrite meteorite"@en ;    skos:notation  "H~4"@en ;   dcterms:source "https://www.lpi.usra.edu/meteor/metbullclass.php?sea=H~4";  skos:broader &lt;etma:1:1:49584:2&gt; ;   dcterms:modified "2023-06-20T08:57";  .</v>
      </c>
      <c r="AE123" s="8" t="s">
        <v>2591</v>
      </c>
    </row>
    <row r="124" spans="1:31" x14ac:dyDescent="0.25">
      <c r="A124" s="8">
        <v>101</v>
      </c>
      <c r="B124" s="8" t="s">
        <v>518</v>
      </c>
      <c r="C124" s="8">
        <v>49633</v>
      </c>
      <c r="D124" s="8" t="s">
        <v>516</v>
      </c>
      <c r="E124" s="8" t="s">
        <v>517</v>
      </c>
      <c r="F124" s="9">
        <v>2</v>
      </c>
      <c r="G124" s="9" t="s">
        <v>508</v>
      </c>
      <c r="H124" s="1" t="s">
        <v>519</v>
      </c>
      <c r="I124" s="8" t="str">
        <f t="shared" si="41"/>
        <v>https://www.mindat.org/min-49633.html</v>
      </c>
      <c r="J124" s="8">
        <v>49584</v>
      </c>
      <c r="K124" s="8" t="s">
        <v>310</v>
      </c>
      <c r="N124" s="9">
        <v>0</v>
      </c>
      <c r="O124" s="9" t="s">
        <v>2249</v>
      </c>
      <c r="R124" s="8" t="s">
        <v>520</v>
      </c>
      <c r="S124" s="11">
        <f t="shared" ca="1" si="52"/>
        <v>45097.373057291668</v>
      </c>
      <c r="U124" s="8" t="str">
        <f t="shared" si="43"/>
        <v xml:space="preserve">&lt;etma:1:1:49633:7&gt;  rdf:type skos:Concept ;  </v>
      </c>
      <c r="V124" s="8" t="str">
        <f t="shared" si="44"/>
        <v xml:space="preserve"> dcterms:source "https://www.mindat.org/min-49633.html" ; </v>
      </c>
      <c r="W124" s="8" t="str">
        <f t="shared" si="45"/>
        <v xml:space="preserve">skos:definition "An H chondrite that is approximately petrologic type 4 or 5."@en ; </v>
      </c>
      <c r="X124" s="8" t="str">
        <f t="shared" si="51"/>
        <v xml:space="preserve"> skos:inScheme &lt;https://mindat.org/etmat/cscheme&gt; ;  </v>
      </c>
      <c r="Y124" s="8" t="str">
        <f t="shared" si="47"/>
        <v xml:space="preserve">skos:prefLabel "H~4/5 chondrite meteorite"@en ; rdfs:label "H~4/5 chondrite meteorite"@en ; </v>
      </c>
      <c r="Z124" s="8" t="str">
        <f t="shared" si="48"/>
        <v xml:space="preserve"> skos:notation  "H~4/5"@en ; </v>
      </c>
      <c r="AA124" s="8" t="str">
        <f t="shared" si="36"/>
        <v>dcterms:source "https://www.lpi.usra.edu/meteor/metbullclass.php?sea=H~4/5";</v>
      </c>
      <c r="AB124" s="8" t="str">
        <f t="shared" si="37"/>
        <v xml:space="preserve">skos:broader &lt;etma:1:1:49584:2&gt; ; </v>
      </c>
      <c r="AC124" s="8" t="str">
        <f t="shared" ca="1" si="38"/>
        <v>dcterms:modified "2023-06-20T08:57";  .</v>
      </c>
      <c r="AD124" s="10" t="str">
        <f t="shared" ca="1" si="49"/>
        <v>&lt;etma:1:1:49633:7&gt;  rdf:type skos:Concept ;     dcterms:source "https://www.mindat.org/min-49633.html" ;   skos:definition "An H chondrite that is approximately petrologic type 4 or 5."@en ;    skos:inScheme &lt;https://mindat.org/etmat/cscheme&gt; ;    skos:prefLabel "H~4/5 chondrite meteorite"@en ; rdfs:label "H~4/5 chondrite meteorite"@en ;    skos:notation  "H~4/5"@en ;   dcterms:source "https://www.lpi.usra.edu/meteor/metbullclass.php?sea=H~4/5";  skos:broader &lt;etma:1:1:49584:2&gt; ;   dcterms:modified "2023-06-20T08:57";  .</v>
      </c>
      <c r="AE124" s="8" t="s">
        <v>2591</v>
      </c>
    </row>
    <row r="125" spans="1:31" x14ac:dyDescent="0.25">
      <c r="A125" s="8">
        <v>102</v>
      </c>
      <c r="B125" s="8" t="s">
        <v>523</v>
      </c>
      <c r="C125" s="8">
        <v>49634</v>
      </c>
      <c r="D125" s="8" t="s">
        <v>521</v>
      </c>
      <c r="E125" s="8" t="s">
        <v>522</v>
      </c>
      <c r="F125" s="9">
        <v>2</v>
      </c>
      <c r="G125" s="9" t="s">
        <v>508</v>
      </c>
      <c r="H125" s="1" t="s">
        <v>524</v>
      </c>
      <c r="I125" s="8" t="str">
        <f t="shared" si="41"/>
        <v>https://www.mindat.org/min-49634.html</v>
      </c>
      <c r="J125" s="8">
        <v>49584</v>
      </c>
      <c r="K125" s="8" t="s">
        <v>310</v>
      </c>
      <c r="N125" s="9">
        <v>0</v>
      </c>
      <c r="O125" s="9" t="s">
        <v>2249</v>
      </c>
      <c r="R125" s="8" t="s">
        <v>525</v>
      </c>
      <c r="S125" s="11">
        <f t="shared" ca="1" si="52"/>
        <v>45097.373057407407</v>
      </c>
      <c r="U125" s="8" t="str">
        <f t="shared" si="43"/>
        <v xml:space="preserve">&lt;etma:1:1:49634:6&gt;  rdf:type skos:Concept ;  </v>
      </c>
      <c r="V125" s="8" t="str">
        <f t="shared" si="44"/>
        <v xml:space="preserve"> dcterms:source "https://www.mindat.org/min-49634.html" ; </v>
      </c>
      <c r="W125" s="8" t="str">
        <f t="shared" si="45"/>
        <v xml:space="preserve">skos:definition "An H chondrite that is approximately petrologic type 5."@en ; </v>
      </c>
      <c r="X125" s="8" t="str">
        <f t="shared" si="51"/>
        <v xml:space="preserve"> skos:inScheme &lt;https://mindat.org/etmat/cscheme&gt; ;  </v>
      </c>
      <c r="Y125" s="8" t="str">
        <f t="shared" si="47"/>
        <v xml:space="preserve">skos:prefLabel "H~5 chondrite meteorite"@en ; rdfs:label "H~5 chondrite meteorite"@en ; </v>
      </c>
      <c r="Z125" s="8" t="str">
        <f t="shared" si="48"/>
        <v xml:space="preserve"> skos:notation  "H~5"@en ; </v>
      </c>
      <c r="AA125" s="8" t="str">
        <f t="shared" si="36"/>
        <v>dcterms:source "https://www.lpi.usra.edu/meteor/metbullclass.php?sea=H~5";</v>
      </c>
      <c r="AB125" s="8" t="str">
        <f t="shared" si="37"/>
        <v xml:space="preserve">skos:broader &lt;etma:1:1:49584:2&gt; ; </v>
      </c>
      <c r="AC125" s="8" t="str">
        <f t="shared" ca="1" si="38"/>
        <v>dcterms:modified "2023-06-20T08:57";  .</v>
      </c>
      <c r="AD125" s="10" t="str">
        <f t="shared" ca="1" si="49"/>
        <v>&lt;etma:1:1:49634:6&gt;  rdf:type skos:Concept ;     dcterms:source "https://www.mindat.org/min-49634.html" ;   skos:definition "An H chondrite that is approximately petrologic type 5."@en ;    skos:inScheme &lt;https://mindat.org/etmat/cscheme&gt; ;    skos:prefLabel "H~5 chondrite meteorite"@en ; rdfs:label "H~5 chondrite meteorite"@en ;    skos:notation  "H~5"@en ;   dcterms:source "https://www.lpi.usra.edu/meteor/metbullclass.php?sea=H~5";  skos:broader &lt;etma:1:1:49584:2&gt; ;   dcterms:modified "2023-06-20T08:57";  .</v>
      </c>
      <c r="AE125" s="8" t="s">
        <v>2591</v>
      </c>
    </row>
    <row r="126" spans="1:31" x14ac:dyDescent="0.25">
      <c r="A126" s="8">
        <v>103</v>
      </c>
      <c r="B126" s="8" t="s">
        <v>528</v>
      </c>
      <c r="C126" s="8">
        <v>49635</v>
      </c>
      <c r="D126" s="8" t="s">
        <v>526</v>
      </c>
      <c r="E126" s="8" t="s">
        <v>527</v>
      </c>
      <c r="F126" s="9">
        <v>2</v>
      </c>
      <c r="G126" s="9" t="s">
        <v>508</v>
      </c>
      <c r="H126" s="1" t="s">
        <v>529</v>
      </c>
      <c r="I126" s="8" t="str">
        <f t="shared" si="41"/>
        <v>https://www.mindat.org/min-49635.html</v>
      </c>
      <c r="J126" s="8">
        <v>49584</v>
      </c>
      <c r="K126" s="8" t="s">
        <v>310</v>
      </c>
      <c r="N126" s="9">
        <v>0</v>
      </c>
      <c r="O126" s="9" t="s">
        <v>2249</v>
      </c>
      <c r="R126" s="8" t="s">
        <v>530</v>
      </c>
      <c r="S126" s="11">
        <f t="shared" ca="1" si="52"/>
        <v>45097.373057291668</v>
      </c>
      <c r="U126" s="8" t="str">
        <f t="shared" si="43"/>
        <v xml:space="preserve">&lt;etma:1:1:49635:5&gt;  rdf:type skos:Concept ;  </v>
      </c>
      <c r="V126" s="8" t="str">
        <f t="shared" si="44"/>
        <v xml:space="preserve"> dcterms:source "https://www.mindat.org/min-49635.html" ; </v>
      </c>
      <c r="W126" s="8" t="str">
        <f t="shared" si="45"/>
        <v xml:space="preserve">skos:definition "An H chondrite that is approximately petrologic type 6."@en ; </v>
      </c>
      <c r="X126" s="8" t="str">
        <f t="shared" si="51"/>
        <v xml:space="preserve"> skos:inScheme &lt;https://mindat.org/etmat/cscheme&gt; ;  </v>
      </c>
      <c r="Y126" s="8" t="str">
        <f t="shared" si="47"/>
        <v xml:space="preserve">skos:prefLabel "H~6 chondrite meteorite"@en ; rdfs:label "H~6 chondrite meteorite"@en ; </v>
      </c>
      <c r="Z126" s="8" t="str">
        <f t="shared" si="48"/>
        <v xml:space="preserve"> skos:notation  "H~6"@en ; </v>
      </c>
      <c r="AA126" s="8" t="str">
        <f t="shared" si="36"/>
        <v>dcterms:source "https://www.lpi.usra.edu/meteor/metbullclass.php?sea=H~6";</v>
      </c>
      <c r="AB126" s="8" t="str">
        <f t="shared" si="37"/>
        <v xml:space="preserve">skos:broader &lt;etma:1:1:49584:2&gt; ; </v>
      </c>
      <c r="AC126" s="8" t="str">
        <f t="shared" ca="1" si="38"/>
        <v>dcterms:modified "2023-06-20T08:57";  .</v>
      </c>
      <c r="AD126" s="10" t="str">
        <f t="shared" ca="1" si="49"/>
        <v>&lt;etma:1:1:49635:5&gt;  rdf:type skos:Concept ;     dcterms:source "https://www.mindat.org/min-49635.html" ;   skos:definition "An H chondrite that is approximately petrologic type 6."@en ;    skos:inScheme &lt;https://mindat.org/etmat/cscheme&gt; ;    skos:prefLabel "H~6 chondrite meteorite"@en ; rdfs:label "H~6 chondrite meteorite"@en ;    skos:notation  "H~6"@en ;   dcterms:source "https://www.lpi.usra.edu/meteor/metbullclass.php?sea=H~6";  skos:broader &lt;etma:1:1:49584:2&gt; ;   dcterms:modified "2023-06-20T08:57";  .</v>
      </c>
      <c r="AE126" s="8" t="s">
        <v>2591</v>
      </c>
    </row>
    <row r="127" spans="1:31" x14ac:dyDescent="0.25">
      <c r="A127" s="8">
        <v>104</v>
      </c>
      <c r="B127" s="8" t="s">
        <v>533</v>
      </c>
      <c r="C127" s="8">
        <v>49636</v>
      </c>
      <c r="D127" s="8" t="s">
        <v>531</v>
      </c>
      <c r="E127" s="8" t="s">
        <v>532</v>
      </c>
      <c r="F127" s="9">
        <v>2</v>
      </c>
      <c r="G127" s="9" t="s">
        <v>508</v>
      </c>
      <c r="H127" s="1" t="s">
        <v>534</v>
      </c>
      <c r="I127" s="8" t="str">
        <f t="shared" si="41"/>
        <v>https://www.mindat.org/min-49636.html</v>
      </c>
      <c r="J127" s="8">
        <v>49584</v>
      </c>
      <c r="K127" s="8" t="s">
        <v>310</v>
      </c>
      <c r="N127" s="9">
        <v>0</v>
      </c>
      <c r="O127" s="9" t="s">
        <v>2249</v>
      </c>
      <c r="R127" s="8" t="s">
        <v>535</v>
      </c>
      <c r="S127" s="11">
        <f t="shared" ca="1" si="52"/>
        <v>45097.373057407407</v>
      </c>
      <c r="U127" s="8" t="str">
        <f t="shared" si="43"/>
        <v xml:space="preserve">&lt;etma:1:1:49636:4&gt;  rdf:type skos:Concept ;  </v>
      </c>
      <c r="V127" s="8" t="str">
        <f t="shared" si="44"/>
        <v xml:space="preserve"> dcterms:source "https://www.mindat.org/min-49636.html" ; </v>
      </c>
      <c r="W127" s="8" t="str">
        <f t="shared" si="45"/>
        <v xml:space="preserve">skos:definition "An H chondrite that is possibly petrologic type 5."@en ; </v>
      </c>
      <c r="X127" s="8" t="str">
        <f t="shared" si="51"/>
        <v xml:space="preserve"> skos:inScheme &lt;https://mindat.org/etmat/cscheme&gt; ;  </v>
      </c>
      <c r="Y127" s="8" t="str">
        <f t="shared" si="47"/>
        <v xml:space="preserve">skos:prefLabel "H(5?) chondrite meteorite"@en ; rdfs:label "H(5?) chondrite meteorite"@en ; </v>
      </c>
      <c r="Z127" s="8" t="str">
        <f t="shared" si="48"/>
        <v xml:space="preserve"> skos:notation  "H(5?)"@en ; </v>
      </c>
      <c r="AA127" s="8" t="str">
        <f t="shared" si="36"/>
        <v>dcterms:source "https://www.lpi.usra.edu/meteor/metbullclass.php?sea=H(5?)";</v>
      </c>
      <c r="AB127" s="8" t="str">
        <f t="shared" si="37"/>
        <v xml:space="preserve">skos:broader &lt;etma:1:1:49584:2&gt; ; </v>
      </c>
      <c r="AC127" s="8" t="str">
        <f t="shared" ca="1" si="38"/>
        <v>dcterms:modified "2023-06-20T08:57";  .</v>
      </c>
      <c r="AD127" s="10" t="str">
        <f t="shared" ca="1" si="49"/>
        <v>&lt;etma:1:1:49636:4&gt;  rdf:type skos:Concept ;     dcterms:source "https://www.mindat.org/min-49636.html" ;   skos:definition "An H chondrite that is possibly petrologic type 5."@en ;    skos:inScheme &lt;https://mindat.org/etmat/cscheme&gt; ;    skos:prefLabel "H(5?) chondrite meteorite"@en ; rdfs:label "H(5?) chondrite meteorite"@en ;    skos:notation  "H(5?)"@en ;   dcterms:source "https://www.lpi.usra.edu/meteor/metbullclass.php?sea=H(5?)";  skos:broader &lt;etma:1:1:49584:2&gt; ;   dcterms:modified "2023-06-20T08:57";  .</v>
      </c>
      <c r="AE127" s="8" t="s">
        <v>2591</v>
      </c>
    </row>
    <row r="128" spans="1:31" x14ac:dyDescent="0.25">
      <c r="A128" s="8">
        <v>105</v>
      </c>
      <c r="B128" s="8" t="s">
        <v>538</v>
      </c>
      <c r="C128" s="8">
        <v>49637</v>
      </c>
      <c r="D128" s="8" t="s">
        <v>536</v>
      </c>
      <c r="E128" s="8" t="s">
        <v>537</v>
      </c>
      <c r="F128" s="9">
        <v>2</v>
      </c>
      <c r="G128" s="9" t="s">
        <v>508</v>
      </c>
      <c r="H128" s="1" t="s">
        <v>539</v>
      </c>
      <c r="I128" s="8" t="str">
        <f t="shared" si="41"/>
        <v>https://www.mindat.org/min-49637.html</v>
      </c>
      <c r="J128" s="8">
        <v>49584</v>
      </c>
      <c r="K128" s="8" t="s">
        <v>310</v>
      </c>
      <c r="N128" s="9">
        <v>0</v>
      </c>
      <c r="O128" s="9" t="s">
        <v>2249</v>
      </c>
      <c r="R128" s="8" t="s">
        <v>540</v>
      </c>
      <c r="S128" s="11">
        <f t="shared" ca="1" si="52"/>
        <v>45097.373057291668</v>
      </c>
      <c r="U128" s="8" t="str">
        <f t="shared" si="43"/>
        <v xml:space="preserve">&lt;etma:1:1:49637:3&gt;  rdf:type skos:Concept ;  </v>
      </c>
      <c r="V128" s="8" t="str">
        <f t="shared" si="44"/>
        <v xml:space="preserve"> dcterms:source "https://www.mindat.org/min-49637.html" ; </v>
      </c>
      <c r="W128" s="8" t="str">
        <f t="shared" si="45"/>
        <v xml:space="preserve">skos:definition "An H chondrite that is a breccia of petrological types 5 to 7."@en ; </v>
      </c>
      <c r="X128" s="8" t="str">
        <f t="shared" si="51"/>
        <v xml:space="preserve"> skos:inScheme &lt;https://mindat.org/etmat/cscheme&gt; ;  </v>
      </c>
      <c r="Y128" s="8" t="str">
        <f t="shared" si="47"/>
        <v xml:space="preserve">skos:prefLabel "H5-7 chondrite meteorite"@en ; rdfs:label "H5-7 chondrite meteorite"@en ; </v>
      </c>
      <c r="Z128" s="8" t="str">
        <f t="shared" si="48"/>
        <v xml:space="preserve"> skos:notation  "H5-7"@en ; </v>
      </c>
      <c r="AA128" s="8" t="str">
        <f t="shared" si="36"/>
        <v>dcterms:source "https://www.lpi.usra.edu/meteor/metbullclass.php?sea=H5-7";</v>
      </c>
      <c r="AB128" s="8" t="str">
        <f t="shared" si="37"/>
        <v xml:space="preserve">skos:broader &lt;etma:1:1:49584:2&gt; ; </v>
      </c>
      <c r="AC128" s="8" t="str">
        <f t="shared" ca="1" si="38"/>
        <v>dcterms:modified "2023-06-20T08:57";  .</v>
      </c>
      <c r="AD128" s="10" t="str">
        <f t="shared" ca="1" si="49"/>
        <v>&lt;etma:1:1:49637:3&gt;  rdf:type skos:Concept ;     dcterms:source "https://www.mindat.org/min-49637.html" ;   skos:definition "An H chondrite that is a breccia of petrological types 5 to 7."@en ;    skos:inScheme &lt;https://mindat.org/etmat/cscheme&gt; ;    skos:prefLabel "H5-7 chondrite meteorite"@en ; rdfs:label "H5-7 chondrite meteorite"@en ;    skos:notation  "H5-7"@en ;   dcterms:source "https://www.lpi.usra.edu/meteor/metbullclass.php?sea=H5-7";  skos:broader &lt;etma:1:1:49584:2&gt; ;   dcterms:modified "2023-06-20T08:57";  .</v>
      </c>
      <c r="AE128" s="8" t="s">
        <v>2591</v>
      </c>
    </row>
    <row r="129" spans="1:31" x14ac:dyDescent="0.25">
      <c r="A129" s="8">
        <v>106</v>
      </c>
      <c r="B129" s="8" t="s">
        <v>543</v>
      </c>
      <c r="C129" s="8">
        <v>49638</v>
      </c>
      <c r="D129" s="8" t="s">
        <v>541</v>
      </c>
      <c r="E129" s="8" t="s">
        <v>542</v>
      </c>
      <c r="F129" s="9">
        <v>2</v>
      </c>
      <c r="G129" s="9" t="s">
        <v>508</v>
      </c>
      <c r="H129" s="1" t="s">
        <v>544</v>
      </c>
      <c r="I129" s="8" t="str">
        <f t="shared" si="41"/>
        <v>https://www.mindat.org/min-49638.html</v>
      </c>
      <c r="J129" s="8">
        <v>49584</v>
      </c>
      <c r="K129" s="8" t="s">
        <v>310</v>
      </c>
      <c r="N129" s="9">
        <v>0</v>
      </c>
      <c r="O129" s="9" t="s">
        <v>2249</v>
      </c>
      <c r="R129" s="8" t="s">
        <v>545</v>
      </c>
      <c r="S129" s="11">
        <f t="shared" ca="1" si="52"/>
        <v>45097.373057291668</v>
      </c>
      <c r="U129" s="8" t="str">
        <f t="shared" si="43"/>
        <v xml:space="preserve">&lt;etma:1:1:49638:2&gt;  rdf:type skos:Concept ;  </v>
      </c>
      <c r="V129" s="8" t="str">
        <f t="shared" si="44"/>
        <v xml:space="preserve"> dcterms:source "https://www.mindat.org/min-49638.html" ; </v>
      </c>
      <c r="W129" s="8" t="str">
        <f t="shared" si="45"/>
        <v xml:space="preserve">skos:definition "An H chondrite or L chondrite that is approximately of petrological type 4."@en ; </v>
      </c>
      <c r="X129" s="8" t="str">
        <f t="shared" si="51"/>
        <v xml:space="preserve"> skos:inScheme &lt;https://mindat.org/etmat/cscheme&gt; ;  </v>
      </c>
      <c r="Y129" s="8" t="str">
        <f t="shared" si="47"/>
        <v xml:space="preserve">skos:prefLabel "H/L~4 chondrite meteorite"@en ; rdfs:label "H/L~4 chondrite meteorite"@en ; </v>
      </c>
      <c r="Z129" s="8" t="str">
        <f t="shared" si="48"/>
        <v xml:space="preserve"> skos:notation  "H/L~4"@en ; </v>
      </c>
      <c r="AA129" s="8" t="str">
        <f t="shared" si="36"/>
        <v>dcterms:source "https://www.lpi.usra.edu/meteor/metbullclass.php?sea=H/L~4";</v>
      </c>
      <c r="AB129" s="8" t="str">
        <f t="shared" si="37"/>
        <v xml:space="preserve">skos:broader &lt;etma:1:1:49584:2&gt; ; </v>
      </c>
      <c r="AC129" s="8" t="str">
        <f t="shared" ca="1" si="38"/>
        <v>dcterms:modified "2023-06-20T08:57";  .</v>
      </c>
      <c r="AD129" s="10" t="str">
        <f t="shared" ca="1" si="49"/>
        <v>&lt;etma:1:1:49638:2&gt;  rdf:type skos:Concept ;     dcterms:source "https://www.mindat.org/min-49638.html" ;   skos:definition "An H chondrite or L chondrite that is approximately of petrological type 4."@en ;    skos:inScheme &lt;https://mindat.org/etmat/cscheme&gt; ;    skos:prefLabel "H/L~4 chondrite meteorite"@en ; rdfs:label "H/L~4 chondrite meteorite"@en ;    skos:notation  "H/L~4"@en ;   dcterms:source "https://www.lpi.usra.edu/meteor/metbullclass.php?sea=H/L~4";  skos:broader &lt;etma:1:1:49584:2&gt; ;   dcterms:modified "2023-06-20T08:57";  .</v>
      </c>
      <c r="AE129" s="8" t="s">
        <v>2591</v>
      </c>
    </row>
    <row r="130" spans="1:31" x14ac:dyDescent="0.25">
      <c r="A130" s="8">
        <v>107</v>
      </c>
      <c r="B130" s="8" t="s">
        <v>548</v>
      </c>
      <c r="C130" s="8">
        <v>49639</v>
      </c>
      <c r="D130" s="8" t="s">
        <v>546</v>
      </c>
      <c r="E130" s="8" t="s">
        <v>547</v>
      </c>
      <c r="F130" s="9">
        <v>2</v>
      </c>
      <c r="G130" s="9" t="s">
        <v>508</v>
      </c>
      <c r="H130" s="1" t="s">
        <v>549</v>
      </c>
      <c r="I130" s="8" t="str">
        <f t="shared" si="41"/>
        <v>https://www.mindat.org/min-49639.html</v>
      </c>
      <c r="J130" s="8">
        <v>49584</v>
      </c>
      <c r="K130" s="8" t="s">
        <v>310</v>
      </c>
      <c r="N130" s="9">
        <v>0</v>
      </c>
      <c r="O130" s="9" t="s">
        <v>2249</v>
      </c>
      <c r="R130" s="8" t="s">
        <v>550</v>
      </c>
      <c r="S130" s="11">
        <f t="shared" ca="1" si="52"/>
        <v>45097.373057291668</v>
      </c>
      <c r="U130" s="8" t="str">
        <f t="shared" si="43"/>
        <v xml:space="preserve">&lt;etma:1:1:49639:1&gt;  rdf:type skos:Concept ;  </v>
      </c>
      <c r="V130" s="8" t="str">
        <f t="shared" si="44"/>
        <v xml:space="preserve"> dcterms:source "https://www.mindat.org/min-49639.html" ; </v>
      </c>
      <c r="W130" s="8" t="str">
        <f t="shared" si="45"/>
        <v xml:space="preserve">skos:definition "An ordinary chondrite that may be of petrologic type 4 and that is possibly an H chondrite."@en ; </v>
      </c>
      <c r="X130" s="8" t="str">
        <f t="shared" si="51"/>
        <v xml:space="preserve"> skos:inScheme &lt;https://mindat.org/etmat/cscheme&gt; ;  </v>
      </c>
      <c r="Y130" s="8" t="str">
        <f t="shared" si="47"/>
        <v xml:space="preserve">skos:prefLabel "H4(?) chondrite meteorite"@en ; rdfs:label "H4(?) chondrite meteorite"@en ; </v>
      </c>
      <c r="Z130" s="8" t="str">
        <f t="shared" si="48"/>
        <v xml:space="preserve"> skos:notation  "H4(?)"@en ; </v>
      </c>
      <c r="AA130" s="8" t="str">
        <f t="shared" si="36"/>
        <v>dcterms:source "https://www.lpi.usra.edu/meteor/metbullclass.php?sea=H4(?)";</v>
      </c>
      <c r="AB130" s="8" t="str">
        <f t="shared" si="37"/>
        <v xml:space="preserve">skos:broader &lt;etma:1:1:49584:2&gt; ; </v>
      </c>
      <c r="AC130" s="8" t="str">
        <f t="shared" ca="1" si="38"/>
        <v>dcterms:modified "2023-06-20T08:57";  .</v>
      </c>
      <c r="AD130" s="10" t="str">
        <f t="shared" ca="1" si="49"/>
        <v>&lt;etma:1:1:49639:1&gt;  rdf:type skos:Concept ;     dcterms:source "https://www.mindat.org/min-49639.html" ;   skos:definition "An ordinary chondrite that may be of petrologic type 4 and that is possibly an H chondrite."@en ;    skos:inScheme &lt;https://mindat.org/etmat/cscheme&gt; ;    skos:prefLabel "H4(?) chondrite meteorite"@en ; rdfs:label "H4(?) chondrite meteorite"@en ;    skos:notation  "H4(?)"@en ;   dcterms:source "https://www.lpi.usra.edu/meteor/metbullclass.php?sea=H4(?)";  skos:broader &lt;etma:1:1:49584:2&gt; ;   dcterms:modified "2023-06-20T08:57";  .</v>
      </c>
      <c r="AE130" s="8" t="s">
        <v>2591</v>
      </c>
    </row>
    <row r="131" spans="1:31" x14ac:dyDescent="0.25">
      <c r="A131" s="8">
        <v>108</v>
      </c>
      <c r="B131" s="8" t="s">
        <v>553</v>
      </c>
      <c r="C131" s="8">
        <v>49640</v>
      </c>
      <c r="D131" s="8" t="s">
        <v>551</v>
      </c>
      <c r="E131" s="8" t="s">
        <v>552</v>
      </c>
      <c r="F131" s="9">
        <v>2</v>
      </c>
      <c r="G131" s="9" t="s">
        <v>508</v>
      </c>
      <c r="H131" s="1" t="s">
        <v>554</v>
      </c>
      <c r="I131" s="8" t="str">
        <f t="shared" si="41"/>
        <v>https://www.mindat.org/min-49640.html</v>
      </c>
      <c r="J131" s="8">
        <v>49584</v>
      </c>
      <c r="K131" s="8" t="s">
        <v>310</v>
      </c>
      <c r="N131" s="9">
        <v>0</v>
      </c>
      <c r="O131" s="9" t="s">
        <v>2249</v>
      </c>
      <c r="R131" s="8" t="s">
        <v>555</v>
      </c>
      <c r="S131" s="11">
        <f t="shared" ca="1" si="52"/>
        <v>45097.373057291668</v>
      </c>
      <c r="U131" s="8" t="str">
        <f t="shared" si="43"/>
        <v xml:space="preserve">&lt;etma:1:1:49640:7&gt;  rdf:type skos:Concept ;  </v>
      </c>
      <c r="V131" s="8" t="str">
        <f t="shared" si="44"/>
        <v xml:space="preserve"> dcterms:source "https://www.mindat.org/min-49640.html" ; </v>
      </c>
      <c r="W131" s="8" t="str">
        <f t="shared" si="45"/>
        <v xml:space="preserve">skos:definition "An ordinary chondrite of petrologic type 4 that is possibly an H chondrite."@en ; </v>
      </c>
      <c r="X131" s="8" t="str">
        <f t="shared" si="51"/>
        <v xml:space="preserve"> skos:inScheme &lt;https://mindat.org/etmat/cscheme&gt; ;  </v>
      </c>
      <c r="Y131" s="8" t="str">
        <f t="shared" si="47"/>
        <v xml:space="preserve">skos:prefLabel "H(?)4 chondrite meteorite"@en ; rdfs:label "H(?)4 chondrite meteorite"@en ; </v>
      </c>
      <c r="Z131" s="8" t="str">
        <f t="shared" si="48"/>
        <v xml:space="preserve"> skos:notation  "H(?)4"@en ; </v>
      </c>
      <c r="AA131" s="8" t="str">
        <f t="shared" ref="AA131:AA194" si="53">IF(NOT(ISBLANK(R131)), "dcterms:source ""https://www.lpi.usra.edu/meteor/metbullclass.php?sea=" &amp; SUBSTITUTE(R131," ","%20") &amp; """;","")</f>
        <v>dcterms:source "https://www.lpi.usra.edu/meteor/metbullclass.php?sea=H(?)4";</v>
      </c>
      <c r="AB131" s="8" t="str">
        <f t="shared" ref="AB131:AB194" si="54">"skos:broader &lt;etma:"&amp;K131&amp;"&gt;" &amp; IF(ISBLANK(M131),"", ", &lt;etma:"&amp;M131&amp;"&gt;") &amp; " ; "</f>
        <v xml:space="preserve">skos:broader &lt;etma:1:1:49584:2&gt; ; </v>
      </c>
      <c r="AC131" s="8" t="str">
        <f t="shared" ref="AC131:AC194" ca="1" si="55">"dcterms:modified """&amp;  TEXT(S131,"YYYY-MM-DDTHH:MM") &amp;""";  ."</f>
        <v>dcterms:modified "2023-06-20T08:57";  .</v>
      </c>
      <c r="AD131" s="10" t="str">
        <f t="shared" ca="1" si="49"/>
        <v>&lt;etma:1:1:49640:7&gt;  rdf:type skos:Concept ;     dcterms:source "https://www.mindat.org/min-49640.html" ;   skos:definition "An ordinary chondrite of petrologic type 4 that is possibly an H chondrite."@en ;    skos:inScheme &lt;https://mindat.org/etmat/cscheme&gt; ;    skos:prefLabel "H(?)4 chondrite meteorite"@en ; rdfs:label "H(?)4 chondrite meteorite"@en ;    skos:notation  "H(?)4"@en ;   dcterms:source "https://www.lpi.usra.edu/meteor/metbullclass.php?sea=H(?)4";  skos:broader &lt;etma:1:1:49584:2&gt; ;   dcterms:modified "2023-06-20T08:57";  .</v>
      </c>
      <c r="AE131" s="8" t="s">
        <v>2591</v>
      </c>
    </row>
    <row r="132" spans="1:31" x14ac:dyDescent="0.25">
      <c r="A132" s="8">
        <v>109</v>
      </c>
      <c r="B132" s="8" t="s">
        <v>558</v>
      </c>
      <c r="C132" s="8">
        <v>49641</v>
      </c>
      <c r="D132" s="8" t="s">
        <v>556</v>
      </c>
      <c r="E132" s="8" t="s">
        <v>557</v>
      </c>
      <c r="F132" s="9">
        <v>2</v>
      </c>
      <c r="G132" s="9" t="s">
        <v>508</v>
      </c>
      <c r="H132" s="1" t="s">
        <v>559</v>
      </c>
      <c r="I132" s="8" t="str">
        <f t="shared" si="41"/>
        <v>https://www.mindat.org/min-49641.html</v>
      </c>
      <c r="J132" s="8">
        <v>49584</v>
      </c>
      <c r="K132" s="8" t="s">
        <v>310</v>
      </c>
      <c r="N132" s="9">
        <v>0</v>
      </c>
      <c r="O132" s="9" t="s">
        <v>2249</v>
      </c>
      <c r="R132" s="8" t="s">
        <v>560</v>
      </c>
      <c r="S132" s="11">
        <f t="shared" ca="1" si="52"/>
        <v>45097.373057291668</v>
      </c>
      <c r="U132" s="8" t="str">
        <f t="shared" si="43"/>
        <v xml:space="preserve">&lt;etma:1:1:49641:6&gt;  rdf:type skos:Concept ;  </v>
      </c>
      <c r="V132" s="8" t="str">
        <f t="shared" si="44"/>
        <v xml:space="preserve"> dcterms:source "https://www.mindat.org/min-49641.html" ; </v>
      </c>
      <c r="W132" s="8" t="str">
        <f t="shared" si="45"/>
        <v xml:space="preserve">skos:definition "An H chondrite that is a breccia of petrological types 3 to 5."@en ; </v>
      </c>
      <c r="X132" s="8" t="str">
        <f t="shared" si="51"/>
        <v xml:space="preserve"> skos:inScheme &lt;https://mindat.org/etmat/cscheme&gt; ;  </v>
      </c>
      <c r="Y132" s="8" t="str">
        <f t="shared" si="47"/>
        <v xml:space="preserve">skos:prefLabel "H3-5 chondrite meteorite"@en ; rdfs:label "H3-5 chondrite meteorite"@en ; </v>
      </c>
      <c r="Z132" s="8" t="str">
        <f t="shared" si="48"/>
        <v xml:space="preserve"> skos:notation  "H3-5"@en ; </v>
      </c>
      <c r="AA132" s="8" t="str">
        <f t="shared" si="53"/>
        <v>dcterms:source "https://www.lpi.usra.edu/meteor/metbullclass.php?sea=H3-5";</v>
      </c>
      <c r="AB132" s="8" t="str">
        <f t="shared" si="54"/>
        <v xml:space="preserve">skos:broader &lt;etma:1:1:49584:2&gt; ; </v>
      </c>
      <c r="AC132" s="8" t="str">
        <f t="shared" ca="1" si="55"/>
        <v>dcterms:modified "2023-06-20T08:57";  .</v>
      </c>
      <c r="AD132" s="10" t="str">
        <f t="shared" ca="1" si="49"/>
        <v>&lt;etma:1:1:49641:6&gt;  rdf:type skos:Concept ;     dcterms:source "https://www.mindat.org/min-49641.html" ;   skos:definition "An H chondrite that is a breccia of petrological types 3 to 5."@en ;    skos:inScheme &lt;https://mindat.org/etmat/cscheme&gt; ;    skos:prefLabel "H3-5 chondrite meteorite"@en ; rdfs:label "H3-5 chondrite meteorite"@en ;    skos:notation  "H3-5"@en ;   dcterms:source "https://www.lpi.usra.edu/meteor/metbullclass.php?sea=H3-5";  skos:broader &lt;etma:1:1:49584:2&gt; ;   dcterms:modified "2023-06-20T08:57";  .</v>
      </c>
      <c r="AE132" s="8" t="s">
        <v>2591</v>
      </c>
    </row>
    <row r="133" spans="1:31" x14ac:dyDescent="0.25">
      <c r="A133" s="8">
        <v>110</v>
      </c>
      <c r="B133" s="8" t="s">
        <v>563</v>
      </c>
      <c r="C133" s="8">
        <v>49642</v>
      </c>
      <c r="D133" s="8" t="s">
        <v>561</v>
      </c>
      <c r="E133" s="8" t="s">
        <v>562</v>
      </c>
      <c r="F133" s="9">
        <v>2</v>
      </c>
      <c r="G133" s="9" t="s">
        <v>508</v>
      </c>
      <c r="H133" s="1" t="s">
        <v>564</v>
      </c>
      <c r="I133" s="8" t="str">
        <f t="shared" si="41"/>
        <v>https://www.mindat.org/min-49642.html</v>
      </c>
      <c r="J133" s="8">
        <v>49584</v>
      </c>
      <c r="K133" s="8" t="s">
        <v>310</v>
      </c>
      <c r="N133" s="9">
        <v>0</v>
      </c>
      <c r="O133" s="9" t="s">
        <v>2249</v>
      </c>
      <c r="R133" s="8" t="s">
        <v>565</v>
      </c>
      <c r="S133" s="11">
        <f t="shared" ca="1" si="52"/>
        <v>45097.373057407407</v>
      </c>
      <c r="U133" s="8" t="str">
        <f t="shared" si="43"/>
        <v xml:space="preserve">&lt;etma:1:1:49642:5&gt;  rdf:type skos:Concept ;  </v>
      </c>
      <c r="V133" s="8" t="str">
        <f t="shared" si="44"/>
        <v xml:space="preserve"> dcterms:source "https://www.mindat.org/min-49642.html" ; </v>
      </c>
      <c r="W133" s="8" t="str">
        <f t="shared" si="45"/>
        <v xml:space="preserve">skos:definition "An H chondrite that is a breccia of petrological types 3 to 6."@en ; </v>
      </c>
      <c r="X133" s="8" t="str">
        <f t="shared" si="51"/>
        <v xml:space="preserve"> skos:inScheme &lt;https://mindat.org/etmat/cscheme&gt; ;  </v>
      </c>
      <c r="Y133" s="8" t="str">
        <f t="shared" si="47"/>
        <v xml:space="preserve">skos:prefLabel "H3-6 chondrite meteorite"@en ; rdfs:label "H3-6 chondrite meteorite"@en ; </v>
      </c>
      <c r="Z133" s="8" t="str">
        <f t="shared" si="48"/>
        <v xml:space="preserve"> skos:notation  "H3-6"@en ; </v>
      </c>
      <c r="AA133" s="8" t="str">
        <f t="shared" si="53"/>
        <v>dcterms:source "https://www.lpi.usra.edu/meteor/metbullclass.php?sea=H3-6";</v>
      </c>
      <c r="AB133" s="8" t="str">
        <f t="shared" si="54"/>
        <v xml:space="preserve">skos:broader &lt;etma:1:1:49584:2&gt; ; </v>
      </c>
      <c r="AC133" s="8" t="str">
        <f t="shared" ca="1" si="55"/>
        <v>dcterms:modified "2023-06-20T08:57";  .</v>
      </c>
      <c r="AD133" s="10" t="str">
        <f t="shared" ca="1" si="49"/>
        <v>&lt;etma:1:1:49642:5&gt;  rdf:type skos:Concept ;     dcterms:source "https://www.mindat.org/min-49642.html" ;   skos:definition "An H chondrite that is a breccia of petrological types 3 to 6."@en ;    skos:inScheme &lt;https://mindat.org/etmat/cscheme&gt; ;    skos:prefLabel "H3-6 chondrite meteorite"@en ; rdfs:label "H3-6 chondrite meteorite"@en ;    skos:notation  "H3-6"@en ;   dcterms:source "https://www.lpi.usra.edu/meteor/metbullclass.php?sea=H3-6";  skos:broader &lt;etma:1:1:49584:2&gt; ;   dcterms:modified "2023-06-20T08:57";  .</v>
      </c>
      <c r="AE133" s="8" t="s">
        <v>2591</v>
      </c>
    </row>
    <row r="134" spans="1:31" x14ac:dyDescent="0.25">
      <c r="A134" s="8">
        <v>111</v>
      </c>
      <c r="B134" s="8" t="s">
        <v>568</v>
      </c>
      <c r="C134" s="8">
        <v>49643</v>
      </c>
      <c r="D134" s="8" t="s">
        <v>566</v>
      </c>
      <c r="E134" s="8" t="s">
        <v>567</v>
      </c>
      <c r="F134" s="9">
        <v>2</v>
      </c>
      <c r="G134" s="9" t="s">
        <v>508</v>
      </c>
      <c r="H134" s="1" t="s">
        <v>569</v>
      </c>
      <c r="I134" s="8" t="str">
        <f t="shared" si="41"/>
        <v>https://www.mindat.org/min-49643.html</v>
      </c>
      <c r="J134" s="8">
        <v>49584</v>
      </c>
      <c r="K134" s="8" t="s">
        <v>310</v>
      </c>
      <c r="N134" s="9">
        <v>0</v>
      </c>
      <c r="O134" s="9" t="s">
        <v>2249</v>
      </c>
      <c r="R134" s="8" t="s">
        <v>570</v>
      </c>
      <c r="S134" s="11">
        <f t="shared" ca="1" si="52"/>
        <v>45097.373057291668</v>
      </c>
      <c r="U134" s="8" t="str">
        <f t="shared" si="43"/>
        <v xml:space="preserve">&lt;etma:1:1:49643:4&gt;  rdf:type skos:Concept ;  </v>
      </c>
      <c r="V134" s="8" t="str">
        <f t="shared" si="44"/>
        <v xml:space="preserve"> dcterms:source "https://www.mindat.org/min-49643.html" ; </v>
      </c>
      <c r="W134" s="8" t="str">
        <f t="shared" si="45"/>
        <v xml:space="preserve">skos:definition "An H chondrite that is a breccia of petrological types 3.2 to 6."@en ; </v>
      </c>
      <c r="X134" s="8" t="str">
        <f t="shared" si="51"/>
        <v xml:space="preserve"> skos:inScheme &lt;https://mindat.org/etmat/cscheme&gt; ;  </v>
      </c>
      <c r="Y134" s="8" t="str">
        <f t="shared" si="47"/>
        <v xml:space="preserve">skos:prefLabel "H3.2-6 chondrite meteorite"@en ; rdfs:label "H3.2-6 chondrite meteorite"@en ; </v>
      </c>
      <c r="Z134" s="8" t="str">
        <f t="shared" si="48"/>
        <v xml:space="preserve"> skos:notation  "H3.2-6"@en ; </v>
      </c>
      <c r="AA134" s="8" t="str">
        <f t="shared" si="53"/>
        <v>dcterms:source "https://www.lpi.usra.edu/meteor/metbullclass.php?sea=H3.2-6";</v>
      </c>
      <c r="AB134" s="8" t="str">
        <f t="shared" si="54"/>
        <v xml:space="preserve">skos:broader &lt;etma:1:1:49584:2&gt; ; </v>
      </c>
      <c r="AC134" s="8" t="str">
        <f t="shared" ca="1" si="55"/>
        <v>dcterms:modified "2023-06-20T08:57";  .</v>
      </c>
      <c r="AD134" s="10" t="str">
        <f t="shared" ca="1" si="49"/>
        <v>&lt;etma:1:1:49643:4&gt;  rdf:type skos:Concept ;     dcterms:source "https://www.mindat.org/min-49643.html" ;   skos:definition "An H chondrite that is a breccia of petrological types 3.2 to 6."@en ;    skos:inScheme &lt;https://mindat.org/etmat/cscheme&gt; ;    skos:prefLabel "H3.2-6 chondrite meteorite"@en ; rdfs:label "H3.2-6 chondrite meteorite"@en ;    skos:notation  "H3.2-6"@en ;   dcterms:source "https://www.lpi.usra.edu/meteor/metbullclass.php?sea=H3.2-6";  skos:broader &lt;etma:1:1:49584:2&gt; ;   dcterms:modified "2023-06-20T08:57";  .</v>
      </c>
      <c r="AE134" s="8" t="s">
        <v>2591</v>
      </c>
    </row>
    <row r="135" spans="1:31" x14ac:dyDescent="0.25">
      <c r="A135" s="8">
        <v>112</v>
      </c>
      <c r="B135" s="8" t="s">
        <v>573</v>
      </c>
      <c r="C135" s="8">
        <v>49644</v>
      </c>
      <c r="D135" s="8" t="s">
        <v>571</v>
      </c>
      <c r="E135" s="8" t="s">
        <v>572</v>
      </c>
      <c r="F135" s="9">
        <v>2</v>
      </c>
      <c r="G135" s="9" t="s">
        <v>508</v>
      </c>
      <c r="H135" s="1" t="s">
        <v>574</v>
      </c>
      <c r="I135" s="8" t="str">
        <f t="shared" si="41"/>
        <v>https://www.mindat.org/min-49644.html</v>
      </c>
      <c r="J135" s="8">
        <v>49584</v>
      </c>
      <c r="K135" s="8" t="s">
        <v>310</v>
      </c>
      <c r="N135" s="9">
        <v>0</v>
      </c>
      <c r="O135" s="9" t="s">
        <v>2249</v>
      </c>
      <c r="R135" s="8" t="s">
        <v>575</v>
      </c>
      <c r="S135" s="11">
        <f t="shared" ca="1" si="52"/>
        <v>45097.373057407407</v>
      </c>
      <c r="U135" s="8" t="str">
        <f t="shared" si="43"/>
        <v xml:space="preserve">&lt;etma:1:1:49644:3&gt;  rdf:type skos:Concept ;  </v>
      </c>
      <c r="V135" s="8" t="str">
        <f t="shared" si="44"/>
        <v xml:space="preserve"> dcterms:source "https://www.mindat.org/min-49644.html" ; </v>
      </c>
      <c r="W135" s="8" t="str">
        <f t="shared" si="45"/>
        <v xml:space="preserve">skos:definition "An H chondrite that is a breccia of petrological types 3.9 to 5."@en ; </v>
      </c>
      <c r="X135" s="8" t="str">
        <f t="shared" si="51"/>
        <v xml:space="preserve"> skos:inScheme &lt;https://mindat.org/etmat/cscheme&gt; ;  </v>
      </c>
      <c r="Y135" s="8" t="str">
        <f t="shared" si="47"/>
        <v xml:space="preserve">skos:prefLabel "H3.9-5 chondrite meteorite"@en ; rdfs:label "H3.9-5 chondrite meteorite"@en ; </v>
      </c>
      <c r="Z135" s="8" t="str">
        <f t="shared" si="48"/>
        <v xml:space="preserve"> skos:notation  "H3.9-5"@en ; </v>
      </c>
      <c r="AA135" s="8" t="str">
        <f t="shared" si="53"/>
        <v>dcterms:source "https://www.lpi.usra.edu/meteor/metbullclass.php?sea=H3.9-5";</v>
      </c>
      <c r="AB135" s="8" t="str">
        <f t="shared" si="54"/>
        <v xml:space="preserve">skos:broader &lt;etma:1:1:49584:2&gt; ; </v>
      </c>
      <c r="AC135" s="8" t="str">
        <f t="shared" ca="1" si="55"/>
        <v>dcterms:modified "2023-06-20T08:57";  .</v>
      </c>
      <c r="AD135" s="10" t="str">
        <f t="shared" ca="1" si="49"/>
        <v>&lt;etma:1:1:49644:3&gt;  rdf:type skos:Concept ;     dcterms:source "https://www.mindat.org/min-49644.html" ;   skos:definition "An H chondrite that is a breccia of petrological types 3.9 to 5."@en ;    skos:inScheme &lt;https://mindat.org/etmat/cscheme&gt; ;    skos:prefLabel "H3.9-5 chondrite meteorite"@en ; rdfs:label "H3.9-5 chondrite meteorite"@en ;    skos:notation  "H3.9-5"@en ;   dcterms:source "https://www.lpi.usra.edu/meteor/metbullclass.php?sea=H3.9-5";  skos:broader &lt;etma:1:1:49584:2&gt; ;   dcterms:modified "2023-06-20T08:57";  .</v>
      </c>
      <c r="AE135" s="8" t="s">
        <v>2591</v>
      </c>
    </row>
    <row r="136" spans="1:31" x14ac:dyDescent="0.25">
      <c r="A136" s="8">
        <v>113</v>
      </c>
      <c r="B136" s="8" t="s">
        <v>578</v>
      </c>
      <c r="C136" s="8">
        <v>49645</v>
      </c>
      <c r="D136" s="8" t="s">
        <v>576</v>
      </c>
      <c r="E136" s="8" t="s">
        <v>577</v>
      </c>
      <c r="F136" s="9">
        <v>2</v>
      </c>
      <c r="G136" s="9" t="s">
        <v>508</v>
      </c>
      <c r="H136" s="1" t="s">
        <v>559</v>
      </c>
      <c r="I136" s="8" t="str">
        <f t="shared" si="41"/>
        <v>https://www.mindat.org/min-49645.html</v>
      </c>
      <c r="J136" s="8">
        <v>49584</v>
      </c>
      <c r="K136" s="8" t="s">
        <v>310</v>
      </c>
      <c r="N136" s="9">
        <v>0</v>
      </c>
      <c r="O136" s="9" t="s">
        <v>2249</v>
      </c>
      <c r="R136" s="8" t="s">
        <v>579</v>
      </c>
      <c r="S136" s="11">
        <f t="shared" ca="1" si="52"/>
        <v>45097.373057291668</v>
      </c>
      <c r="U136" s="8" t="str">
        <f t="shared" si="43"/>
        <v xml:space="preserve">&lt;etma:1:1:49645:2&gt;  rdf:type skos:Concept ;  </v>
      </c>
      <c r="V136" s="8" t="str">
        <f t="shared" si="44"/>
        <v xml:space="preserve"> dcterms:source "https://www.mindat.org/min-49645.html" ; </v>
      </c>
      <c r="W136" s="8" t="str">
        <f t="shared" si="45"/>
        <v xml:space="preserve">skos:definition "An H chondrite that is a breccia of petrological types 3 to 5."@en ; </v>
      </c>
      <c r="X136" s="8" t="str">
        <f t="shared" si="51"/>
        <v xml:space="preserve"> skos:inScheme &lt;https://mindat.org/etmat/cscheme&gt; ;  </v>
      </c>
      <c r="Y136" s="8" t="str">
        <f t="shared" si="47"/>
        <v xml:space="preserve">skos:prefLabel "H3.9-6 chondrite meteorite"@en ; rdfs:label "H3.9-6 chondrite meteorite"@en ; </v>
      </c>
      <c r="Z136" s="8" t="str">
        <f t="shared" si="48"/>
        <v xml:space="preserve"> skos:notation  "H3.9-6"@en ; </v>
      </c>
      <c r="AA136" s="8" t="str">
        <f t="shared" si="53"/>
        <v>dcterms:source "https://www.lpi.usra.edu/meteor/metbullclass.php?sea=H3.9-6";</v>
      </c>
      <c r="AB136" s="8" t="str">
        <f t="shared" si="54"/>
        <v xml:space="preserve">skos:broader &lt;etma:1:1:49584:2&gt; ; </v>
      </c>
      <c r="AC136" s="8" t="str">
        <f t="shared" ca="1" si="55"/>
        <v>dcterms:modified "2023-06-20T08:57";  .</v>
      </c>
      <c r="AD136" s="10" t="str">
        <f t="shared" ca="1" si="49"/>
        <v>&lt;etma:1:1:49645:2&gt;  rdf:type skos:Concept ;     dcterms:source "https://www.mindat.org/min-49645.html" ;   skos:definition "An H chondrite that is a breccia of petrological types 3 to 5."@en ;    skos:inScheme &lt;https://mindat.org/etmat/cscheme&gt; ;    skos:prefLabel "H3.9-6 chondrite meteorite"@en ; rdfs:label "H3.9-6 chondrite meteorite"@en ;    skos:notation  "H3.9-6"@en ;   dcterms:source "https://www.lpi.usra.edu/meteor/metbullclass.php?sea=H3.9-6";  skos:broader &lt;etma:1:1:49584:2&gt; ;   dcterms:modified "2023-06-20T08:57";  .</v>
      </c>
      <c r="AE136" s="8" t="s">
        <v>2591</v>
      </c>
    </row>
    <row r="137" spans="1:31" x14ac:dyDescent="0.25">
      <c r="A137" s="8">
        <v>114</v>
      </c>
      <c r="B137" s="8" t="s">
        <v>582</v>
      </c>
      <c r="C137" s="8">
        <v>49646</v>
      </c>
      <c r="D137" s="8" t="s">
        <v>580</v>
      </c>
      <c r="E137" s="8" t="s">
        <v>581</v>
      </c>
      <c r="F137" s="9">
        <v>2</v>
      </c>
      <c r="G137" s="9" t="s">
        <v>508</v>
      </c>
      <c r="H137" s="1" t="s">
        <v>583</v>
      </c>
      <c r="I137" s="8" t="str">
        <f t="shared" si="41"/>
        <v>https://www.mindat.org/min-49646.html</v>
      </c>
      <c r="J137" s="8">
        <v>49584</v>
      </c>
      <c r="K137" s="8" t="s">
        <v>310</v>
      </c>
      <c r="N137" s="9">
        <v>0</v>
      </c>
      <c r="O137" s="9" t="s">
        <v>2249</v>
      </c>
      <c r="R137" s="8" t="s">
        <v>584</v>
      </c>
      <c r="S137" s="11">
        <f t="shared" ca="1" si="52"/>
        <v>45097.373057291668</v>
      </c>
      <c r="U137" s="8" t="str">
        <f t="shared" si="43"/>
        <v xml:space="preserve">&lt;etma:1:1:49646:1&gt;  rdf:type skos:Concept ;  </v>
      </c>
      <c r="V137" s="8" t="str">
        <f t="shared" si="44"/>
        <v xml:space="preserve"> dcterms:source "https://www.mindat.org/min-49646.html" ; </v>
      </c>
      <c r="W137" s="8" t="str">
        <f t="shared" si="45"/>
        <v xml:space="preserve">skos:definition "An H chondrite that is a breccia of petrological types 4 to 6."@en ; </v>
      </c>
      <c r="X137" s="8" t="str">
        <f t="shared" si="51"/>
        <v xml:space="preserve"> skos:inScheme &lt;https://mindat.org/etmat/cscheme&gt; ;  </v>
      </c>
      <c r="Y137" s="8" t="str">
        <f t="shared" si="47"/>
        <v xml:space="preserve">skos:prefLabel "H4-6 chondrite meteorite"@en ; rdfs:label "H4-6 chondrite meteorite"@en ; </v>
      </c>
      <c r="Z137" s="8" t="str">
        <f t="shared" si="48"/>
        <v xml:space="preserve"> skos:notation  "H4-6"@en ; </v>
      </c>
      <c r="AA137" s="8" t="str">
        <f t="shared" si="53"/>
        <v>dcterms:source "https://www.lpi.usra.edu/meteor/metbullclass.php?sea=H4-6";</v>
      </c>
      <c r="AB137" s="8" t="str">
        <f t="shared" si="54"/>
        <v xml:space="preserve">skos:broader &lt;etma:1:1:49584:2&gt; ; </v>
      </c>
      <c r="AC137" s="8" t="str">
        <f t="shared" ca="1" si="55"/>
        <v>dcterms:modified "2023-06-20T08:57";  .</v>
      </c>
      <c r="AD137" s="10" t="str">
        <f t="shared" ca="1" si="49"/>
        <v>&lt;etma:1:1:49646:1&gt;  rdf:type skos:Concept ;     dcterms:source "https://www.mindat.org/min-49646.html" ;   skos:definition "An H chondrite that is a breccia of petrological types 4 to 6."@en ;    skos:inScheme &lt;https://mindat.org/etmat/cscheme&gt; ;    skos:prefLabel "H4-6 chondrite meteorite"@en ; rdfs:label "H4-6 chondrite meteorite"@en ;    skos:notation  "H4-6"@en ;   dcterms:source "https://www.lpi.usra.edu/meteor/metbullclass.php?sea=H4-6";  skos:broader &lt;etma:1:1:49584:2&gt; ;   dcterms:modified "2023-06-20T08:57";  .</v>
      </c>
      <c r="AE137" s="8" t="s">
        <v>2591</v>
      </c>
    </row>
    <row r="138" spans="1:31" x14ac:dyDescent="0.25">
      <c r="A138" s="8">
        <v>115</v>
      </c>
      <c r="B138" s="8" t="s">
        <v>587</v>
      </c>
      <c r="C138" s="8">
        <v>49647</v>
      </c>
      <c r="D138" s="8" t="s">
        <v>585</v>
      </c>
      <c r="E138" s="8" t="s">
        <v>586</v>
      </c>
      <c r="F138" s="9">
        <v>2</v>
      </c>
      <c r="G138" s="9" t="s">
        <v>508</v>
      </c>
      <c r="H138" s="1" t="s">
        <v>588</v>
      </c>
      <c r="I138" s="8" t="str">
        <f t="shared" si="41"/>
        <v>https://www.mindat.org/min-49647.html</v>
      </c>
      <c r="J138" s="8">
        <v>49584</v>
      </c>
      <c r="K138" s="8" t="s">
        <v>310</v>
      </c>
      <c r="N138" s="9">
        <v>0</v>
      </c>
      <c r="O138" s="9" t="s">
        <v>2249</v>
      </c>
      <c r="R138" s="8" t="s">
        <v>589</v>
      </c>
      <c r="S138" s="11">
        <f t="shared" ca="1" si="52"/>
        <v>45097.373057291668</v>
      </c>
      <c r="U138" s="8" t="str">
        <f t="shared" si="43"/>
        <v xml:space="preserve">&lt;etma:1:1:49647:0&gt;  rdf:type skos:Concept ;  </v>
      </c>
      <c r="V138" s="8" t="str">
        <f t="shared" si="44"/>
        <v xml:space="preserve"> dcterms:source "https://www.mindat.org/min-49647.html" ; </v>
      </c>
      <c r="W138" s="8" t="str">
        <f t="shared" si="45"/>
        <v xml:space="preserve">skos:definition "An H chondrite that is petrological type 4, 5 or 6."@en ; </v>
      </c>
      <c r="X138" s="8" t="str">
        <f t="shared" si="51"/>
        <v xml:space="preserve"> skos:inScheme &lt;https://mindat.org/etmat/cscheme&gt; ;  </v>
      </c>
      <c r="Y138" s="8" t="str">
        <f t="shared" si="47"/>
        <v xml:space="preserve">skos:prefLabel "H4/6 chondrite meteorite"@en ; rdfs:label "H4/6 chondrite meteorite"@en ; </v>
      </c>
      <c r="Z138" s="8" t="str">
        <f t="shared" si="48"/>
        <v xml:space="preserve"> skos:notation  "H4/6"@en ; </v>
      </c>
      <c r="AA138" s="8" t="str">
        <f t="shared" si="53"/>
        <v>dcterms:source "https://www.lpi.usra.edu/meteor/metbullclass.php?sea=H4/6";</v>
      </c>
      <c r="AB138" s="8" t="str">
        <f t="shared" si="54"/>
        <v xml:space="preserve">skos:broader &lt;etma:1:1:49584:2&gt; ; </v>
      </c>
      <c r="AC138" s="8" t="str">
        <f t="shared" ca="1" si="55"/>
        <v>dcterms:modified "2023-06-20T08:57";  .</v>
      </c>
      <c r="AD138" s="10" t="str">
        <f t="shared" ca="1" si="49"/>
        <v>&lt;etma:1:1:49647:0&gt;  rdf:type skos:Concept ;     dcterms:source "https://www.mindat.org/min-49647.html" ;   skos:definition "An H chondrite that is petrological type 4, 5 or 6."@en ;    skos:inScheme &lt;https://mindat.org/etmat/cscheme&gt; ;    skos:prefLabel "H4/6 chondrite meteorite"@en ; rdfs:label "H4/6 chondrite meteorite"@en ;    skos:notation  "H4/6"@en ;   dcterms:source "https://www.lpi.usra.edu/meteor/metbullclass.php?sea=H4/6";  skos:broader &lt;etma:1:1:49584:2&gt; ;   dcterms:modified "2023-06-20T08:57";  .</v>
      </c>
      <c r="AE138" s="8" t="s">
        <v>2591</v>
      </c>
    </row>
    <row r="139" spans="1:31" x14ac:dyDescent="0.25">
      <c r="A139" s="8">
        <v>116</v>
      </c>
      <c r="B139" s="8" t="s">
        <v>592</v>
      </c>
      <c r="C139" s="8">
        <v>49648</v>
      </c>
      <c r="D139" s="8" t="s">
        <v>590</v>
      </c>
      <c r="E139" s="8" t="s">
        <v>591</v>
      </c>
      <c r="F139" s="9">
        <v>7</v>
      </c>
      <c r="G139" s="9" t="s">
        <v>14</v>
      </c>
      <c r="H139" s="1" t="s">
        <v>2560</v>
      </c>
      <c r="I139" s="8" t="str">
        <f t="shared" si="41"/>
        <v>https://www.mindat.org/min-49648.html</v>
      </c>
      <c r="J139" s="8">
        <v>49581</v>
      </c>
      <c r="K139" s="8" t="s">
        <v>305</v>
      </c>
      <c r="N139" s="9">
        <v>1</v>
      </c>
      <c r="O139" s="9" t="s">
        <v>2249</v>
      </c>
      <c r="R139" s="8" t="s">
        <v>594</v>
      </c>
      <c r="S139" s="11">
        <v>42920.940879629627</v>
      </c>
      <c r="U139" s="8" t="str">
        <f t="shared" si="43"/>
        <v xml:space="preserve">&lt;etma:1:1:49648:9&gt;  rdf:type skos:Concept ;  </v>
      </c>
      <c r="V139" s="8" t="str">
        <f t="shared" si="44"/>
        <v xml:space="preserve"> dcterms:source "https://www.mindat.org/min-49648.html" ; </v>
      </c>
      <c r="W139" s="8" t="str">
        <f t="shared" si="45"/>
        <v xml:space="preserve">skos:definition "The low-iron (L) chemical group of ordinary chondrites, distinguished by their relatively low siderophile element content, moderate sized chondrules (~0.7 mm), and oxygen isotope compositions that intermediate between H chondrites and LL chondrites.  Parent body is possibly 433 Eros, 8 Flora or the Flora family as a whole"@en ; </v>
      </c>
      <c r="X139" s="8" t="str">
        <f t="shared" si="51"/>
        <v xml:space="preserve"> skos:inScheme &lt;https://mindat.org/etmat/cscheme&gt; ;  </v>
      </c>
      <c r="Y139" s="8" t="str">
        <f t="shared" si="47"/>
        <v xml:space="preserve">skos:prefLabel "L chondrite meteorite"@en ; rdfs:label "L chondrite meteorite"@en ; </v>
      </c>
      <c r="Z139" s="8" t="str">
        <f t="shared" si="48"/>
        <v xml:space="preserve"> skos:notation  "L"@en ; </v>
      </c>
      <c r="AA139" s="8" t="str">
        <f t="shared" si="53"/>
        <v>dcterms:source "https://www.lpi.usra.edu/meteor/metbullclass.php?sea=L";</v>
      </c>
      <c r="AB139" s="8" t="str">
        <f t="shared" si="54"/>
        <v xml:space="preserve">skos:broader &lt;etma:1:1:49581:5&gt; ; </v>
      </c>
      <c r="AC139" s="8" t="str">
        <f t="shared" si="55"/>
        <v>dcterms:modified "2017-07-04T22:34";  .</v>
      </c>
      <c r="AD139" s="10" t="str">
        <f t="shared" si="49"/>
        <v>&lt;etma:1:1:49648:9&gt;  rdf:type skos:Concept ;     dcterms:source "https://www.mindat.org/min-49648.html" ;   skos:definition "The low-iron (L) chemical group of ordinary chondrites, distinguished by their relatively low siderophile element content, moderate sized chondrules (~0.7 mm), and oxygen isotope compositions that intermediate between H chondrites and LL chondrites.  Parent body is possibly 433 Eros, 8 Flora or the Flora family as a whole"@en ;    skos:inScheme &lt;https://mindat.org/etmat/cscheme&gt; ;    skos:prefLabel "L chondrite meteorite"@en ; rdfs:label "L chondrite meteorite"@en ;    skos:notation  "L"@en ;   dcterms:source "https://www.lpi.usra.edu/meteor/metbullclass.php?sea=L";  skos:broader &lt;etma:1:1:49581:5&gt; ;   dcterms:modified "2017-07-04T22:34";  .</v>
      </c>
      <c r="AE139" s="8" t="s">
        <v>2591</v>
      </c>
    </row>
    <row r="140" spans="1:31" x14ac:dyDescent="0.25">
      <c r="A140" s="8">
        <v>117</v>
      </c>
      <c r="B140" s="8" t="s">
        <v>597</v>
      </c>
      <c r="C140" s="8">
        <v>49649</v>
      </c>
      <c r="D140" s="8" t="s">
        <v>595</v>
      </c>
      <c r="E140" s="8" t="s">
        <v>596</v>
      </c>
      <c r="F140" s="9">
        <v>7</v>
      </c>
      <c r="G140" s="9" t="s">
        <v>14</v>
      </c>
      <c r="H140" s="1" t="s">
        <v>598</v>
      </c>
      <c r="I140" s="8" t="str">
        <f t="shared" si="41"/>
        <v>https://www.mindat.org/min-49649.html</v>
      </c>
      <c r="J140" s="8">
        <v>49648</v>
      </c>
      <c r="K140" s="8" t="s">
        <v>590</v>
      </c>
      <c r="L140" s="9">
        <v>49842</v>
      </c>
      <c r="M140" s="8" t="s">
        <v>2400</v>
      </c>
      <c r="N140" s="9">
        <v>1</v>
      </c>
      <c r="O140" s="9" t="s">
        <v>2249</v>
      </c>
      <c r="R140" s="8" t="s">
        <v>599</v>
      </c>
      <c r="S140" s="11">
        <f ca="1">NOW()</f>
        <v>45097.373057291668</v>
      </c>
      <c r="U140" s="8" t="str">
        <f t="shared" si="43"/>
        <v xml:space="preserve">&lt;etma:1:1:49649:8&gt;  rdf:type skos:Concept ;  </v>
      </c>
      <c r="V140" s="8" t="str">
        <f t="shared" si="44"/>
        <v xml:space="preserve"> dcterms:source "https://www.mindat.org/min-49649.html" ; </v>
      </c>
      <c r="W140" s="8" t="str">
        <f t="shared" si="45"/>
        <v xml:space="preserve">skos:definition "An L chondrite that is of petrologic type 3."@en ; </v>
      </c>
      <c r="X140" s="8" t="str">
        <f t="shared" si="51"/>
        <v xml:space="preserve"> skos:inScheme &lt;https://mindat.org/etmat/cscheme&gt; ;  </v>
      </c>
      <c r="Y140" s="8" t="str">
        <f t="shared" si="47"/>
        <v xml:space="preserve">skos:prefLabel "L3 chondrite meteorite"@en ; rdfs:label "L3 chondrite meteorite"@en ; </v>
      </c>
      <c r="Z140" s="8" t="str">
        <f t="shared" si="48"/>
        <v xml:space="preserve"> skos:notation  "L3"@en ; </v>
      </c>
      <c r="AA140" s="8" t="str">
        <f t="shared" si="53"/>
        <v>dcterms:source "https://www.lpi.usra.edu/meteor/metbullclass.php?sea=L3";</v>
      </c>
      <c r="AB140" s="8" t="str">
        <f t="shared" si="54"/>
        <v xml:space="preserve">skos:broader &lt;etma:1:1:49648:9&gt;, &lt;etma:1:1:49842:3&gt; ; </v>
      </c>
      <c r="AC140" s="8" t="str">
        <f t="shared" ca="1" si="55"/>
        <v>dcterms:modified "2023-06-20T08:57";  .</v>
      </c>
      <c r="AD140" s="10" t="str">
        <f t="shared" ca="1" si="49"/>
        <v>&lt;etma:1:1:49649:8&gt;  rdf:type skos:Concept ;     dcterms:source "https://www.mindat.org/min-49649.html" ;   skos:definition "An L chondrite that is of petrologic type 3."@en ;    skos:inScheme &lt;https://mindat.org/etmat/cscheme&gt; ;    skos:prefLabel "L3 chondrite meteorite"@en ; rdfs:label "L3 chondrite meteorite"@en ;    skos:notation  "L3"@en ;   dcterms:source "https://www.lpi.usra.edu/meteor/metbullclass.php?sea=L3";  skos:broader &lt;etma:1:1:49648:9&gt;, &lt;etma:1:1:49842:3&gt; ;   dcterms:modified "2023-06-20T08:57";  .</v>
      </c>
      <c r="AE140" s="8" t="s">
        <v>2591</v>
      </c>
    </row>
    <row r="141" spans="1:31" x14ac:dyDescent="0.25">
      <c r="A141" s="8">
        <v>118</v>
      </c>
      <c r="B141" s="8" t="s">
        <v>602</v>
      </c>
      <c r="C141" s="8">
        <v>49650</v>
      </c>
      <c r="D141" s="8" t="s">
        <v>600</v>
      </c>
      <c r="E141" s="8" t="s">
        <v>601</v>
      </c>
      <c r="F141" s="9">
        <v>7</v>
      </c>
      <c r="G141" s="9" t="s">
        <v>14</v>
      </c>
      <c r="H141" s="1" t="s">
        <v>603</v>
      </c>
      <c r="I141" s="8" t="str">
        <f t="shared" si="41"/>
        <v>https://www.mindat.org/min-49650.html</v>
      </c>
      <c r="J141" s="8">
        <v>49649</v>
      </c>
      <c r="K141" s="8" t="s">
        <v>595</v>
      </c>
      <c r="N141" s="9">
        <v>0</v>
      </c>
      <c r="O141" s="9" t="s">
        <v>2249</v>
      </c>
      <c r="R141" s="8" t="s">
        <v>604</v>
      </c>
      <c r="S141" s="11">
        <v>43039.695138888892</v>
      </c>
      <c r="U141" s="8" t="str">
        <f t="shared" si="43"/>
        <v xml:space="preserve">&lt;etma:1:1:49650:4&gt;  rdf:type skos:Concept ;  </v>
      </c>
      <c r="V141" s="8" t="str">
        <f t="shared" si="44"/>
        <v xml:space="preserve"> dcterms:source "https://www.mindat.org/min-49650.html" ; </v>
      </c>
      <c r="W141" s="8" t="str">
        <f t="shared" si="45"/>
        <v xml:space="preserve">skos:definition "An ordinary chondrite from the L group that is a breccia of components that are between 3.0 and 3.9"@en ; </v>
      </c>
      <c r="X141" s="8" t="str">
        <f t="shared" si="51"/>
        <v xml:space="preserve"> skos:inScheme &lt;https://mindat.org/etmat/cscheme&gt; ;  </v>
      </c>
      <c r="Y141" s="8" t="str">
        <f t="shared" si="47"/>
        <v xml:space="preserve">skos:prefLabel "L3.0-3.9 chondrite meteorite"@en ; rdfs:label "L3.0-3.9 chondrite meteorite"@en ; </v>
      </c>
      <c r="Z141" s="8" t="str">
        <f t="shared" si="48"/>
        <v xml:space="preserve"> skos:notation  "L3.0-3.9"@en ; </v>
      </c>
      <c r="AA141" s="8" t="str">
        <f t="shared" si="53"/>
        <v>dcterms:source "https://www.lpi.usra.edu/meteor/metbullclass.php?sea=L3.0-3.9";</v>
      </c>
      <c r="AB141" s="8" t="str">
        <f t="shared" si="54"/>
        <v xml:space="preserve">skos:broader &lt;etma:1:1:49649:8&gt; ; </v>
      </c>
      <c r="AC141" s="8" t="str">
        <f t="shared" si="55"/>
        <v>dcterms:modified "2017-10-31T16:41";  .</v>
      </c>
      <c r="AD141" s="10" t="str">
        <f t="shared" si="49"/>
        <v>&lt;etma:1:1:49650:4&gt;  rdf:type skos:Concept ;     dcterms:source "https://www.mindat.org/min-49650.html" ;   skos:definition "An ordinary chondrite from the L group that is a breccia of components that are between 3.0 and 3.9"@en ;    skos:inScheme &lt;https://mindat.org/etmat/cscheme&gt; ;    skos:prefLabel "L3.0-3.9 chondrite meteorite"@en ; rdfs:label "L3.0-3.9 chondrite meteorite"@en ;    skos:notation  "L3.0-3.9"@en ;   dcterms:source "https://www.lpi.usra.edu/meteor/metbullclass.php?sea=L3.0-3.9";  skos:broader &lt;etma:1:1:49649:8&gt; ;   dcterms:modified "2017-10-31T16:41";  .</v>
      </c>
      <c r="AE141" s="8" t="s">
        <v>2591</v>
      </c>
    </row>
    <row r="142" spans="1:31" x14ac:dyDescent="0.25">
      <c r="A142" s="8">
        <v>119</v>
      </c>
      <c r="B142" s="8" t="s">
        <v>607</v>
      </c>
      <c r="C142" s="8">
        <v>49651</v>
      </c>
      <c r="D142" s="8" t="s">
        <v>605</v>
      </c>
      <c r="E142" s="8" t="s">
        <v>606</v>
      </c>
      <c r="F142" s="9">
        <v>7</v>
      </c>
      <c r="G142" s="9" t="s">
        <v>14</v>
      </c>
      <c r="H142" s="1" t="s">
        <v>608</v>
      </c>
      <c r="I142" s="8" t="str">
        <f t="shared" si="41"/>
        <v>https://www.mindat.org/min-49651.html</v>
      </c>
      <c r="J142" s="8">
        <v>49649</v>
      </c>
      <c r="K142" s="8" t="s">
        <v>595</v>
      </c>
      <c r="N142" s="9">
        <v>0</v>
      </c>
      <c r="O142" s="9" t="s">
        <v>2249</v>
      </c>
      <c r="R142" s="8" t="s">
        <v>609</v>
      </c>
      <c r="S142" s="11">
        <f t="shared" ref="S142:S143" ca="1" si="56">NOW()</f>
        <v>45097.373057291668</v>
      </c>
      <c r="U142" s="8" t="str">
        <f t="shared" si="43"/>
        <v xml:space="preserve">&lt;etma:1:1:49651:3&gt;  rdf:type skos:Concept ;  </v>
      </c>
      <c r="V142" s="8" t="str">
        <f t="shared" si="44"/>
        <v xml:space="preserve"> dcterms:source "https://www.mindat.org/min-49651.html" ; </v>
      </c>
      <c r="W142" s="8" t="str">
        <f t="shared" si="45"/>
        <v xml:space="preserve">skos:definition "An L3 chondrite that is a breccia with melted material forming the matrix."@en ; </v>
      </c>
      <c r="X142" s="8" t="str">
        <f t="shared" si="51"/>
        <v xml:space="preserve"> skos:inScheme &lt;https://mindat.org/etmat/cscheme&gt; ;  </v>
      </c>
      <c r="Y142" s="8" t="str">
        <f t="shared" si="47"/>
        <v xml:space="preserve">skos:prefLabel "L3-melt breccia chondrite meteorite"@en ; rdfs:label "L3-melt breccia chondrite meteorite"@en ; </v>
      </c>
      <c r="Z142" s="8" t="str">
        <f t="shared" si="48"/>
        <v xml:space="preserve"> skos:notation  "L3-melt breccia"@en ; </v>
      </c>
      <c r="AA142" s="8" t="str">
        <f t="shared" si="53"/>
        <v>dcterms:source "https://www.lpi.usra.edu/meteor/metbullclass.php?sea=L3-melt%20breccia";</v>
      </c>
      <c r="AB142" s="8" t="str">
        <f t="shared" si="54"/>
        <v xml:space="preserve">skos:broader &lt;etma:1:1:49649:8&gt; ; </v>
      </c>
      <c r="AC142" s="8" t="str">
        <f t="shared" ca="1" si="55"/>
        <v>dcterms:modified "2023-06-20T08:57";  .</v>
      </c>
      <c r="AD142" s="10" t="str">
        <f t="shared" ca="1" si="49"/>
        <v>&lt;etma:1:1:49651:3&gt;  rdf:type skos:Concept ;     dcterms:source "https://www.mindat.org/min-49651.html" ;   skos:definition "An L3 chondrite that is a breccia with melted material forming the matrix."@en ;    skos:inScheme &lt;https://mindat.org/etmat/cscheme&gt; ;    skos:prefLabel "L3-melt breccia chondrite meteorite"@en ; rdfs:label "L3-melt breccia chondrite meteorite"@en ;    skos:notation  "L3-melt breccia"@en ;   dcterms:source "https://www.lpi.usra.edu/meteor/metbullclass.php?sea=L3-melt%20breccia";  skos:broader &lt;etma:1:1:49649:8&gt; ;   dcterms:modified "2023-06-20T08:57";  .</v>
      </c>
      <c r="AE142" s="8" t="s">
        <v>2591</v>
      </c>
    </row>
    <row r="143" spans="1:31" x14ac:dyDescent="0.25">
      <c r="A143" s="8">
        <v>120</v>
      </c>
      <c r="B143" s="8" t="s">
        <v>612</v>
      </c>
      <c r="C143" s="8">
        <v>49652</v>
      </c>
      <c r="D143" s="8" t="s">
        <v>610</v>
      </c>
      <c r="E143" s="8" t="s">
        <v>611</v>
      </c>
      <c r="F143" s="9">
        <v>7</v>
      </c>
      <c r="G143" s="9" t="s">
        <v>14</v>
      </c>
      <c r="H143" s="1" t="s">
        <v>613</v>
      </c>
      <c r="I143" s="8" t="str">
        <f t="shared" si="41"/>
        <v>https://www.mindat.org/min-49652.html</v>
      </c>
      <c r="J143" s="8">
        <v>49649</v>
      </c>
      <c r="K143" s="8" t="s">
        <v>595</v>
      </c>
      <c r="N143" s="9">
        <v>0</v>
      </c>
      <c r="O143" s="9" t="s">
        <v>2249</v>
      </c>
      <c r="R143" s="8" t="s">
        <v>614</v>
      </c>
      <c r="S143" s="11">
        <f t="shared" ca="1" si="56"/>
        <v>45097.373057407407</v>
      </c>
      <c r="U143" s="8" t="str">
        <f t="shared" si="43"/>
        <v xml:space="preserve">&lt;etma:1:1:49652:2&gt;  rdf:type skos:Concept ;  </v>
      </c>
      <c r="V143" s="8" t="str">
        <f t="shared" si="44"/>
        <v xml:space="preserve"> dcterms:source "https://www.mindat.org/min-49652.html" ; </v>
      </c>
      <c r="W143" s="8" t="str">
        <f t="shared" si="45"/>
        <v xml:space="preserve">skos:definition "An L chondrite that is petrologic type 3.0."@en ; </v>
      </c>
      <c r="X143" s="8" t="str">
        <f t="shared" si="51"/>
        <v xml:space="preserve"> skos:inScheme &lt;https://mindat.org/etmat/cscheme&gt; ;  </v>
      </c>
      <c r="Y143" s="8" t="str">
        <f t="shared" si="47"/>
        <v xml:space="preserve">skos:prefLabel "L3.0 chondrite meteorite"@en ; rdfs:label "L3.0 chondrite meteorite"@en ; </v>
      </c>
      <c r="Z143" s="8" t="str">
        <f t="shared" si="48"/>
        <v xml:space="preserve"> skos:notation  "L3.0"@en ; </v>
      </c>
      <c r="AA143" s="8" t="str">
        <f t="shared" si="53"/>
        <v>dcterms:source "https://www.lpi.usra.edu/meteor/metbullclass.php?sea=L3.0";</v>
      </c>
      <c r="AB143" s="8" t="str">
        <f t="shared" si="54"/>
        <v xml:space="preserve">skos:broader &lt;etma:1:1:49649:8&gt; ; </v>
      </c>
      <c r="AC143" s="8" t="str">
        <f t="shared" ca="1" si="55"/>
        <v>dcterms:modified "2023-06-20T08:57";  .</v>
      </c>
      <c r="AD143" s="10" t="str">
        <f t="shared" ca="1" si="49"/>
        <v>&lt;etma:1:1:49652:2&gt;  rdf:type skos:Concept ;     dcterms:source "https://www.mindat.org/min-49652.html" ;   skos:definition "An L chondrite that is petrologic type 3.0."@en ;    skos:inScheme &lt;https://mindat.org/etmat/cscheme&gt; ;    skos:prefLabel "L3.0 chondrite meteorite"@en ; rdfs:label "L3.0 chondrite meteorite"@en ;    skos:notation  "L3.0"@en ;   dcterms:source "https://www.lpi.usra.edu/meteor/metbullclass.php?sea=L3.0";  skos:broader &lt;etma:1:1:49649:8&gt; ;   dcterms:modified "2023-06-20T08:57";  .</v>
      </c>
      <c r="AE143" s="8" t="s">
        <v>2591</v>
      </c>
    </row>
    <row r="144" spans="1:31" x14ac:dyDescent="0.25">
      <c r="A144" s="8">
        <v>121</v>
      </c>
      <c r="B144" s="8" t="s">
        <v>617</v>
      </c>
      <c r="C144" s="8">
        <v>49653</v>
      </c>
      <c r="D144" s="8" t="s">
        <v>615</v>
      </c>
      <c r="E144" s="8" t="s">
        <v>616</v>
      </c>
      <c r="F144" s="9">
        <v>7</v>
      </c>
      <c r="G144" s="9" t="s">
        <v>14</v>
      </c>
      <c r="H144" s="1" t="s">
        <v>618</v>
      </c>
      <c r="I144" s="8" t="str">
        <f t="shared" si="41"/>
        <v>https://www.mindat.org/min-49653.html</v>
      </c>
      <c r="J144" s="8">
        <v>49649</v>
      </c>
      <c r="K144" s="8" t="s">
        <v>595</v>
      </c>
      <c r="N144" s="9">
        <v>0</v>
      </c>
      <c r="O144" s="9" t="s">
        <v>2249</v>
      </c>
      <c r="R144" s="8" t="s">
        <v>619</v>
      </c>
      <c r="S144" s="11">
        <v>43039.693761574075</v>
      </c>
      <c r="U144" s="8" t="str">
        <f t="shared" si="43"/>
        <v xml:space="preserve">&lt;etma:1:1:49653:1&gt;  rdf:type skos:Concept ;  </v>
      </c>
      <c r="V144" s="8" t="str">
        <f t="shared" si="44"/>
        <v xml:space="preserve"> dcterms:source "https://www.mindat.org/min-49653.html" ; </v>
      </c>
      <c r="W144" s="8" t="str">
        <f t="shared" si="45"/>
        <v xml:space="preserve">skos:definition "An ordinary chondrite from the L group that is petrologic type 3.00"@en ; </v>
      </c>
      <c r="X144" s="8" t="str">
        <f t="shared" si="51"/>
        <v xml:space="preserve"> skos:inScheme &lt;https://mindat.org/etmat/cscheme&gt; ;  </v>
      </c>
      <c r="Y144" s="8" t="str">
        <f t="shared" si="47"/>
        <v xml:space="preserve">skos:prefLabel "L3.00 chondrite meteorite"@en ; rdfs:label "L3.00 chondrite meteorite"@en ; </v>
      </c>
      <c r="Z144" s="8" t="str">
        <f t="shared" si="48"/>
        <v xml:space="preserve"> skos:notation  "L3.00"@en ; </v>
      </c>
      <c r="AA144" s="8" t="str">
        <f t="shared" si="53"/>
        <v>dcterms:source "https://www.lpi.usra.edu/meteor/metbullclass.php?sea=L3.00";</v>
      </c>
      <c r="AB144" s="8" t="str">
        <f t="shared" si="54"/>
        <v xml:space="preserve">skos:broader &lt;etma:1:1:49649:8&gt; ; </v>
      </c>
      <c r="AC144" s="8" t="str">
        <f t="shared" si="55"/>
        <v>dcterms:modified "2017-10-31T16:39";  .</v>
      </c>
      <c r="AD144" s="10" t="str">
        <f t="shared" si="49"/>
        <v>&lt;etma:1:1:49653:1&gt;  rdf:type skos:Concept ;     dcterms:source "https://www.mindat.org/min-49653.html" ;   skos:definition "An ordinary chondrite from the L group that is petrologic type 3.00"@en ;    skos:inScheme &lt;https://mindat.org/etmat/cscheme&gt; ;    skos:prefLabel "L3.00 chondrite meteorite"@en ; rdfs:label "L3.00 chondrite meteorite"@en ;    skos:notation  "L3.00"@en ;   dcterms:source "https://www.lpi.usra.edu/meteor/metbullclass.php?sea=L3.00";  skos:broader &lt;etma:1:1:49649:8&gt; ;   dcterms:modified "2017-10-31T16:39";  .</v>
      </c>
      <c r="AE144" s="8" t="s">
        <v>2591</v>
      </c>
    </row>
    <row r="145" spans="1:31" x14ac:dyDescent="0.25">
      <c r="A145" s="8">
        <v>122</v>
      </c>
      <c r="B145" s="8" t="s">
        <v>622</v>
      </c>
      <c r="C145" s="8">
        <v>49654</v>
      </c>
      <c r="D145" s="8" t="s">
        <v>620</v>
      </c>
      <c r="E145" s="8" t="s">
        <v>621</v>
      </c>
      <c r="F145" s="9">
        <v>7</v>
      </c>
      <c r="G145" s="9" t="s">
        <v>14</v>
      </c>
      <c r="H145" s="1" t="s">
        <v>623</v>
      </c>
      <c r="I145" s="8" t="str">
        <f t="shared" si="41"/>
        <v>https://www.mindat.org/min-49654.html</v>
      </c>
      <c r="J145" s="8">
        <v>49649</v>
      </c>
      <c r="K145" s="8" t="s">
        <v>595</v>
      </c>
      <c r="N145" s="9">
        <v>0</v>
      </c>
      <c r="O145" s="9" t="s">
        <v>2249</v>
      </c>
      <c r="R145" s="8" t="s">
        <v>624</v>
      </c>
      <c r="S145" s="11">
        <v>43039.695706018516</v>
      </c>
      <c r="U145" s="8" t="str">
        <f t="shared" si="43"/>
        <v xml:space="preserve">&lt;etma:1:1:49654:0&gt;  rdf:type skos:Concept ;  </v>
      </c>
      <c r="V145" s="8" t="str">
        <f t="shared" si="44"/>
        <v xml:space="preserve"> dcterms:source "https://www.mindat.org/min-49654.html" ; </v>
      </c>
      <c r="W145" s="8" t="str">
        <f t="shared" si="45"/>
        <v xml:space="preserve">skos:definition "An ordinary chondrite from the L group that is petrologic type 3.05"@en ; </v>
      </c>
      <c r="X145" s="8" t="str">
        <f t="shared" si="51"/>
        <v xml:space="preserve"> skos:inScheme &lt;https://mindat.org/etmat/cscheme&gt; ;  </v>
      </c>
      <c r="Y145" s="8" t="str">
        <f t="shared" si="47"/>
        <v xml:space="preserve">skos:prefLabel "L3.05 chondrite meteorite"@en ; rdfs:label "L3.05 chondrite meteorite"@en ; </v>
      </c>
      <c r="Z145" s="8" t="str">
        <f t="shared" si="48"/>
        <v xml:space="preserve"> skos:notation  "L3.05"@en ; </v>
      </c>
      <c r="AA145" s="8" t="str">
        <f t="shared" si="53"/>
        <v>dcterms:source "https://www.lpi.usra.edu/meteor/metbullclass.php?sea=L3.05";</v>
      </c>
      <c r="AB145" s="8" t="str">
        <f t="shared" si="54"/>
        <v xml:space="preserve">skos:broader &lt;etma:1:1:49649:8&gt; ; </v>
      </c>
      <c r="AC145" s="8" t="str">
        <f t="shared" si="55"/>
        <v>dcterms:modified "2017-10-31T16:41";  .</v>
      </c>
      <c r="AD145" s="10" t="str">
        <f t="shared" si="49"/>
        <v>&lt;etma:1:1:49654:0&gt;  rdf:type skos:Concept ;     dcterms:source "https://www.mindat.org/min-49654.html" ;   skos:definition "An ordinary chondrite from the L group that is petrologic type 3.05"@en ;    skos:inScheme &lt;https://mindat.org/etmat/cscheme&gt; ;    skos:prefLabel "L3.05 chondrite meteorite"@en ; rdfs:label "L3.05 chondrite meteorite"@en ;    skos:notation  "L3.05"@en ;   dcterms:source "https://www.lpi.usra.edu/meteor/metbullclass.php?sea=L3.05";  skos:broader &lt;etma:1:1:49649:8&gt; ;   dcterms:modified "2017-10-31T16:41";  .</v>
      </c>
      <c r="AE145" s="8" t="s">
        <v>2591</v>
      </c>
    </row>
    <row r="146" spans="1:31" x14ac:dyDescent="0.25">
      <c r="A146" s="8">
        <v>123</v>
      </c>
      <c r="B146" s="8" t="s">
        <v>627</v>
      </c>
      <c r="C146" s="8">
        <v>49655</v>
      </c>
      <c r="D146" s="8" t="s">
        <v>625</v>
      </c>
      <c r="E146" s="8" t="s">
        <v>626</v>
      </c>
      <c r="F146" s="9">
        <v>2</v>
      </c>
      <c r="G146" s="9" t="s">
        <v>508</v>
      </c>
      <c r="H146" s="1" t="s">
        <v>628</v>
      </c>
      <c r="I146" s="8" t="str">
        <f t="shared" si="41"/>
        <v>https://www.mindat.org/min-49655.html</v>
      </c>
      <c r="J146" s="8">
        <v>49649</v>
      </c>
      <c r="K146" s="8" t="s">
        <v>595</v>
      </c>
      <c r="N146" s="9">
        <v>0</v>
      </c>
      <c r="O146" s="9" t="s">
        <v>2249</v>
      </c>
      <c r="R146" s="8" t="s">
        <v>629</v>
      </c>
      <c r="S146" s="11">
        <f t="shared" ref="S146:S147" ca="1" si="57">NOW()</f>
        <v>45097.373057291668</v>
      </c>
      <c r="U146" s="8" t="str">
        <f t="shared" si="43"/>
        <v xml:space="preserve">&lt;etma:1:1:49655:9&gt;  rdf:type skos:Concept ;  </v>
      </c>
      <c r="V146" s="8" t="str">
        <f t="shared" si="44"/>
        <v xml:space="preserve"> dcterms:source "https://www.mindat.org/min-49655.html" ; </v>
      </c>
      <c r="W146" s="8" t="str">
        <f t="shared" si="45"/>
        <v xml:space="preserve">skos:definition "An L chondrite that is a breccia of petrological types 3.2 to 3.7."@en ; </v>
      </c>
      <c r="X146" s="8" t="str">
        <f t="shared" si="51"/>
        <v xml:space="preserve"> skos:inScheme &lt;https://mindat.org/etmat/cscheme&gt; ;  </v>
      </c>
      <c r="Y146" s="8" t="str">
        <f t="shared" si="47"/>
        <v xml:space="preserve">skos:prefLabel "L3.0-3.7 chondrite meteorite"@en ; rdfs:label "L3.0-3.7 chondrite meteorite"@en ; </v>
      </c>
      <c r="Z146" s="8" t="str">
        <f t="shared" si="48"/>
        <v xml:space="preserve"> skos:notation  "L3.0-3.7"@en ; </v>
      </c>
      <c r="AA146" s="8" t="str">
        <f t="shared" si="53"/>
        <v>dcterms:source "https://www.lpi.usra.edu/meteor/metbullclass.php?sea=L3.0-3.7";</v>
      </c>
      <c r="AB146" s="8" t="str">
        <f t="shared" si="54"/>
        <v xml:space="preserve">skos:broader &lt;etma:1:1:49649:8&gt; ; </v>
      </c>
      <c r="AC146" s="8" t="str">
        <f t="shared" ca="1" si="55"/>
        <v>dcterms:modified "2023-06-20T08:57";  .</v>
      </c>
      <c r="AD146" s="10" t="str">
        <f t="shared" ca="1" si="49"/>
        <v>&lt;etma:1:1:49655:9&gt;  rdf:type skos:Concept ;     dcterms:source "https://www.mindat.org/min-49655.html" ;   skos:definition "An L chondrite that is a breccia of petrological types 3.2 to 3.7."@en ;    skos:inScheme &lt;https://mindat.org/etmat/cscheme&gt; ;    skos:prefLabel "L3.0-3.7 chondrite meteorite"@en ; rdfs:label "L3.0-3.7 chondrite meteorite"@en ;    skos:notation  "L3.0-3.7"@en ;   dcterms:source "https://www.lpi.usra.edu/meteor/metbullclass.php?sea=L3.0-3.7";  skos:broader &lt;etma:1:1:49649:8&gt; ;   dcterms:modified "2023-06-20T08:57";  .</v>
      </c>
      <c r="AE146" s="8" t="s">
        <v>2591</v>
      </c>
    </row>
    <row r="147" spans="1:31" x14ac:dyDescent="0.25">
      <c r="A147" s="8">
        <v>124</v>
      </c>
      <c r="B147" s="8" t="s">
        <v>632</v>
      </c>
      <c r="C147" s="8">
        <v>49656</v>
      </c>
      <c r="D147" s="8" t="s">
        <v>630</v>
      </c>
      <c r="E147" s="8" t="s">
        <v>631</v>
      </c>
      <c r="F147" s="9">
        <v>7</v>
      </c>
      <c r="G147" s="9" t="s">
        <v>14</v>
      </c>
      <c r="H147" s="1" t="s">
        <v>633</v>
      </c>
      <c r="I147" s="8" t="str">
        <f t="shared" ref="I147:I210" si="58">"https://www.mindat.org/min-"&amp; C147 &amp; ".html"</f>
        <v>https://www.mindat.org/min-49656.html</v>
      </c>
      <c r="J147" s="8">
        <v>49649</v>
      </c>
      <c r="K147" s="8" t="s">
        <v>595</v>
      </c>
      <c r="N147" s="9">
        <v>0</v>
      </c>
      <c r="O147" s="9" t="s">
        <v>2249</v>
      </c>
      <c r="R147" s="8" t="s">
        <v>634</v>
      </c>
      <c r="S147" s="11">
        <f t="shared" ca="1" si="57"/>
        <v>45097.373057407407</v>
      </c>
      <c r="U147" s="8" t="str">
        <f t="shared" ref="U147:U210" si="59">"&lt;etma:"&amp;D147&amp; "&gt;  rdf:type skos:Concept ;  "</f>
        <v xml:space="preserve">&lt;etma:1:1:49656:8&gt;  rdf:type skos:Concept ;  </v>
      </c>
      <c r="V147" s="8" t="str">
        <f t="shared" ref="V147:V210" si="60" xml:space="preserve"> " dcterms:source """ &amp; I147 &amp; """ ; "</f>
        <v xml:space="preserve"> dcterms:source "https://www.mindat.org/min-49656.html" ; </v>
      </c>
      <c r="W147" s="8" t="str">
        <f t="shared" ref="W147:W210" si="61">"skos:definition """ &amp; H147 &amp; """@en ; "</f>
        <v xml:space="preserve">skos:definition "An L chondrite that is petrologic type 3.1."@en ; </v>
      </c>
      <c r="X147" s="8" t="str">
        <f t="shared" si="51"/>
        <v xml:space="preserve"> skos:inScheme &lt;https://mindat.org/etmat/cscheme&gt; ;  </v>
      </c>
      <c r="Y147" s="8" t="str">
        <f t="shared" ref="Y147:Y210" si="62">"skos:prefLabel """ &amp; B147 &amp; """@en ; rdfs:label """ &amp; B147 &amp; """@en ; "</f>
        <v xml:space="preserve">skos:prefLabel "L3.1 chondrite meteorite"@en ; rdfs:label "L3.1 chondrite meteorite"@en ; </v>
      </c>
      <c r="Z147" s="8" t="str">
        <f t="shared" ref="Z147:Z210" si="63">IF(ISBLANK(Q147),"", "skos:altLabel """&amp;Q147&amp;"""@en ; ") &amp; IF(ISBLANK(P147),"", "skos:exactMatch  &lt;etma:"&amp;P147&amp;"&gt; ; ") &amp;  IF(ISBLANK(R147),"", " skos:notation  """&amp; R147 &amp;"""@en ; ")</f>
        <v xml:space="preserve"> skos:notation  "L3.1"@en ; </v>
      </c>
      <c r="AA147" s="8" t="str">
        <f t="shared" si="53"/>
        <v>dcterms:source "https://www.lpi.usra.edu/meteor/metbullclass.php?sea=L3.1";</v>
      </c>
      <c r="AB147" s="8" t="str">
        <f t="shared" si="54"/>
        <v xml:space="preserve">skos:broader &lt;etma:1:1:49649:8&gt; ; </v>
      </c>
      <c r="AC147" s="8" t="str">
        <f t="shared" ca="1" si="55"/>
        <v>dcterms:modified "2023-06-20T08:57";  .</v>
      </c>
      <c r="AD147" s="10" t="str">
        <f t="shared" ref="AD147:AD210" ca="1" si="64">_xlfn.TEXTJOIN("  ", TRUE, U147:AC147)</f>
        <v>&lt;etma:1:1:49656:8&gt;  rdf:type skos:Concept ;     dcterms:source "https://www.mindat.org/min-49656.html" ;   skos:definition "An L chondrite that is petrologic type 3.1."@en ;    skos:inScheme &lt;https://mindat.org/etmat/cscheme&gt; ;    skos:prefLabel "L3.1 chondrite meteorite"@en ; rdfs:label "L3.1 chondrite meteorite"@en ;    skos:notation  "L3.1"@en ;   dcterms:source "https://www.lpi.usra.edu/meteor/metbullclass.php?sea=L3.1";  skos:broader &lt;etma:1:1:49649:8&gt; ;   dcterms:modified "2023-06-20T08:57";  .</v>
      </c>
      <c r="AE147" s="8" t="s">
        <v>2591</v>
      </c>
    </row>
    <row r="148" spans="1:31" x14ac:dyDescent="0.25">
      <c r="A148" s="8">
        <v>125</v>
      </c>
      <c r="B148" s="8" t="s">
        <v>637</v>
      </c>
      <c r="C148" s="8">
        <v>49657</v>
      </c>
      <c r="D148" s="8" t="s">
        <v>635</v>
      </c>
      <c r="E148" s="8" t="s">
        <v>636</v>
      </c>
      <c r="F148" s="9">
        <v>7</v>
      </c>
      <c r="G148" s="9" t="s">
        <v>14</v>
      </c>
      <c r="H148" s="1" t="s">
        <v>638</v>
      </c>
      <c r="I148" s="8" t="str">
        <f t="shared" si="58"/>
        <v>https://www.mindat.org/min-49657.html</v>
      </c>
      <c r="J148" s="8">
        <v>49649</v>
      </c>
      <c r="K148" s="8" t="s">
        <v>595</v>
      </c>
      <c r="N148" s="9">
        <v>0</v>
      </c>
      <c r="O148" s="9" t="s">
        <v>2249</v>
      </c>
      <c r="R148" s="8" t="s">
        <v>639</v>
      </c>
      <c r="S148" s="11">
        <v>43039.696134259262</v>
      </c>
      <c r="U148" s="8" t="str">
        <f t="shared" si="59"/>
        <v xml:space="preserve">&lt;etma:1:1:49657:7&gt;  rdf:type skos:Concept ;  </v>
      </c>
      <c r="V148" s="8" t="str">
        <f t="shared" si="60"/>
        <v xml:space="preserve"> dcterms:source "https://www.mindat.org/min-49657.html" ; </v>
      </c>
      <c r="W148" s="8" t="str">
        <f t="shared" si="61"/>
        <v xml:space="preserve">skos:definition "An ordinary chondrite from the L group that is petrologic type 3.10"@en ; </v>
      </c>
      <c r="X148" s="8" t="str">
        <f t="shared" si="51"/>
        <v xml:space="preserve"> skos:inScheme &lt;https://mindat.org/etmat/cscheme&gt; ;  </v>
      </c>
      <c r="Y148" s="8" t="str">
        <f t="shared" si="62"/>
        <v xml:space="preserve">skos:prefLabel "L3.10 chondrite meteorite"@en ; rdfs:label "L3.10 chondrite meteorite"@en ; </v>
      </c>
      <c r="Z148" s="8" t="str">
        <f t="shared" si="63"/>
        <v xml:space="preserve"> skos:notation  "L3.10"@en ; </v>
      </c>
      <c r="AA148" s="8" t="str">
        <f t="shared" si="53"/>
        <v>dcterms:source "https://www.lpi.usra.edu/meteor/metbullclass.php?sea=L3.10";</v>
      </c>
      <c r="AB148" s="8" t="str">
        <f t="shared" si="54"/>
        <v xml:space="preserve">skos:broader &lt;etma:1:1:49649:8&gt; ; </v>
      </c>
      <c r="AC148" s="8" t="str">
        <f t="shared" si="55"/>
        <v>dcterms:modified "2017-10-31T16:42";  .</v>
      </c>
      <c r="AD148" s="10" t="str">
        <f t="shared" si="64"/>
        <v>&lt;etma:1:1:49657:7&gt;  rdf:type skos:Concept ;     dcterms:source "https://www.mindat.org/min-49657.html" ;   skos:definition "An ordinary chondrite from the L group that is petrologic type 3.10"@en ;    skos:inScheme &lt;https://mindat.org/etmat/cscheme&gt; ;    skos:prefLabel "L3.10 chondrite meteorite"@en ; rdfs:label "L3.10 chondrite meteorite"@en ;    skos:notation  "L3.10"@en ;   dcterms:source "https://www.lpi.usra.edu/meteor/metbullclass.php?sea=L3.10";  skos:broader &lt;etma:1:1:49649:8&gt; ;   dcterms:modified "2017-10-31T16:42";  .</v>
      </c>
      <c r="AE148" s="8" t="s">
        <v>2591</v>
      </c>
    </row>
    <row r="149" spans="1:31" x14ac:dyDescent="0.25">
      <c r="A149" s="8">
        <v>126</v>
      </c>
      <c r="B149" s="8" t="s">
        <v>642</v>
      </c>
      <c r="C149" s="8">
        <v>49658</v>
      </c>
      <c r="D149" s="8" t="s">
        <v>640</v>
      </c>
      <c r="E149" s="8" t="s">
        <v>641</v>
      </c>
      <c r="F149" s="9">
        <v>7</v>
      </c>
      <c r="G149" s="9" t="s">
        <v>14</v>
      </c>
      <c r="H149" s="1" t="s">
        <v>643</v>
      </c>
      <c r="I149" s="8" t="str">
        <f t="shared" si="58"/>
        <v>https://www.mindat.org/min-49658.html</v>
      </c>
      <c r="J149" s="8">
        <v>49649</v>
      </c>
      <c r="K149" s="8" t="s">
        <v>595</v>
      </c>
      <c r="N149" s="9">
        <v>0</v>
      </c>
      <c r="O149" s="9" t="s">
        <v>2249</v>
      </c>
      <c r="R149" s="8" t="s">
        <v>644</v>
      </c>
      <c r="S149" s="11">
        <v>43039.696631944447</v>
      </c>
      <c r="U149" s="8" t="str">
        <f t="shared" si="59"/>
        <v xml:space="preserve">&lt;etma:1:1:49658:6&gt;  rdf:type skos:Concept ;  </v>
      </c>
      <c r="V149" s="8" t="str">
        <f t="shared" si="60"/>
        <v xml:space="preserve"> dcterms:source "https://www.mindat.org/min-49658.html" ; </v>
      </c>
      <c r="W149" s="8" t="str">
        <f t="shared" si="61"/>
        <v xml:space="preserve">skos:definition "An ordinary chondrite from the L group that is petrologic type 3.15"@en ; </v>
      </c>
      <c r="X149" s="8" t="str">
        <f t="shared" si="51"/>
        <v xml:space="preserve"> skos:inScheme &lt;https://mindat.org/etmat/cscheme&gt; ;  </v>
      </c>
      <c r="Y149" s="8" t="str">
        <f t="shared" si="62"/>
        <v xml:space="preserve">skos:prefLabel "L3.15 chondrite meteorite"@en ; rdfs:label "L3.15 chondrite meteorite"@en ; </v>
      </c>
      <c r="Z149" s="8" t="str">
        <f t="shared" si="63"/>
        <v xml:space="preserve"> skos:notation  "L3.15"@en ; </v>
      </c>
      <c r="AA149" s="8" t="str">
        <f t="shared" si="53"/>
        <v>dcterms:source "https://www.lpi.usra.edu/meteor/metbullclass.php?sea=L3.15";</v>
      </c>
      <c r="AB149" s="8" t="str">
        <f t="shared" si="54"/>
        <v xml:space="preserve">skos:broader &lt;etma:1:1:49649:8&gt; ; </v>
      </c>
      <c r="AC149" s="8" t="str">
        <f t="shared" si="55"/>
        <v>dcterms:modified "2017-10-31T16:43";  .</v>
      </c>
      <c r="AD149" s="10" t="str">
        <f t="shared" si="64"/>
        <v>&lt;etma:1:1:49658:6&gt;  rdf:type skos:Concept ;     dcterms:source "https://www.mindat.org/min-49658.html" ;   skos:definition "An ordinary chondrite from the L group that is petrologic type 3.15"@en ;    skos:inScheme &lt;https://mindat.org/etmat/cscheme&gt; ;    skos:prefLabel "L3.15 chondrite meteorite"@en ; rdfs:label "L3.15 chondrite meteorite"@en ;    skos:notation  "L3.15"@en ;   dcterms:source "https://www.lpi.usra.edu/meteor/metbullclass.php?sea=L3.15";  skos:broader &lt;etma:1:1:49649:8&gt; ;   dcterms:modified "2017-10-31T16:43";  .</v>
      </c>
      <c r="AE149" s="8" t="s">
        <v>2591</v>
      </c>
    </row>
    <row r="150" spans="1:31" x14ac:dyDescent="0.25">
      <c r="A150" s="8">
        <v>127</v>
      </c>
      <c r="B150" s="8" t="s">
        <v>647</v>
      </c>
      <c r="C150" s="8">
        <v>49659</v>
      </c>
      <c r="D150" s="8" t="s">
        <v>645</v>
      </c>
      <c r="E150" s="8" t="s">
        <v>646</v>
      </c>
      <c r="F150" s="9">
        <v>7</v>
      </c>
      <c r="G150" s="9" t="s">
        <v>14</v>
      </c>
      <c r="H150" s="1" t="s">
        <v>648</v>
      </c>
      <c r="I150" s="8" t="str">
        <f t="shared" si="58"/>
        <v>https://www.mindat.org/min-49659.html</v>
      </c>
      <c r="J150" s="8">
        <v>49649</v>
      </c>
      <c r="K150" s="8" t="s">
        <v>595</v>
      </c>
      <c r="N150" s="9">
        <v>0</v>
      </c>
      <c r="O150" s="9" t="s">
        <v>2249</v>
      </c>
      <c r="R150" s="8" t="s">
        <v>649</v>
      </c>
      <c r="S150" s="11">
        <f t="shared" ref="S150:S174" ca="1" si="65">NOW()</f>
        <v>45097.373057291668</v>
      </c>
      <c r="U150" s="8" t="str">
        <f t="shared" si="59"/>
        <v xml:space="preserve">&lt;etma:1:1:49659:5&gt;  rdf:type skos:Concept ;  </v>
      </c>
      <c r="V150" s="8" t="str">
        <f t="shared" si="60"/>
        <v xml:space="preserve"> dcterms:source "https://www.mindat.org/min-49659.html" ; </v>
      </c>
      <c r="W150" s="8" t="str">
        <f t="shared" si="61"/>
        <v xml:space="preserve">skos:definition "An L chondrite that is petrologic type 3.2."@en ; </v>
      </c>
      <c r="X150" s="8" t="str">
        <f t="shared" si="51"/>
        <v xml:space="preserve"> skos:inScheme &lt;https://mindat.org/etmat/cscheme&gt; ;  </v>
      </c>
      <c r="Y150" s="8" t="str">
        <f t="shared" si="62"/>
        <v xml:space="preserve">skos:prefLabel "L3.2 chondrite meteorite"@en ; rdfs:label "L3.2 chondrite meteorite"@en ; </v>
      </c>
      <c r="Z150" s="8" t="str">
        <f t="shared" si="63"/>
        <v xml:space="preserve"> skos:notation  "L3.2"@en ; </v>
      </c>
      <c r="AA150" s="8" t="str">
        <f t="shared" si="53"/>
        <v>dcterms:source "https://www.lpi.usra.edu/meteor/metbullclass.php?sea=L3.2";</v>
      </c>
      <c r="AB150" s="8" t="str">
        <f t="shared" si="54"/>
        <v xml:space="preserve">skos:broader &lt;etma:1:1:49649:8&gt; ; </v>
      </c>
      <c r="AC150" s="8" t="str">
        <f t="shared" ca="1" si="55"/>
        <v>dcterms:modified "2023-06-20T08:57";  .</v>
      </c>
      <c r="AD150" s="10" t="str">
        <f t="shared" ca="1" si="64"/>
        <v>&lt;etma:1:1:49659:5&gt;  rdf:type skos:Concept ;     dcterms:source "https://www.mindat.org/min-49659.html" ;   skos:definition "An L chondrite that is petrologic type 3.2."@en ;    skos:inScheme &lt;https://mindat.org/etmat/cscheme&gt; ;    skos:prefLabel "L3.2 chondrite meteorite"@en ; rdfs:label "L3.2 chondrite meteorite"@en ;    skos:notation  "L3.2"@en ;   dcterms:source "https://www.lpi.usra.edu/meteor/metbullclass.php?sea=L3.2";  skos:broader &lt;etma:1:1:49649:8&gt; ;   dcterms:modified "2023-06-20T08:57";  .</v>
      </c>
      <c r="AE150" s="8" t="s">
        <v>2591</v>
      </c>
    </row>
    <row r="151" spans="1:31" x14ac:dyDescent="0.25">
      <c r="A151" s="8">
        <v>128</v>
      </c>
      <c r="B151" s="8" t="s">
        <v>652</v>
      </c>
      <c r="C151" s="8">
        <v>49660</v>
      </c>
      <c r="D151" s="8" t="s">
        <v>650</v>
      </c>
      <c r="E151" s="8" t="s">
        <v>651</v>
      </c>
      <c r="F151" s="9">
        <v>2</v>
      </c>
      <c r="G151" s="9" t="s">
        <v>508</v>
      </c>
      <c r="H151" s="1" t="s">
        <v>653</v>
      </c>
      <c r="I151" s="8" t="str">
        <f t="shared" si="58"/>
        <v>https://www.mindat.org/min-49660.html</v>
      </c>
      <c r="J151" s="8">
        <v>49649</v>
      </c>
      <c r="K151" s="8" t="s">
        <v>595</v>
      </c>
      <c r="N151" s="9">
        <v>0</v>
      </c>
      <c r="O151" s="9" t="s">
        <v>2249</v>
      </c>
      <c r="R151" s="8" t="s">
        <v>654</v>
      </c>
      <c r="S151" s="11">
        <f t="shared" ca="1" si="65"/>
        <v>45097.373057291668</v>
      </c>
      <c r="U151" s="8" t="str">
        <f t="shared" si="59"/>
        <v xml:space="preserve">&lt;etma:1:1:49660:1&gt;  rdf:type skos:Concept ;  </v>
      </c>
      <c r="V151" s="8" t="str">
        <f t="shared" si="60"/>
        <v xml:space="preserve"> dcterms:source "https://www.mindat.org/min-49660.html" ; </v>
      </c>
      <c r="W151" s="8" t="str">
        <f t="shared" si="61"/>
        <v xml:space="preserve">skos:definition "An L chondrite that is a breccia of petrological types 3.2 to 3.5."@en ; </v>
      </c>
      <c r="X151" s="8" t="str">
        <f t="shared" si="51"/>
        <v xml:space="preserve"> skos:inScheme &lt;https://mindat.org/etmat/cscheme&gt; ;  </v>
      </c>
      <c r="Y151" s="8" t="str">
        <f t="shared" si="62"/>
        <v xml:space="preserve">skos:prefLabel "L3.2-3.5 chondrite meteorite"@en ; rdfs:label "L3.2-3.5 chondrite meteorite"@en ; </v>
      </c>
      <c r="Z151" s="8" t="str">
        <f t="shared" si="63"/>
        <v xml:space="preserve"> skos:notation  "L3.2-3.5"@en ; </v>
      </c>
      <c r="AA151" s="8" t="str">
        <f t="shared" si="53"/>
        <v>dcterms:source "https://www.lpi.usra.edu/meteor/metbullclass.php?sea=L3.2-3.5";</v>
      </c>
      <c r="AB151" s="8" t="str">
        <f t="shared" si="54"/>
        <v xml:space="preserve">skos:broader &lt;etma:1:1:49649:8&gt; ; </v>
      </c>
      <c r="AC151" s="8" t="str">
        <f t="shared" ca="1" si="55"/>
        <v>dcterms:modified "2023-06-20T08:57";  .</v>
      </c>
      <c r="AD151" s="10" t="str">
        <f t="shared" ca="1" si="64"/>
        <v>&lt;etma:1:1:49660:1&gt;  rdf:type skos:Concept ;     dcterms:source "https://www.mindat.org/min-49660.html" ;   skos:definition "An L chondrite that is a breccia of petrological types 3.2 to 3.5."@en ;    skos:inScheme &lt;https://mindat.org/etmat/cscheme&gt; ;    skos:prefLabel "L3.2-3.5 chondrite meteorite"@en ; rdfs:label "L3.2-3.5 chondrite meteorite"@en ;    skos:notation  "L3.2-3.5"@en ;   dcterms:source "https://www.lpi.usra.edu/meteor/metbullclass.php?sea=L3.2-3.5";  skos:broader &lt;etma:1:1:49649:8&gt; ;   dcterms:modified "2023-06-20T08:57";  .</v>
      </c>
      <c r="AE151" s="8" t="s">
        <v>2591</v>
      </c>
    </row>
    <row r="152" spans="1:31" x14ac:dyDescent="0.25">
      <c r="A152" s="8">
        <v>129</v>
      </c>
      <c r="B152" s="8" t="s">
        <v>657</v>
      </c>
      <c r="C152" s="8">
        <v>49661</v>
      </c>
      <c r="D152" s="8" t="s">
        <v>655</v>
      </c>
      <c r="E152" s="8" t="s">
        <v>656</v>
      </c>
      <c r="F152" s="9">
        <v>2</v>
      </c>
      <c r="G152" s="9" t="s">
        <v>508</v>
      </c>
      <c r="H152" s="1" t="s">
        <v>658</v>
      </c>
      <c r="I152" s="8" t="str">
        <f t="shared" si="58"/>
        <v>https://www.mindat.org/min-49661.html</v>
      </c>
      <c r="J152" s="8">
        <v>49649</v>
      </c>
      <c r="K152" s="8" t="s">
        <v>595</v>
      </c>
      <c r="N152" s="9">
        <v>0</v>
      </c>
      <c r="O152" s="9" t="s">
        <v>2249</v>
      </c>
      <c r="R152" s="8" t="s">
        <v>659</v>
      </c>
      <c r="S152" s="11">
        <f t="shared" ca="1" si="65"/>
        <v>45097.373057291668</v>
      </c>
      <c r="U152" s="8" t="str">
        <f t="shared" si="59"/>
        <v xml:space="preserve">&lt;etma:1:1:49661:0&gt;  rdf:type skos:Concept ;  </v>
      </c>
      <c r="V152" s="8" t="str">
        <f t="shared" si="60"/>
        <v xml:space="preserve"> dcterms:source "https://www.mindat.org/min-49661.html" ; </v>
      </c>
      <c r="W152" s="8" t="str">
        <f t="shared" si="61"/>
        <v xml:space="preserve">skos:definition "An L chondrite that is a breccia of petrological types 3.2 to 3.6."@en ; </v>
      </c>
      <c r="X152" s="8" t="str">
        <f t="shared" si="51"/>
        <v xml:space="preserve"> skos:inScheme &lt;https://mindat.org/etmat/cscheme&gt; ;  </v>
      </c>
      <c r="Y152" s="8" t="str">
        <f t="shared" si="62"/>
        <v xml:space="preserve">skos:prefLabel "L3.2-3.6 chondrite meteorite"@en ; rdfs:label "L3.2-3.6 chondrite meteorite"@en ; </v>
      </c>
      <c r="Z152" s="8" t="str">
        <f t="shared" si="63"/>
        <v xml:space="preserve"> skos:notation  "L3.2-3.6"@en ; </v>
      </c>
      <c r="AA152" s="8" t="str">
        <f t="shared" si="53"/>
        <v>dcterms:source "https://www.lpi.usra.edu/meteor/metbullclass.php?sea=L3.2-3.6";</v>
      </c>
      <c r="AB152" s="8" t="str">
        <f t="shared" si="54"/>
        <v xml:space="preserve">skos:broader &lt;etma:1:1:49649:8&gt; ; </v>
      </c>
      <c r="AC152" s="8" t="str">
        <f t="shared" ca="1" si="55"/>
        <v>dcterms:modified "2023-06-20T08:57";  .</v>
      </c>
      <c r="AD152" s="10" t="str">
        <f t="shared" ca="1" si="64"/>
        <v>&lt;etma:1:1:49661:0&gt;  rdf:type skos:Concept ;     dcterms:source "https://www.mindat.org/min-49661.html" ;   skos:definition "An L chondrite that is a breccia of petrological types 3.2 to 3.6."@en ;    skos:inScheme &lt;https://mindat.org/etmat/cscheme&gt; ;    skos:prefLabel "L3.2-3.6 chondrite meteorite"@en ; rdfs:label "L3.2-3.6 chondrite meteorite"@en ;    skos:notation  "L3.2-3.6"@en ;   dcterms:source "https://www.lpi.usra.edu/meteor/metbullclass.php?sea=L3.2-3.6";  skos:broader &lt;etma:1:1:49649:8&gt; ;   dcterms:modified "2023-06-20T08:57";  .</v>
      </c>
      <c r="AE152" s="8" t="s">
        <v>2591</v>
      </c>
    </row>
    <row r="153" spans="1:31" x14ac:dyDescent="0.25">
      <c r="A153" s="8">
        <v>130</v>
      </c>
      <c r="B153" s="8" t="s">
        <v>662</v>
      </c>
      <c r="C153" s="8">
        <v>49662</v>
      </c>
      <c r="D153" s="8" t="s">
        <v>660</v>
      </c>
      <c r="E153" s="8" t="s">
        <v>661</v>
      </c>
      <c r="F153" s="9">
        <v>7</v>
      </c>
      <c r="G153" s="9" t="s">
        <v>14</v>
      </c>
      <c r="H153" s="1" t="s">
        <v>663</v>
      </c>
      <c r="I153" s="8" t="str">
        <f t="shared" si="58"/>
        <v>https://www.mindat.org/min-49662.html</v>
      </c>
      <c r="J153" s="8">
        <v>49649</v>
      </c>
      <c r="K153" s="8" t="s">
        <v>595</v>
      </c>
      <c r="N153" s="9">
        <v>0</v>
      </c>
      <c r="O153" s="9" t="s">
        <v>2249</v>
      </c>
      <c r="R153" s="8" t="s">
        <v>664</v>
      </c>
      <c r="S153" s="11">
        <f t="shared" ca="1" si="65"/>
        <v>45097.373057291668</v>
      </c>
      <c r="U153" s="8" t="str">
        <f t="shared" si="59"/>
        <v xml:space="preserve">&lt;etma:1:1:49662:9&gt;  rdf:type skos:Concept ;  </v>
      </c>
      <c r="V153" s="8" t="str">
        <f t="shared" si="60"/>
        <v xml:space="preserve"> dcterms:source "https://www.mindat.org/min-49662.html" ; </v>
      </c>
      <c r="W153" s="8" t="str">
        <f t="shared" si="61"/>
        <v xml:space="preserve">skos:definition "An L chondrite that is petrologic type 3.3."@en ; </v>
      </c>
      <c r="X153" s="8" t="str">
        <f t="shared" si="51"/>
        <v xml:space="preserve"> skos:inScheme &lt;https://mindat.org/etmat/cscheme&gt; ;  </v>
      </c>
      <c r="Y153" s="8" t="str">
        <f t="shared" si="62"/>
        <v xml:space="preserve">skos:prefLabel "L3.3 chondrite meteorite"@en ; rdfs:label "L3.3 chondrite meteorite"@en ; </v>
      </c>
      <c r="Z153" s="8" t="str">
        <f t="shared" si="63"/>
        <v xml:space="preserve"> skos:notation  "L3.3"@en ; </v>
      </c>
      <c r="AA153" s="8" t="str">
        <f t="shared" si="53"/>
        <v>dcterms:source "https://www.lpi.usra.edu/meteor/metbullclass.php?sea=L3.3";</v>
      </c>
      <c r="AB153" s="8" t="str">
        <f t="shared" si="54"/>
        <v xml:space="preserve">skos:broader &lt;etma:1:1:49649:8&gt; ; </v>
      </c>
      <c r="AC153" s="8" t="str">
        <f t="shared" ca="1" si="55"/>
        <v>dcterms:modified "2023-06-20T08:57";  .</v>
      </c>
      <c r="AD153" s="10" t="str">
        <f t="shared" ca="1" si="64"/>
        <v>&lt;etma:1:1:49662:9&gt;  rdf:type skos:Concept ;     dcterms:source "https://www.mindat.org/min-49662.html" ;   skos:definition "An L chondrite that is petrologic type 3.3."@en ;    skos:inScheme &lt;https://mindat.org/etmat/cscheme&gt; ;    skos:prefLabel "L3.3 chondrite meteorite"@en ; rdfs:label "L3.3 chondrite meteorite"@en ;    skos:notation  "L3.3"@en ;   dcterms:source "https://www.lpi.usra.edu/meteor/metbullclass.php?sea=L3.3";  skos:broader &lt;etma:1:1:49649:8&gt; ;   dcterms:modified "2023-06-20T08:57";  .</v>
      </c>
      <c r="AE153" s="8" t="s">
        <v>2591</v>
      </c>
    </row>
    <row r="154" spans="1:31" x14ac:dyDescent="0.25">
      <c r="A154" s="8">
        <v>131</v>
      </c>
      <c r="B154" s="8" t="s">
        <v>667</v>
      </c>
      <c r="C154" s="8">
        <v>49663</v>
      </c>
      <c r="D154" s="8" t="s">
        <v>665</v>
      </c>
      <c r="E154" s="8" t="s">
        <v>666</v>
      </c>
      <c r="F154" s="9">
        <v>2</v>
      </c>
      <c r="G154" s="9" t="s">
        <v>508</v>
      </c>
      <c r="H154" s="1" t="s">
        <v>668</v>
      </c>
      <c r="I154" s="8" t="str">
        <f t="shared" si="58"/>
        <v>https://www.mindat.org/min-49663.html</v>
      </c>
      <c r="J154" s="8">
        <v>49649</v>
      </c>
      <c r="K154" s="8" t="s">
        <v>595</v>
      </c>
      <c r="N154" s="9">
        <v>0</v>
      </c>
      <c r="O154" s="9" t="s">
        <v>2249</v>
      </c>
      <c r="R154" s="8" t="s">
        <v>669</v>
      </c>
      <c r="S154" s="11">
        <f t="shared" ca="1" si="65"/>
        <v>45097.373057291668</v>
      </c>
      <c r="U154" s="8" t="str">
        <f t="shared" si="59"/>
        <v xml:space="preserve">&lt;etma:1:1:49663:8&gt;  rdf:type skos:Concept ;  </v>
      </c>
      <c r="V154" s="8" t="str">
        <f t="shared" si="60"/>
        <v xml:space="preserve"> dcterms:source "https://www.mindat.org/min-49663.html" ; </v>
      </c>
      <c r="W154" s="8" t="str">
        <f t="shared" si="61"/>
        <v xml:space="preserve">skos:definition "An L chondrite that is a breccia of petrological types 3.3 to 3.5."@en ; </v>
      </c>
      <c r="X154" s="8" t="str">
        <f t="shared" si="51"/>
        <v xml:space="preserve"> skos:inScheme &lt;https://mindat.org/etmat/cscheme&gt; ;  </v>
      </c>
      <c r="Y154" s="8" t="str">
        <f t="shared" si="62"/>
        <v xml:space="preserve">skos:prefLabel "L3.3-3.5 chondrite meteorite"@en ; rdfs:label "L3.3-3.5 chondrite meteorite"@en ; </v>
      </c>
      <c r="Z154" s="8" t="str">
        <f t="shared" si="63"/>
        <v xml:space="preserve"> skos:notation  "L3.3-3.5"@en ; </v>
      </c>
      <c r="AA154" s="8" t="str">
        <f t="shared" si="53"/>
        <v>dcterms:source "https://www.lpi.usra.edu/meteor/metbullclass.php?sea=L3.3-3.5";</v>
      </c>
      <c r="AB154" s="8" t="str">
        <f t="shared" si="54"/>
        <v xml:space="preserve">skos:broader &lt;etma:1:1:49649:8&gt; ; </v>
      </c>
      <c r="AC154" s="8" t="str">
        <f t="shared" ca="1" si="55"/>
        <v>dcterms:modified "2023-06-20T08:57";  .</v>
      </c>
      <c r="AD154" s="10" t="str">
        <f t="shared" ca="1" si="64"/>
        <v>&lt;etma:1:1:49663:8&gt;  rdf:type skos:Concept ;     dcterms:source "https://www.mindat.org/min-49663.html" ;   skos:definition "An L chondrite that is a breccia of petrological types 3.3 to 3.5."@en ;    skos:inScheme &lt;https://mindat.org/etmat/cscheme&gt; ;    skos:prefLabel "L3.3-3.5 chondrite meteorite"@en ; rdfs:label "L3.3-3.5 chondrite meteorite"@en ;    skos:notation  "L3.3-3.5"@en ;   dcterms:source "https://www.lpi.usra.edu/meteor/metbullclass.php?sea=L3.3-3.5";  skos:broader &lt;etma:1:1:49649:8&gt; ;   dcterms:modified "2023-06-20T08:57";  .</v>
      </c>
      <c r="AE154" s="8" t="s">
        <v>2591</v>
      </c>
    </row>
    <row r="155" spans="1:31" x14ac:dyDescent="0.25">
      <c r="A155" s="8">
        <v>132</v>
      </c>
      <c r="B155" s="8" t="s">
        <v>672</v>
      </c>
      <c r="C155" s="8">
        <v>49664</v>
      </c>
      <c r="D155" s="8" t="s">
        <v>670</v>
      </c>
      <c r="E155" s="8" t="s">
        <v>671</v>
      </c>
      <c r="F155" s="9">
        <v>2</v>
      </c>
      <c r="G155" s="9" t="s">
        <v>508</v>
      </c>
      <c r="H155" s="1" t="s">
        <v>673</v>
      </c>
      <c r="I155" s="8" t="str">
        <f t="shared" si="58"/>
        <v>https://www.mindat.org/min-49664.html</v>
      </c>
      <c r="J155" s="8">
        <v>49649</v>
      </c>
      <c r="K155" s="8" t="s">
        <v>595</v>
      </c>
      <c r="N155" s="9">
        <v>0</v>
      </c>
      <c r="O155" s="9" t="s">
        <v>2249</v>
      </c>
      <c r="R155" s="8" t="s">
        <v>674</v>
      </c>
      <c r="S155" s="11">
        <f t="shared" ca="1" si="65"/>
        <v>45097.373057407407</v>
      </c>
      <c r="U155" s="8" t="str">
        <f t="shared" si="59"/>
        <v xml:space="preserve">&lt;etma:1:1:49664:7&gt;  rdf:type skos:Concept ;  </v>
      </c>
      <c r="V155" s="8" t="str">
        <f t="shared" si="60"/>
        <v xml:space="preserve"> dcterms:source "https://www.mindat.org/min-49664.html" ; </v>
      </c>
      <c r="W155" s="8" t="str">
        <f t="shared" si="61"/>
        <v xml:space="preserve">skos:definition "An L chondrite that is a breccia of petrological types 3.3 to 3.6."@en ; </v>
      </c>
      <c r="X155" s="8" t="str">
        <f t="shared" si="51"/>
        <v xml:space="preserve"> skos:inScheme &lt;https://mindat.org/etmat/cscheme&gt; ;  </v>
      </c>
      <c r="Y155" s="8" t="str">
        <f t="shared" si="62"/>
        <v xml:space="preserve">skos:prefLabel "L3.3-3.6 chondrite meteorite"@en ; rdfs:label "L3.3-3.6 chondrite meteorite"@en ; </v>
      </c>
      <c r="Z155" s="8" t="str">
        <f t="shared" si="63"/>
        <v xml:space="preserve"> skos:notation  "L3.3-3.6"@en ; </v>
      </c>
      <c r="AA155" s="8" t="str">
        <f t="shared" si="53"/>
        <v>dcterms:source "https://www.lpi.usra.edu/meteor/metbullclass.php?sea=L3.3-3.6";</v>
      </c>
      <c r="AB155" s="8" t="str">
        <f t="shared" si="54"/>
        <v xml:space="preserve">skos:broader &lt;etma:1:1:49649:8&gt; ; </v>
      </c>
      <c r="AC155" s="8" t="str">
        <f t="shared" ca="1" si="55"/>
        <v>dcterms:modified "2023-06-20T08:57";  .</v>
      </c>
      <c r="AD155" s="10" t="str">
        <f t="shared" ca="1" si="64"/>
        <v>&lt;etma:1:1:49664:7&gt;  rdf:type skos:Concept ;     dcterms:source "https://www.mindat.org/min-49664.html" ;   skos:definition "An L chondrite that is a breccia of petrological types 3.3 to 3.6."@en ;    skos:inScheme &lt;https://mindat.org/etmat/cscheme&gt; ;    skos:prefLabel "L3.3-3.6 chondrite meteorite"@en ; rdfs:label "L3.3-3.6 chondrite meteorite"@en ;    skos:notation  "L3.3-3.6"@en ;   dcterms:source "https://www.lpi.usra.edu/meteor/metbullclass.php?sea=L3.3-3.6";  skos:broader &lt;etma:1:1:49649:8&gt; ;   dcterms:modified "2023-06-20T08:57";  .</v>
      </c>
      <c r="AE155" s="8" t="s">
        <v>2591</v>
      </c>
    </row>
    <row r="156" spans="1:31" x14ac:dyDescent="0.25">
      <c r="A156" s="8">
        <v>133</v>
      </c>
      <c r="B156" s="8" t="s">
        <v>677</v>
      </c>
      <c r="C156" s="8">
        <v>49665</v>
      </c>
      <c r="D156" s="8" t="s">
        <v>675</v>
      </c>
      <c r="E156" s="8" t="s">
        <v>676</v>
      </c>
      <c r="F156" s="9">
        <v>2</v>
      </c>
      <c r="G156" s="9" t="s">
        <v>508</v>
      </c>
      <c r="H156" s="1" t="s">
        <v>678</v>
      </c>
      <c r="I156" s="8" t="str">
        <f t="shared" si="58"/>
        <v>https://www.mindat.org/min-49665.html</v>
      </c>
      <c r="J156" s="8">
        <v>49649</v>
      </c>
      <c r="K156" s="8" t="s">
        <v>595</v>
      </c>
      <c r="N156" s="9">
        <v>0</v>
      </c>
      <c r="O156" s="9" t="s">
        <v>2249</v>
      </c>
      <c r="R156" s="8" t="s">
        <v>679</v>
      </c>
      <c r="S156" s="11">
        <f t="shared" ca="1" si="65"/>
        <v>45097.373057291668</v>
      </c>
      <c r="U156" s="8" t="str">
        <f t="shared" si="59"/>
        <v xml:space="preserve">&lt;etma:1:1:49665:6&gt;  rdf:type skos:Concept ;  </v>
      </c>
      <c r="V156" s="8" t="str">
        <f t="shared" si="60"/>
        <v xml:space="preserve"> dcterms:source "https://www.mindat.org/min-49665.html" ; </v>
      </c>
      <c r="W156" s="8" t="str">
        <f t="shared" si="61"/>
        <v xml:space="preserve">skos:definition "An L chondrite that is a breccia of petrological types 3.3 to 3.7."@en ; </v>
      </c>
      <c r="X156" s="8" t="str">
        <f t="shared" si="51"/>
        <v xml:space="preserve"> skos:inScheme &lt;https://mindat.org/etmat/cscheme&gt; ;  </v>
      </c>
      <c r="Y156" s="8" t="str">
        <f t="shared" si="62"/>
        <v xml:space="preserve">skos:prefLabel "L3.3-3.7 chondrite meteorite"@en ; rdfs:label "L3.3-3.7 chondrite meteorite"@en ; </v>
      </c>
      <c r="Z156" s="8" t="str">
        <f t="shared" si="63"/>
        <v xml:space="preserve"> skos:notation  "L3.3-3.7"@en ; </v>
      </c>
      <c r="AA156" s="8" t="str">
        <f t="shared" si="53"/>
        <v>dcterms:source "https://www.lpi.usra.edu/meteor/metbullclass.php?sea=L3.3-3.7";</v>
      </c>
      <c r="AB156" s="8" t="str">
        <f t="shared" si="54"/>
        <v xml:space="preserve">skos:broader &lt;etma:1:1:49649:8&gt; ; </v>
      </c>
      <c r="AC156" s="8" t="str">
        <f t="shared" ca="1" si="55"/>
        <v>dcterms:modified "2023-06-20T08:57";  .</v>
      </c>
      <c r="AD156" s="10" t="str">
        <f t="shared" ca="1" si="64"/>
        <v>&lt;etma:1:1:49665:6&gt;  rdf:type skos:Concept ;     dcterms:source "https://www.mindat.org/min-49665.html" ;   skos:definition "An L chondrite that is a breccia of petrological types 3.3 to 3.7."@en ;    skos:inScheme &lt;https://mindat.org/etmat/cscheme&gt; ;    skos:prefLabel "L3.3-3.7 chondrite meteorite"@en ; rdfs:label "L3.3-3.7 chondrite meteorite"@en ;    skos:notation  "L3.3-3.7"@en ;   dcterms:source "https://www.lpi.usra.edu/meteor/metbullclass.php?sea=L3.3-3.7";  skos:broader &lt;etma:1:1:49649:8&gt; ;   dcterms:modified "2023-06-20T08:57";  .</v>
      </c>
      <c r="AE156" s="8" t="s">
        <v>2591</v>
      </c>
    </row>
    <row r="157" spans="1:31" x14ac:dyDescent="0.25">
      <c r="A157" s="8">
        <v>134</v>
      </c>
      <c r="B157" s="8" t="s">
        <v>682</v>
      </c>
      <c r="C157" s="8">
        <v>49666</v>
      </c>
      <c r="D157" s="8" t="s">
        <v>680</v>
      </c>
      <c r="E157" s="8" t="s">
        <v>681</v>
      </c>
      <c r="F157" s="9">
        <v>7</v>
      </c>
      <c r="G157" s="9" t="s">
        <v>14</v>
      </c>
      <c r="H157" s="1" t="s">
        <v>683</v>
      </c>
      <c r="I157" s="8" t="str">
        <f t="shared" si="58"/>
        <v>https://www.mindat.org/min-49666.html</v>
      </c>
      <c r="J157" s="8">
        <v>49649</v>
      </c>
      <c r="K157" s="8" t="s">
        <v>595</v>
      </c>
      <c r="L157" s="9">
        <v>49695</v>
      </c>
      <c r="M157" s="8" t="s">
        <v>810</v>
      </c>
      <c r="N157" s="9">
        <v>0</v>
      </c>
      <c r="O157" s="9" t="s">
        <v>2249</v>
      </c>
      <c r="R157" s="8" t="s">
        <v>684</v>
      </c>
      <c r="S157" s="11">
        <f t="shared" ca="1" si="65"/>
        <v>45097.373057407407</v>
      </c>
      <c r="U157" s="8" t="str">
        <f t="shared" si="59"/>
        <v xml:space="preserve">&lt;etma:1:1:49666:5&gt;  rdf:type skos:Concept ;  </v>
      </c>
      <c r="V157" s="8" t="str">
        <f t="shared" si="60"/>
        <v xml:space="preserve"> dcterms:source "https://www.mindat.org/min-49666.html" ; </v>
      </c>
      <c r="W157" s="8" t="str">
        <f t="shared" si="61"/>
        <v xml:space="preserve">skos:definition "An L chondrite that is a breccia of petrological types 3 to 4."@en ; </v>
      </c>
      <c r="X157" s="8" t="str">
        <f t="shared" si="51"/>
        <v xml:space="preserve"> skos:inScheme &lt;https://mindat.org/etmat/cscheme&gt; ;  </v>
      </c>
      <c r="Y157" s="8" t="str">
        <f t="shared" si="62"/>
        <v xml:space="preserve">skos:prefLabel "L3-4 chondrite meteorite"@en ; rdfs:label "L3-4 chondrite meteorite"@en ; </v>
      </c>
      <c r="Z157" s="8" t="str">
        <f t="shared" si="63"/>
        <v xml:space="preserve"> skos:notation  "L3-4"@en ; </v>
      </c>
      <c r="AA157" s="8" t="str">
        <f t="shared" si="53"/>
        <v>dcterms:source "https://www.lpi.usra.edu/meteor/metbullclass.php?sea=L3-4";</v>
      </c>
      <c r="AB157" s="8" t="str">
        <f t="shared" si="54"/>
        <v xml:space="preserve">skos:broader &lt;etma:1:1:49649:8&gt;, &lt;etma:1:1:49695:7&gt; ; </v>
      </c>
      <c r="AC157" s="8" t="str">
        <f t="shared" ca="1" si="55"/>
        <v>dcterms:modified "2023-06-20T08:57";  .</v>
      </c>
      <c r="AD157" s="10" t="str">
        <f t="shared" ca="1" si="64"/>
        <v>&lt;etma:1:1:49666:5&gt;  rdf:type skos:Concept ;     dcterms:source "https://www.mindat.org/min-49666.html" ;   skos:definition "An L chondrite that is a breccia of petrological types 3 to 4."@en ;    skos:inScheme &lt;https://mindat.org/etmat/cscheme&gt; ;    skos:prefLabel "L3-4 chondrite meteorite"@en ; rdfs:label "L3-4 chondrite meteorite"@en ;    skos:notation  "L3-4"@en ;   dcterms:source "https://www.lpi.usra.edu/meteor/metbullclass.php?sea=L3-4";  skos:broader &lt;etma:1:1:49649:8&gt;, &lt;etma:1:1:49695:7&gt; ;   dcterms:modified "2023-06-20T08:57";  .</v>
      </c>
      <c r="AE157" s="8" t="s">
        <v>2591</v>
      </c>
    </row>
    <row r="158" spans="1:31" x14ac:dyDescent="0.25">
      <c r="A158" s="8">
        <v>135</v>
      </c>
      <c r="B158" s="8" t="s">
        <v>687</v>
      </c>
      <c r="C158" s="8">
        <v>49667</v>
      </c>
      <c r="D158" s="8" t="s">
        <v>685</v>
      </c>
      <c r="E158" s="8" t="s">
        <v>686</v>
      </c>
      <c r="F158" s="9">
        <v>7</v>
      </c>
      <c r="G158" s="9" t="s">
        <v>14</v>
      </c>
      <c r="H158" s="1" t="s">
        <v>688</v>
      </c>
      <c r="I158" s="8" t="str">
        <f t="shared" si="58"/>
        <v>https://www.mindat.org/min-49667.html</v>
      </c>
      <c r="J158" s="8">
        <v>49649</v>
      </c>
      <c r="K158" s="8" t="s">
        <v>595</v>
      </c>
      <c r="N158" s="9">
        <v>0</v>
      </c>
      <c r="O158" s="9" t="s">
        <v>2249</v>
      </c>
      <c r="R158" s="8" t="s">
        <v>689</v>
      </c>
      <c r="S158" s="11">
        <f t="shared" ca="1" si="65"/>
        <v>45097.373057291668</v>
      </c>
      <c r="U158" s="8" t="str">
        <f t="shared" si="59"/>
        <v xml:space="preserve">&lt;etma:1:1:49667:4&gt;  rdf:type skos:Concept ;  </v>
      </c>
      <c r="V158" s="8" t="str">
        <f t="shared" si="60"/>
        <v xml:space="preserve"> dcterms:source "https://www.mindat.org/min-49667.html" ; </v>
      </c>
      <c r="W158" s="8" t="str">
        <f t="shared" si="61"/>
        <v xml:space="preserve">skos:definition "An L chondrite that is petrologic type 3.5."@en ; </v>
      </c>
      <c r="X158" s="8" t="str">
        <f t="shared" si="51"/>
        <v xml:space="preserve"> skos:inScheme &lt;https://mindat.org/etmat/cscheme&gt; ;  </v>
      </c>
      <c r="Y158" s="8" t="str">
        <f t="shared" si="62"/>
        <v xml:space="preserve">skos:prefLabel "L3.5 chondrite meteorite"@en ; rdfs:label "L3.5 chondrite meteorite"@en ; </v>
      </c>
      <c r="Z158" s="8" t="str">
        <f t="shared" si="63"/>
        <v xml:space="preserve"> skos:notation  "L3.5"@en ; </v>
      </c>
      <c r="AA158" s="8" t="str">
        <f t="shared" si="53"/>
        <v>dcterms:source "https://www.lpi.usra.edu/meteor/metbullclass.php?sea=L3.5";</v>
      </c>
      <c r="AB158" s="8" t="str">
        <f t="shared" si="54"/>
        <v xml:space="preserve">skos:broader &lt;etma:1:1:49649:8&gt; ; </v>
      </c>
      <c r="AC158" s="8" t="str">
        <f t="shared" ca="1" si="55"/>
        <v>dcterms:modified "2023-06-20T08:57";  .</v>
      </c>
      <c r="AD158" s="10" t="str">
        <f t="shared" ca="1" si="64"/>
        <v>&lt;etma:1:1:49667:4&gt;  rdf:type skos:Concept ;     dcterms:source "https://www.mindat.org/min-49667.html" ;   skos:definition "An L chondrite that is petrologic type 3.5."@en ;    skos:inScheme &lt;https://mindat.org/etmat/cscheme&gt; ;    skos:prefLabel "L3.5 chondrite meteorite"@en ; rdfs:label "L3.5 chondrite meteorite"@en ;    skos:notation  "L3.5"@en ;   dcterms:source "https://www.lpi.usra.edu/meteor/metbullclass.php?sea=L3.5";  skos:broader &lt;etma:1:1:49649:8&gt; ;   dcterms:modified "2023-06-20T08:57";  .</v>
      </c>
      <c r="AE158" s="8" t="s">
        <v>2591</v>
      </c>
    </row>
    <row r="159" spans="1:31" x14ac:dyDescent="0.25">
      <c r="A159" s="8">
        <v>136</v>
      </c>
      <c r="B159" s="8" t="s">
        <v>692</v>
      </c>
      <c r="C159" s="8">
        <v>49668</v>
      </c>
      <c r="D159" s="8" t="s">
        <v>690</v>
      </c>
      <c r="E159" s="8" t="s">
        <v>691</v>
      </c>
      <c r="F159" s="9">
        <v>2</v>
      </c>
      <c r="G159" s="9" t="s">
        <v>508</v>
      </c>
      <c r="H159" s="1" t="s">
        <v>693</v>
      </c>
      <c r="I159" s="8" t="str">
        <f t="shared" si="58"/>
        <v>https://www.mindat.org/min-49668.html</v>
      </c>
      <c r="J159" s="8">
        <v>49649</v>
      </c>
      <c r="K159" s="8" t="s">
        <v>595</v>
      </c>
      <c r="N159" s="9">
        <v>0</v>
      </c>
      <c r="O159" s="9" t="s">
        <v>2249</v>
      </c>
      <c r="R159" s="8" t="s">
        <v>694</v>
      </c>
      <c r="S159" s="11">
        <f t="shared" ca="1" si="65"/>
        <v>45097.373057291668</v>
      </c>
      <c r="U159" s="8" t="str">
        <f t="shared" si="59"/>
        <v xml:space="preserve">&lt;etma:1:1:49668:3&gt;  rdf:type skos:Concept ;  </v>
      </c>
      <c r="V159" s="8" t="str">
        <f t="shared" si="60"/>
        <v xml:space="preserve"> dcterms:source "https://www.mindat.org/min-49668.html" ; </v>
      </c>
      <c r="W159" s="8" t="str">
        <f t="shared" si="61"/>
        <v xml:space="preserve">skos:definition "An L chondrite that is a breccia of petrological types 3.5 tto 3.7."@en ; </v>
      </c>
      <c r="X159" s="8" t="str">
        <f t="shared" si="51"/>
        <v xml:space="preserve"> skos:inScheme &lt;https://mindat.org/etmat/cscheme&gt; ;  </v>
      </c>
      <c r="Y159" s="8" t="str">
        <f t="shared" si="62"/>
        <v xml:space="preserve">skos:prefLabel "L3.5-3.7 chondrite meteorite"@en ; rdfs:label "L3.5-3.7 chondrite meteorite"@en ; </v>
      </c>
      <c r="Z159" s="8" t="str">
        <f t="shared" si="63"/>
        <v xml:space="preserve"> skos:notation  "L3.5-3.7"@en ; </v>
      </c>
      <c r="AA159" s="8" t="str">
        <f t="shared" si="53"/>
        <v>dcterms:source "https://www.lpi.usra.edu/meteor/metbullclass.php?sea=L3.5-3.7";</v>
      </c>
      <c r="AB159" s="8" t="str">
        <f t="shared" si="54"/>
        <v xml:space="preserve">skos:broader &lt;etma:1:1:49649:8&gt; ; </v>
      </c>
      <c r="AC159" s="8" t="str">
        <f t="shared" ca="1" si="55"/>
        <v>dcterms:modified "2023-06-20T08:57";  .</v>
      </c>
      <c r="AD159" s="10" t="str">
        <f t="shared" ca="1" si="64"/>
        <v>&lt;etma:1:1:49668:3&gt;  rdf:type skos:Concept ;     dcterms:source "https://www.mindat.org/min-49668.html" ;   skos:definition "An L chondrite that is a breccia of petrological types 3.5 tto 3.7."@en ;    skos:inScheme &lt;https://mindat.org/etmat/cscheme&gt; ;    skos:prefLabel "L3.5-3.7 chondrite meteorite"@en ; rdfs:label "L3.5-3.7 chondrite meteorite"@en ;    skos:notation  "L3.5-3.7"@en ;   dcterms:source "https://www.lpi.usra.edu/meteor/metbullclass.php?sea=L3.5-3.7";  skos:broader &lt;etma:1:1:49649:8&gt; ;   dcterms:modified "2023-06-20T08:57";  .</v>
      </c>
      <c r="AE159" s="8" t="s">
        <v>2591</v>
      </c>
    </row>
    <row r="160" spans="1:31" x14ac:dyDescent="0.25">
      <c r="A160" s="8">
        <v>137</v>
      </c>
      <c r="B160" s="8" t="s">
        <v>697</v>
      </c>
      <c r="C160" s="8">
        <v>49669</v>
      </c>
      <c r="D160" s="8" t="s">
        <v>695</v>
      </c>
      <c r="E160" s="8" t="s">
        <v>696</v>
      </c>
      <c r="F160" s="9">
        <v>2</v>
      </c>
      <c r="G160" s="9" t="s">
        <v>508</v>
      </c>
      <c r="H160" s="1" t="s">
        <v>698</v>
      </c>
      <c r="I160" s="8" t="str">
        <f t="shared" si="58"/>
        <v>https://www.mindat.org/min-49669.html</v>
      </c>
      <c r="J160" s="8">
        <v>49649</v>
      </c>
      <c r="K160" s="8" t="s">
        <v>595</v>
      </c>
      <c r="N160" s="9">
        <v>0</v>
      </c>
      <c r="O160" s="9" t="s">
        <v>2249</v>
      </c>
      <c r="R160" s="8" t="s">
        <v>699</v>
      </c>
      <c r="S160" s="11">
        <f t="shared" ca="1" si="65"/>
        <v>45097.373057291668</v>
      </c>
      <c r="U160" s="8" t="str">
        <f t="shared" si="59"/>
        <v xml:space="preserve">&lt;etma:1:1:49669:2&gt;  rdf:type skos:Concept ;  </v>
      </c>
      <c r="V160" s="8" t="str">
        <f t="shared" si="60"/>
        <v xml:space="preserve"> dcterms:source "https://www.mindat.org/min-49669.html" ; </v>
      </c>
      <c r="W160" s="8" t="str">
        <f t="shared" si="61"/>
        <v xml:space="preserve">skos:definition "An L chondrite that is a breccia of petrological types 3.5 to 3.8."@en ; </v>
      </c>
      <c r="X160" s="8" t="str">
        <f t="shared" si="51"/>
        <v xml:space="preserve"> skos:inScheme &lt;https://mindat.org/etmat/cscheme&gt; ;  </v>
      </c>
      <c r="Y160" s="8" t="str">
        <f t="shared" si="62"/>
        <v xml:space="preserve">skos:prefLabel "L3.5-3.8 chondrite meteorite"@en ; rdfs:label "L3.5-3.8 chondrite meteorite"@en ; </v>
      </c>
      <c r="Z160" s="8" t="str">
        <f t="shared" si="63"/>
        <v xml:space="preserve"> skos:notation  "L3.5-3.8"@en ; </v>
      </c>
      <c r="AA160" s="8" t="str">
        <f t="shared" si="53"/>
        <v>dcterms:source "https://www.lpi.usra.edu/meteor/metbullclass.php?sea=L3.5-3.8";</v>
      </c>
      <c r="AB160" s="8" t="str">
        <f t="shared" si="54"/>
        <v xml:space="preserve">skos:broader &lt;etma:1:1:49649:8&gt; ; </v>
      </c>
      <c r="AC160" s="8" t="str">
        <f t="shared" ca="1" si="55"/>
        <v>dcterms:modified "2023-06-20T08:57";  .</v>
      </c>
      <c r="AD160" s="10" t="str">
        <f t="shared" ca="1" si="64"/>
        <v>&lt;etma:1:1:49669:2&gt;  rdf:type skos:Concept ;     dcterms:source "https://www.mindat.org/min-49669.html" ;   skos:definition "An L chondrite that is a breccia of petrological types 3.5 to 3.8."@en ;    skos:inScheme &lt;https://mindat.org/etmat/cscheme&gt; ;    skos:prefLabel "L3.5-3.8 chondrite meteorite"@en ; rdfs:label "L3.5-3.8 chondrite meteorite"@en ;    skos:notation  "L3.5-3.8"@en ;   dcterms:source "https://www.lpi.usra.edu/meteor/metbullclass.php?sea=L3.5-3.8";  skos:broader &lt;etma:1:1:49649:8&gt; ;   dcterms:modified "2023-06-20T08:57";  .</v>
      </c>
      <c r="AE160" s="8" t="s">
        <v>2591</v>
      </c>
    </row>
    <row r="161" spans="1:31" x14ac:dyDescent="0.25">
      <c r="A161" s="8">
        <v>138</v>
      </c>
      <c r="B161" s="8" t="s">
        <v>702</v>
      </c>
      <c r="C161" s="8">
        <v>49670</v>
      </c>
      <c r="D161" s="8" t="s">
        <v>700</v>
      </c>
      <c r="E161" s="8" t="s">
        <v>701</v>
      </c>
      <c r="F161" s="9">
        <v>2</v>
      </c>
      <c r="G161" s="9" t="s">
        <v>508</v>
      </c>
      <c r="H161" s="1" t="s">
        <v>703</v>
      </c>
      <c r="I161" s="8" t="str">
        <f t="shared" si="58"/>
        <v>https://www.mindat.org/min-49670.html</v>
      </c>
      <c r="J161" s="8">
        <v>49649</v>
      </c>
      <c r="K161" s="8" t="s">
        <v>595</v>
      </c>
      <c r="N161" s="9">
        <v>0</v>
      </c>
      <c r="O161" s="9" t="s">
        <v>2249</v>
      </c>
      <c r="R161" s="8" t="s">
        <v>704</v>
      </c>
      <c r="S161" s="11">
        <f t="shared" ca="1" si="65"/>
        <v>45097.373057291668</v>
      </c>
      <c r="U161" s="8" t="str">
        <f t="shared" si="59"/>
        <v xml:space="preserve">&lt;etma:1:1:49670:8&gt;  rdf:type skos:Concept ;  </v>
      </c>
      <c r="V161" s="8" t="str">
        <f t="shared" si="60"/>
        <v xml:space="preserve"> dcterms:source "https://www.mindat.org/min-49670.html" ; </v>
      </c>
      <c r="W161" s="8" t="str">
        <f t="shared" si="61"/>
        <v xml:space="preserve">skos:definition "An L chondrite that is a breccia of petrological types 3.5 to 3.9."@en ; </v>
      </c>
      <c r="X161" s="8" t="str">
        <f t="shared" si="51"/>
        <v xml:space="preserve"> skos:inScheme &lt;https://mindat.org/etmat/cscheme&gt; ;  </v>
      </c>
      <c r="Y161" s="8" t="str">
        <f t="shared" si="62"/>
        <v xml:space="preserve">skos:prefLabel "L3.5-3.9 chondrite meteorite"@en ; rdfs:label "L3.5-3.9 chondrite meteorite"@en ; </v>
      </c>
      <c r="Z161" s="8" t="str">
        <f t="shared" si="63"/>
        <v xml:space="preserve"> skos:notation  "L3.5-3.9"@en ; </v>
      </c>
      <c r="AA161" s="8" t="str">
        <f t="shared" si="53"/>
        <v>dcterms:source "https://www.lpi.usra.edu/meteor/metbullclass.php?sea=L3.5-3.9";</v>
      </c>
      <c r="AB161" s="8" t="str">
        <f t="shared" si="54"/>
        <v xml:space="preserve">skos:broader &lt;etma:1:1:49649:8&gt; ; </v>
      </c>
      <c r="AC161" s="8" t="str">
        <f t="shared" ca="1" si="55"/>
        <v>dcterms:modified "2023-06-20T08:57";  .</v>
      </c>
      <c r="AD161" s="10" t="str">
        <f t="shared" ca="1" si="64"/>
        <v>&lt;etma:1:1:49670:8&gt;  rdf:type skos:Concept ;     dcterms:source "https://www.mindat.org/min-49670.html" ;   skos:definition "An L chondrite that is a breccia of petrological types 3.5 to 3.9."@en ;    skos:inScheme &lt;https://mindat.org/etmat/cscheme&gt; ;    skos:prefLabel "L3.5-3.9 chondrite meteorite"@en ; rdfs:label "L3.5-3.9 chondrite meteorite"@en ;    skos:notation  "L3.5-3.9"@en ;   dcterms:source "https://www.lpi.usra.edu/meteor/metbullclass.php?sea=L3.5-3.9";  skos:broader &lt;etma:1:1:49649:8&gt; ;   dcterms:modified "2023-06-20T08:57";  .</v>
      </c>
      <c r="AE161" s="8" t="s">
        <v>2591</v>
      </c>
    </row>
    <row r="162" spans="1:31" x14ac:dyDescent="0.25">
      <c r="A162" s="8">
        <v>139</v>
      </c>
      <c r="B162" s="8" t="s">
        <v>707</v>
      </c>
      <c r="C162" s="8">
        <v>49671</v>
      </c>
      <c r="D162" s="8" t="s">
        <v>705</v>
      </c>
      <c r="E162" s="8" t="s">
        <v>706</v>
      </c>
      <c r="F162" s="9">
        <v>7</v>
      </c>
      <c r="G162" s="9" t="s">
        <v>14</v>
      </c>
      <c r="H162" s="1" t="s">
        <v>708</v>
      </c>
      <c r="I162" s="8" t="str">
        <f t="shared" si="58"/>
        <v>https://www.mindat.org/min-49671.html</v>
      </c>
      <c r="J162" s="8">
        <v>49649</v>
      </c>
      <c r="K162" s="8" t="s">
        <v>595</v>
      </c>
      <c r="N162" s="9">
        <v>0</v>
      </c>
      <c r="O162" s="9" t="s">
        <v>2249</v>
      </c>
      <c r="R162" s="8" t="s">
        <v>709</v>
      </c>
      <c r="S162" s="11">
        <f t="shared" ca="1" si="65"/>
        <v>45097.373057291668</v>
      </c>
      <c r="U162" s="8" t="str">
        <f t="shared" si="59"/>
        <v xml:space="preserve">&lt;etma:1:1:49671:7&gt;  rdf:type skos:Concept ;  </v>
      </c>
      <c r="V162" s="8" t="str">
        <f t="shared" si="60"/>
        <v xml:space="preserve"> dcterms:source "https://www.mindat.org/min-49671.html" ; </v>
      </c>
      <c r="W162" s="8" t="str">
        <f t="shared" si="61"/>
        <v xml:space="preserve">skos:definition "An L chondrite that is petrologic type 3.6."@en ; </v>
      </c>
      <c r="X162" s="8" t="str">
        <f t="shared" ref="X162:X225" si="66">" skos:inScheme &lt;https://mindat.org/etmat/cscheme&gt; ;  "</f>
        <v xml:space="preserve"> skos:inScheme &lt;https://mindat.org/etmat/cscheme&gt; ;  </v>
      </c>
      <c r="Y162" s="8" t="str">
        <f t="shared" si="62"/>
        <v xml:space="preserve">skos:prefLabel "L3.6 chondrite meteorite"@en ; rdfs:label "L3.6 chondrite meteorite"@en ; </v>
      </c>
      <c r="Z162" s="8" t="str">
        <f t="shared" si="63"/>
        <v xml:space="preserve"> skos:notation  "L3.6"@en ; </v>
      </c>
      <c r="AA162" s="8" t="str">
        <f t="shared" si="53"/>
        <v>dcterms:source "https://www.lpi.usra.edu/meteor/metbullclass.php?sea=L3.6";</v>
      </c>
      <c r="AB162" s="8" t="str">
        <f t="shared" si="54"/>
        <v xml:space="preserve">skos:broader &lt;etma:1:1:49649:8&gt; ; </v>
      </c>
      <c r="AC162" s="8" t="str">
        <f t="shared" ca="1" si="55"/>
        <v>dcterms:modified "2023-06-20T08:57";  .</v>
      </c>
      <c r="AD162" s="10" t="str">
        <f t="shared" ca="1" si="64"/>
        <v>&lt;etma:1:1:49671:7&gt;  rdf:type skos:Concept ;     dcterms:source "https://www.mindat.org/min-49671.html" ;   skos:definition "An L chondrite that is petrologic type 3.6."@en ;    skos:inScheme &lt;https://mindat.org/etmat/cscheme&gt; ;    skos:prefLabel "L3.6 chondrite meteorite"@en ; rdfs:label "L3.6 chondrite meteorite"@en ;    skos:notation  "L3.6"@en ;   dcterms:source "https://www.lpi.usra.edu/meteor/metbullclass.php?sea=L3.6";  skos:broader &lt;etma:1:1:49649:8&gt; ;   dcterms:modified "2023-06-20T08:57";  .</v>
      </c>
      <c r="AE162" s="8" t="s">
        <v>2591</v>
      </c>
    </row>
    <row r="163" spans="1:31" x14ac:dyDescent="0.25">
      <c r="A163" s="8">
        <v>140</v>
      </c>
      <c r="B163" s="8" t="s">
        <v>712</v>
      </c>
      <c r="C163" s="8">
        <v>49672</v>
      </c>
      <c r="D163" s="8" t="s">
        <v>710</v>
      </c>
      <c r="E163" s="8" t="s">
        <v>711</v>
      </c>
      <c r="F163" s="9">
        <v>2</v>
      </c>
      <c r="G163" s="9" t="s">
        <v>508</v>
      </c>
      <c r="H163" s="1" t="s">
        <v>713</v>
      </c>
      <c r="I163" s="8" t="str">
        <f t="shared" si="58"/>
        <v>https://www.mindat.org/min-49672.html</v>
      </c>
      <c r="J163" s="8">
        <v>49649</v>
      </c>
      <c r="K163" s="8" t="s">
        <v>595</v>
      </c>
      <c r="N163" s="9">
        <v>0</v>
      </c>
      <c r="O163" s="9" t="s">
        <v>2249</v>
      </c>
      <c r="R163" s="8" t="s">
        <v>714</v>
      </c>
      <c r="S163" s="11">
        <f t="shared" ca="1" si="65"/>
        <v>45097.373057407407</v>
      </c>
      <c r="U163" s="8" t="str">
        <f t="shared" si="59"/>
        <v xml:space="preserve">&lt;etma:1:1:49672:6&gt;  rdf:type skos:Concept ;  </v>
      </c>
      <c r="V163" s="8" t="str">
        <f t="shared" si="60"/>
        <v xml:space="preserve"> dcterms:source "https://www.mindat.org/min-49672.html" ; </v>
      </c>
      <c r="W163" s="8" t="str">
        <f t="shared" si="61"/>
        <v xml:space="preserve">skos:definition "An L chondrite that is a breccia of petrological types 3.6 to 4."@en ; </v>
      </c>
      <c r="X163" s="8" t="str">
        <f t="shared" si="66"/>
        <v xml:space="preserve"> skos:inScheme &lt;https://mindat.org/etmat/cscheme&gt; ;  </v>
      </c>
      <c r="Y163" s="8" t="str">
        <f t="shared" si="62"/>
        <v xml:space="preserve">skos:prefLabel "L3.6-4 chondrite meteorite"@en ; rdfs:label "L3.6-4 chondrite meteorite"@en ; </v>
      </c>
      <c r="Z163" s="8" t="str">
        <f t="shared" si="63"/>
        <v xml:space="preserve"> skos:notation  "L3.6-4"@en ; </v>
      </c>
      <c r="AA163" s="8" t="str">
        <f t="shared" si="53"/>
        <v>dcterms:source "https://www.lpi.usra.edu/meteor/metbullclass.php?sea=L3.6-4";</v>
      </c>
      <c r="AB163" s="8" t="str">
        <f t="shared" si="54"/>
        <v xml:space="preserve">skos:broader &lt;etma:1:1:49649:8&gt; ; </v>
      </c>
      <c r="AC163" s="8" t="str">
        <f t="shared" ca="1" si="55"/>
        <v>dcterms:modified "2023-06-20T08:57";  .</v>
      </c>
      <c r="AD163" s="10" t="str">
        <f t="shared" ca="1" si="64"/>
        <v>&lt;etma:1:1:49672:6&gt;  rdf:type skos:Concept ;     dcterms:source "https://www.mindat.org/min-49672.html" ;   skos:definition "An L chondrite that is a breccia of petrological types 3.6 to 4."@en ;    skos:inScheme &lt;https://mindat.org/etmat/cscheme&gt; ;    skos:prefLabel "L3.6-4 chondrite meteorite"@en ; rdfs:label "L3.6-4 chondrite meteorite"@en ;    skos:notation  "L3.6-4"@en ;   dcterms:source "https://www.lpi.usra.edu/meteor/metbullclass.php?sea=L3.6-4";  skos:broader &lt;etma:1:1:49649:8&gt; ;   dcterms:modified "2023-06-20T08:57";  .</v>
      </c>
      <c r="AE163" s="8" t="s">
        <v>2591</v>
      </c>
    </row>
    <row r="164" spans="1:31" x14ac:dyDescent="0.25">
      <c r="A164" s="8">
        <v>141</v>
      </c>
      <c r="B164" s="8" t="s">
        <v>717</v>
      </c>
      <c r="C164" s="8">
        <v>49673</v>
      </c>
      <c r="D164" s="8" t="s">
        <v>715</v>
      </c>
      <c r="E164" s="8" t="s">
        <v>716</v>
      </c>
      <c r="F164" s="9">
        <v>7</v>
      </c>
      <c r="G164" s="9" t="s">
        <v>14</v>
      </c>
      <c r="H164" s="1" t="s">
        <v>718</v>
      </c>
      <c r="I164" s="8" t="str">
        <f t="shared" si="58"/>
        <v>https://www.mindat.org/min-49673.html</v>
      </c>
      <c r="J164" s="8">
        <v>49649</v>
      </c>
      <c r="K164" s="8" t="s">
        <v>595</v>
      </c>
      <c r="N164" s="9">
        <v>0</v>
      </c>
      <c r="O164" s="9" t="s">
        <v>2249</v>
      </c>
      <c r="R164" s="8" t="s">
        <v>719</v>
      </c>
      <c r="S164" s="11">
        <f t="shared" ca="1" si="65"/>
        <v>45097.373057291668</v>
      </c>
      <c r="U164" s="8" t="str">
        <f t="shared" si="59"/>
        <v xml:space="preserve">&lt;etma:1:1:49673:5&gt;  rdf:type skos:Concept ;  </v>
      </c>
      <c r="V164" s="8" t="str">
        <f t="shared" si="60"/>
        <v xml:space="preserve"> dcterms:source "https://www.mindat.org/min-49673.html" ; </v>
      </c>
      <c r="W164" s="8" t="str">
        <f t="shared" si="61"/>
        <v xml:space="preserve">skos:definition "An L chondrite that is petrologic type 3.7."@en ; </v>
      </c>
      <c r="X164" s="8" t="str">
        <f t="shared" si="66"/>
        <v xml:space="preserve"> skos:inScheme &lt;https://mindat.org/etmat/cscheme&gt; ;  </v>
      </c>
      <c r="Y164" s="8" t="str">
        <f t="shared" si="62"/>
        <v xml:space="preserve">skos:prefLabel "L3.7 chondrite meteorite"@en ; rdfs:label "L3.7 chondrite meteorite"@en ; </v>
      </c>
      <c r="Z164" s="8" t="str">
        <f t="shared" si="63"/>
        <v xml:space="preserve"> skos:notation  "L3.7"@en ; </v>
      </c>
      <c r="AA164" s="8" t="str">
        <f t="shared" si="53"/>
        <v>dcterms:source "https://www.lpi.usra.edu/meteor/metbullclass.php?sea=L3.7";</v>
      </c>
      <c r="AB164" s="8" t="str">
        <f t="shared" si="54"/>
        <v xml:space="preserve">skos:broader &lt;etma:1:1:49649:8&gt; ; </v>
      </c>
      <c r="AC164" s="8" t="str">
        <f t="shared" ca="1" si="55"/>
        <v>dcterms:modified "2023-06-20T08:57";  .</v>
      </c>
      <c r="AD164" s="10" t="str">
        <f t="shared" ca="1" si="64"/>
        <v>&lt;etma:1:1:49673:5&gt;  rdf:type skos:Concept ;     dcterms:source "https://www.mindat.org/min-49673.html" ;   skos:definition "An L chondrite that is petrologic type 3.7."@en ;    skos:inScheme &lt;https://mindat.org/etmat/cscheme&gt; ;    skos:prefLabel "L3.7 chondrite meteorite"@en ; rdfs:label "L3.7 chondrite meteorite"@en ;    skos:notation  "L3.7"@en ;   dcterms:source "https://www.lpi.usra.edu/meteor/metbullclass.php?sea=L3.7";  skos:broader &lt;etma:1:1:49649:8&gt; ;   dcterms:modified "2023-06-20T08:57";  .</v>
      </c>
      <c r="AE164" s="8" t="s">
        <v>2591</v>
      </c>
    </row>
    <row r="165" spans="1:31" x14ac:dyDescent="0.25">
      <c r="A165" s="8">
        <v>142</v>
      </c>
      <c r="B165" s="8" t="s">
        <v>722</v>
      </c>
      <c r="C165" s="8">
        <v>49674</v>
      </c>
      <c r="D165" s="8" t="s">
        <v>720</v>
      </c>
      <c r="E165" s="8" t="s">
        <v>721</v>
      </c>
      <c r="F165" s="9">
        <v>7</v>
      </c>
      <c r="G165" s="9" t="s">
        <v>14</v>
      </c>
      <c r="H165" s="1" t="s">
        <v>723</v>
      </c>
      <c r="I165" s="8" t="str">
        <f t="shared" si="58"/>
        <v>https://www.mindat.org/min-49674.html</v>
      </c>
      <c r="J165" s="8">
        <v>49673</v>
      </c>
      <c r="K165" s="8" t="s">
        <v>715</v>
      </c>
      <c r="L165" s="9">
        <v>49677</v>
      </c>
      <c r="M165" s="8" t="s">
        <v>735</v>
      </c>
      <c r="N165" s="9">
        <v>0</v>
      </c>
      <c r="O165" s="9" t="s">
        <v>2249</v>
      </c>
      <c r="R165" s="8" t="s">
        <v>724</v>
      </c>
      <c r="S165" s="11">
        <f t="shared" ca="1" si="65"/>
        <v>45097.373057407407</v>
      </c>
      <c r="U165" s="8" t="str">
        <f t="shared" si="59"/>
        <v xml:space="preserve">&lt;etma:1:1:49674:4&gt;  rdf:type skos:Concept ;  </v>
      </c>
      <c r="V165" s="8" t="str">
        <f t="shared" si="60"/>
        <v xml:space="preserve"> dcterms:source "https://www.mindat.org/min-49674.html" ; </v>
      </c>
      <c r="W165" s="8" t="str">
        <f t="shared" si="61"/>
        <v xml:space="preserve">skos:definition "An L chondrite that is petrologic type 3.7 to 3.8."@en ; </v>
      </c>
      <c r="X165" s="8" t="str">
        <f t="shared" si="66"/>
        <v xml:space="preserve"> skos:inScheme &lt;https://mindat.org/etmat/cscheme&gt; ;  </v>
      </c>
      <c r="Y165" s="8" t="str">
        <f t="shared" si="62"/>
        <v xml:space="preserve">skos:prefLabel "L3.7/3.8 chondrite meteorite"@en ; rdfs:label "L3.7/3.8 chondrite meteorite"@en ; </v>
      </c>
      <c r="Z165" s="8" t="str">
        <f t="shared" si="63"/>
        <v xml:space="preserve"> skos:notation  "L3.7/3.8"@en ; </v>
      </c>
      <c r="AA165" s="8" t="str">
        <f t="shared" si="53"/>
        <v>dcterms:source "https://www.lpi.usra.edu/meteor/metbullclass.php?sea=L3.7/3.8";</v>
      </c>
      <c r="AB165" s="8" t="str">
        <f t="shared" si="54"/>
        <v xml:space="preserve">skos:broader &lt;etma:1:1:49673:5&gt;, &lt;etma:1:1:49677:1&gt; ; </v>
      </c>
      <c r="AC165" s="8" t="str">
        <f t="shared" ca="1" si="55"/>
        <v>dcterms:modified "2023-06-20T08:57";  .</v>
      </c>
      <c r="AD165" s="10" t="str">
        <f t="shared" ca="1" si="64"/>
        <v>&lt;etma:1:1:49674:4&gt;  rdf:type skos:Concept ;     dcterms:source "https://www.mindat.org/min-49674.html" ;   skos:definition "An L chondrite that is petrologic type 3.7 to 3.8."@en ;    skos:inScheme &lt;https://mindat.org/etmat/cscheme&gt; ;    skos:prefLabel "L3.7/3.8 chondrite meteorite"@en ; rdfs:label "L3.7/3.8 chondrite meteorite"@en ;    skos:notation  "L3.7/3.8"@en ;   dcterms:source "https://www.lpi.usra.edu/meteor/metbullclass.php?sea=L3.7/3.8";  skos:broader &lt;etma:1:1:49673:5&gt;, &lt;etma:1:1:49677:1&gt; ;   dcterms:modified "2023-06-20T08:57";  .</v>
      </c>
      <c r="AE165" s="8" t="s">
        <v>2591</v>
      </c>
    </row>
    <row r="166" spans="1:31" x14ac:dyDescent="0.25">
      <c r="A166" s="8">
        <v>143</v>
      </c>
      <c r="B166" s="8" t="s">
        <v>727</v>
      </c>
      <c r="C166" s="8">
        <v>49675</v>
      </c>
      <c r="D166" s="8" t="s">
        <v>725</v>
      </c>
      <c r="E166" s="8" t="s">
        <v>726</v>
      </c>
      <c r="F166" s="9">
        <v>2</v>
      </c>
      <c r="G166" s="9" t="s">
        <v>508</v>
      </c>
      <c r="H166" s="1" t="s">
        <v>728</v>
      </c>
      <c r="I166" s="8" t="str">
        <f t="shared" si="58"/>
        <v>https://www.mindat.org/min-49675.html</v>
      </c>
      <c r="J166" s="8">
        <v>49649</v>
      </c>
      <c r="K166" s="8" t="s">
        <v>595</v>
      </c>
      <c r="N166" s="9">
        <v>0</v>
      </c>
      <c r="O166" s="9" t="s">
        <v>2249</v>
      </c>
      <c r="R166" s="8" t="s">
        <v>729</v>
      </c>
      <c r="S166" s="11">
        <f t="shared" ca="1" si="65"/>
        <v>45097.373057291668</v>
      </c>
      <c r="U166" s="8" t="str">
        <f t="shared" si="59"/>
        <v xml:space="preserve">&lt;etma:1:1:49675:3&gt;  rdf:type skos:Concept ;  </v>
      </c>
      <c r="V166" s="8" t="str">
        <f t="shared" si="60"/>
        <v xml:space="preserve"> dcterms:source "https://www.mindat.org/min-49675.html" ; </v>
      </c>
      <c r="W166" s="8" t="str">
        <f t="shared" si="61"/>
        <v xml:space="preserve">skos:definition "An L chondrite that is a breccia of petrological types 3.7 to 3.9."@en ; </v>
      </c>
      <c r="X166" s="8" t="str">
        <f t="shared" si="66"/>
        <v xml:space="preserve"> skos:inScheme &lt;https://mindat.org/etmat/cscheme&gt; ;  </v>
      </c>
      <c r="Y166" s="8" t="str">
        <f t="shared" si="62"/>
        <v xml:space="preserve">skos:prefLabel "L3.7-3.9 chondrite meteorite"@en ; rdfs:label "L3.7-3.9 chondrite meteorite"@en ; </v>
      </c>
      <c r="Z166" s="8" t="str">
        <f t="shared" si="63"/>
        <v xml:space="preserve"> skos:notation  "L3.7-3.9"@en ; </v>
      </c>
      <c r="AA166" s="8" t="str">
        <f t="shared" si="53"/>
        <v>dcterms:source "https://www.lpi.usra.edu/meteor/metbullclass.php?sea=L3.7-3.9";</v>
      </c>
      <c r="AB166" s="8" t="str">
        <f t="shared" si="54"/>
        <v xml:space="preserve">skos:broader &lt;etma:1:1:49649:8&gt; ; </v>
      </c>
      <c r="AC166" s="8" t="str">
        <f t="shared" ca="1" si="55"/>
        <v>dcterms:modified "2023-06-20T08:57";  .</v>
      </c>
      <c r="AD166" s="10" t="str">
        <f t="shared" ca="1" si="64"/>
        <v>&lt;etma:1:1:49675:3&gt;  rdf:type skos:Concept ;     dcterms:source "https://www.mindat.org/min-49675.html" ;   skos:definition "An L chondrite that is a breccia of petrological types 3.7 to 3.9."@en ;    skos:inScheme &lt;https://mindat.org/etmat/cscheme&gt; ;    skos:prefLabel "L3.7-3.9 chondrite meteorite"@en ; rdfs:label "L3.7-3.9 chondrite meteorite"@en ;    skos:notation  "L3.7-3.9"@en ;   dcterms:source "https://www.lpi.usra.edu/meteor/metbullclass.php?sea=L3.7-3.9";  skos:broader &lt;etma:1:1:49649:8&gt; ;   dcterms:modified "2023-06-20T08:57";  .</v>
      </c>
      <c r="AE166" s="8" t="s">
        <v>2591</v>
      </c>
    </row>
    <row r="167" spans="1:31" x14ac:dyDescent="0.25">
      <c r="A167" s="8">
        <v>144</v>
      </c>
      <c r="B167" s="8" t="s">
        <v>732</v>
      </c>
      <c r="C167" s="8">
        <v>49676</v>
      </c>
      <c r="D167" s="8" t="s">
        <v>730</v>
      </c>
      <c r="E167" s="8" t="s">
        <v>731</v>
      </c>
      <c r="F167" s="9">
        <v>2</v>
      </c>
      <c r="G167" s="9" t="s">
        <v>508</v>
      </c>
      <c r="H167" s="1" t="s">
        <v>733</v>
      </c>
      <c r="I167" s="8" t="str">
        <f t="shared" si="58"/>
        <v>https://www.mindat.org/min-49676.html</v>
      </c>
      <c r="J167" s="8">
        <v>49649</v>
      </c>
      <c r="K167" s="8" t="s">
        <v>595</v>
      </c>
      <c r="L167" s="9">
        <v>49695</v>
      </c>
      <c r="M167" s="8" t="s">
        <v>810</v>
      </c>
      <c r="N167" s="9">
        <v>0</v>
      </c>
      <c r="O167" s="9" t="s">
        <v>2249</v>
      </c>
      <c r="R167" s="8" t="s">
        <v>734</v>
      </c>
      <c r="S167" s="11">
        <f t="shared" ca="1" si="65"/>
        <v>45097.373057291668</v>
      </c>
      <c r="U167" s="8" t="str">
        <f t="shared" si="59"/>
        <v xml:space="preserve">&lt;etma:1:1:49676:2&gt;  rdf:type skos:Concept ;  </v>
      </c>
      <c r="V167" s="8" t="str">
        <f t="shared" si="60"/>
        <v xml:space="preserve"> dcterms:source "https://www.mindat.org/min-49676.html" ; </v>
      </c>
      <c r="W167" s="8" t="str">
        <f t="shared" si="61"/>
        <v xml:space="preserve">skos:definition "An L chondrite that is a breccia of petrological types 3.7 to 4."@en ; </v>
      </c>
      <c r="X167" s="8" t="str">
        <f t="shared" si="66"/>
        <v xml:space="preserve"> skos:inScheme &lt;https://mindat.org/etmat/cscheme&gt; ;  </v>
      </c>
      <c r="Y167" s="8" t="str">
        <f t="shared" si="62"/>
        <v xml:space="preserve">skos:prefLabel "L3.7-4 chondrite meteorite"@en ; rdfs:label "L3.7-4 chondrite meteorite"@en ; </v>
      </c>
      <c r="Z167" s="8" t="str">
        <f t="shared" si="63"/>
        <v xml:space="preserve"> skos:notation  "L3.7-4"@en ; </v>
      </c>
      <c r="AA167" s="8" t="str">
        <f t="shared" si="53"/>
        <v>dcterms:source "https://www.lpi.usra.edu/meteor/metbullclass.php?sea=L3.7-4";</v>
      </c>
      <c r="AB167" s="8" t="str">
        <f t="shared" si="54"/>
        <v xml:space="preserve">skos:broader &lt;etma:1:1:49649:8&gt;, &lt;etma:1:1:49695:7&gt; ; </v>
      </c>
      <c r="AC167" s="8" t="str">
        <f t="shared" ca="1" si="55"/>
        <v>dcterms:modified "2023-06-20T08:57";  .</v>
      </c>
      <c r="AD167" s="10" t="str">
        <f t="shared" ca="1" si="64"/>
        <v>&lt;etma:1:1:49676:2&gt;  rdf:type skos:Concept ;     dcterms:source "https://www.mindat.org/min-49676.html" ;   skos:definition "An L chondrite that is a breccia of petrological types 3.7 to 4."@en ;    skos:inScheme &lt;https://mindat.org/etmat/cscheme&gt; ;    skos:prefLabel "L3.7-4 chondrite meteorite"@en ; rdfs:label "L3.7-4 chondrite meteorite"@en ;    skos:notation  "L3.7-4"@en ;   dcterms:source "https://www.lpi.usra.edu/meteor/metbullclass.php?sea=L3.7-4";  skos:broader &lt;etma:1:1:49649:8&gt;, &lt;etma:1:1:49695:7&gt; ;   dcterms:modified "2023-06-20T08:57";  .</v>
      </c>
      <c r="AE167" s="8" t="s">
        <v>2591</v>
      </c>
    </row>
    <row r="168" spans="1:31" x14ac:dyDescent="0.25">
      <c r="A168" s="8">
        <v>145</v>
      </c>
      <c r="B168" s="8" t="s">
        <v>737</v>
      </c>
      <c r="C168" s="8">
        <v>49677</v>
      </c>
      <c r="D168" s="8" t="s">
        <v>735</v>
      </c>
      <c r="E168" s="8" t="s">
        <v>736</v>
      </c>
      <c r="F168" s="9">
        <v>7</v>
      </c>
      <c r="G168" s="9" t="s">
        <v>14</v>
      </c>
      <c r="H168" s="1" t="s">
        <v>738</v>
      </c>
      <c r="I168" s="8" t="str">
        <f t="shared" si="58"/>
        <v>https://www.mindat.org/min-49677.html</v>
      </c>
      <c r="J168" s="8">
        <v>49649</v>
      </c>
      <c r="K168" s="8" t="s">
        <v>595</v>
      </c>
      <c r="N168" s="9">
        <v>0</v>
      </c>
      <c r="O168" s="9" t="s">
        <v>2249</v>
      </c>
      <c r="R168" s="8" t="s">
        <v>739</v>
      </c>
      <c r="S168" s="11">
        <f t="shared" ca="1" si="65"/>
        <v>45097.373057291668</v>
      </c>
      <c r="U168" s="8" t="str">
        <f t="shared" si="59"/>
        <v xml:space="preserve">&lt;etma:1:1:49677:1&gt;  rdf:type skos:Concept ;  </v>
      </c>
      <c r="V168" s="8" t="str">
        <f t="shared" si="60"/>
        <v xml:space="preserve"> dcterms:source "https://www.mindat.org/min-49677.html" ; </v>
      </c>
      <c r="W168" s="8" t="str">
        <f t="shared" si="61"/>
        <v xml:space="preserve">skos:definition "An L chondrite that is petrologic type 3.8."@en ; </v>
      </c>
      <c r="X168" s="8" t="str">
        <f t="shared" si="66"/>
        <v xml:space="preserve"> skos:inScheme &lt;https://mindat.org/etmat/cscheme&gt; ;  </v>
      </c>
      <c r="Y168" s="8" t="str">
        <f t="shared" si="62"/>
        <v xml:space="preserve">skos:prefLabel "L3.8 chondrite meteorite"@en ; rdfs:label "L3.8 chondrite meteorite"@en ; </v>
      </c>
      <c r="Z168" s="8" t="str">
        <f t="shared" si="63"/>
        <v xml:space="preserve"> skos:notation  "L3.8"@en ; </v>
      </c>
      <c r="AA168" s="8" t="str">
        <f t="shared" si="53"/>
        <v>dcterms:source "https://www.lpi.usra.edu/meteor/metbullclass.php?sea=L3.8";</v>
      </c>
      <c r="AB168" s="8" t="str">
        <f t="shared" si="54"/>
        <v xml:space="preserve">skos:broader &lt;etma:1:1:49649:8&gt; ; </v>
      </c>
      <c r="AC168" s="8" t="str">
        <f t="shared" ca="1" si="55"/>
        <v>dcterms:modified "2023-06-20T08:57";  .</v>
      </c>
      <c r="AD168" s="10" t="str">
        <f t="shared" ca="1" si="64"/>
        <v>&lt;etma:1:1:49677:1&gt;  rdf:type skos:Concept ;     dcterms:source "https://www.mindat.org/min-49677.html" ;   skos:definition "An L chondrite that is petrologic type 3.8."@en ;    skos:inScheme &lt;https://mindat.org/etmat/cscheme&gt; ;    skos:prefLabel "L3.8 chondrite meteorite"@en ; rdfs:label "L3.8 chondrite meteorite"@en ;    skos:notation  "L3.8"@en ;   dcterms:source "https://www.lpi.usra.edu/meteor/metbullclass.php?sea=L3.8";  skos:broader &lt;etma:1:1:49649:8&gt; ;   dcterms:modified "2023-06-20T08:57";  .</v>
      </c>
      <c r="AE168" s="8" t="s">
        <v>2591</v>
      </c>
    </row>
    <row r="169" spans="1:31" x14ac:dyDescent="0.25">
      <c r="A169" s="8">
        <v>146</v>
      </c>
      <c r="B169" s="8" t="s">
        <v>742</v>
      </c>
      <c r="C169" s="8">
        <v>49678</v>
      </c>
      <c r="D169" s="8" t="s">
        <v>740</v>
      </c>
      <c r="E169" s="8" t="s">
        <v>741</v>
      </c>
      <c r="F169" s="9">
        <v>7</v>
      </c>
      <c r="G169" s="9" t="s">
        <v>14</v>
      </c>
      <c r="H169" s="1" t="s">
        <v>743</v>
      </c>
      <c r="I169" s="8" t="str">
        <f t="shared" si="58"/>
        <v>https://www.mindat.org/min-49678.html</v>
      </c>
      <c r="J169" s="8">
        <v>49677</v>
      </c>
      <c r="K169" s="8" t="s">
        <v>735</v>
      </c>
      <c r="N169" s="9">
        <v>0</v>
      </c>
      <c r="O169" s="9" t="s">
        <v>2249</v>
      </c>
      <c r="R169" s="8" t="s">
        <v>744</v>
      </c>
      <c r="S169" s="11">
        <f t="shared" ca="1" si="65"/>
        <v>45097.373057291668</v>
      </c>
      <c r="U169" s="8" t="str">
        <f t="shared" si="59"/>
        <v xml:space="preserve">&lt;etma:1:1:49678:0&gt;  rdf:type skos:Concept ;  </v>
      </c>
      <c r="V169" s="8" t="str">
        <f t="shared" si="60"/>
        <v xml:space="preserve"> dcterms:source "https://www.mindat.org/min-49678.html" ; </v>
      </c>
      <c r="W169" s="8" t="str">
        <f t="shared" si="61"/>
        <v xml:space="preserve">skos:definition "An L chondrite that is petrologic type 3.8 and has anomalous properties."@en ; </v>
      </c>
      <c r="X169" s="8" t="str">
        <f t="shared" si="66"/>
        <v xml:space="preserve"> skos:inScheme &lt;https://mindat.org/etmat/cscheme&gt; ;  </v>
      </c>
      <c r="Y169" s="8" t="str">
        <f t="shared" si="62"/>
        <v xml:space="preserve">skos:prefLabel "L3.8-an chondrite meteorite"@en ; rdfs:label "L3.8-an chondrite meteorite"@en ; </v>
      </c>
      <c r="Z169" s="8" t="str">
        <f t="shared" si="63"/>
        <v xml:space="preserve"> skos:notation  "L3.8-an"@en ; </v>
      </c>
      <c r="AA169" s="8" t="str">
        <f t="shared" si="53"/>
        <v>dcterms:source "https://www.lpi.usra.edu/meteor/metbullclass.php?sea=L3.8-an";</v>
      </c>
      <c r="AB169" s="8" t="str">
        <f t="shared" si="54"/>
        <v xml:space="preserve">skos:broader &lt;etma:1:1:49677:1&gt; ; </v>
      </c>
      <c r="AC169" s="8" t="str">
        <f t="shared" ca="1" si="55"/>
        <v>dcterms:modified "2023-06-20T08:57";  .</v>
      </c>
      <c r="AD169" s="10" t="str">
        <f t="shared" ca="1" si="64"/>
        <v>&lt;etma:1:1:49678:0&gt;  rdf:type skos:Concept ;     dcterms:source "https://www.mindat.org/min-49678.html" ;   skos:definition "An L chondrite that is petrologic type 3.8 and has anomalous properties."@en ;    skos:inScheme &lt;https://mindat.org/etmat/cscheme&gt; ;    skos:prefLabel "L3.8-an chondrite meteorite"@en ; rdfs:label "L3.8-an chondrite meteorite"@en ;    skos:notation  "L3.8-an"@en ;   dcterms:source "https://www.lpi.usra.edu/meteor/metbullclass.php?sea=L3.8-an";  skos:broader &lt;etma:1:1:49677:1&gt; ;   dcterms:modified "2023-06-20T08:57";  .</v>
      </c>
      <c r="AE169" s="8" t="s">
        <v>2591</v>
      </c>
    </row>
    <row r="170" spans="1:31" x14ac:dyDescent="0.25">
      <c r="A170" s="8">
        <v>147</v>
      </c>
      <c r="B170" s="8" t="s">
        <v>747</v>
      </c>
      <c r="C170" s="8">
        <v>49679</v>
      </c>
      <c r="D170" s="8" t="s">
        <v>745</v>
      </c>
      <c r="E170" s="8" t="s">
        <v>746</v>
      </c>
      <c r="F170" s="9">
        <v>7</v>
      </c>
      <c r="G170" s="9" t="s">
        <v>14</v>
      </c>
      <c r="H170" s="1" t="s">
        <v>748</v>
      </c>
      <c r="I170" s="8" t="str">
        <f t="shared" si="58"/>
        <v>https://www.mindat.org/min-49679.html</v>
      </c>
      <c r="J170" s="8">
        <v>49649</v>
      </c>
      <c r="K170" s="8" t="s">
        <v>595</v>
      </c>
      <c r="N170" s="9">
        <v>0</v>
      </c>
      <c r="O170" s="9" t="s">
        <v>2249</v>
      </c>
      <c r="R170" s="8" t="s">
        <v>749</v>
      </c>
      <c r="S170" s="11">
        <f t="shared" ca="1" si="65"/>
        <v>45097.373057291668</v>
      </c>
      <c r="U170" s="8" t="str">
        <f t="shared" si="59"/>
        <v xml:space="preserve">&lt;etma:1:1:49679:9&gt;  rdf:type skos:Concept ;  </v>
      </c>
      <c r="V170" s="8" t="str">
        <f t="shared" si="60"/>
        <v xml:space="preserve"> dcterms:source "https://www.mindat.org/min-49679.html" ; </v>
      </c>
      <c r="W170" s="8" t="str">
        <f t="shared" si="61"/>
        <v xml:space="preserve">skos:definition "An L chondrite that is petrologic type 3.9."@en ; </v>
      </c>
      <c r="X170" s="8" t="str">
        <f t="shared" si="66"/>
        <v xml:space="preserve"> skos:inScheme &lt;https://mindat.org/etmat/cscheme&gt; ;  </v>
      </c>
      <c r="Y170" s="8" t="str">
        <f t="shared" si="62"/>
        <v xml:space="preserve">skos:prefLabel "L3.9 chondrite meteorite"@en ; rdfs:label "L3.9 chondrite meteorite"@en ; </v>
      </c>
      <c r="Z170" s="8" t="str">
        <f t="shared" si="63"/>
        <v xml:space="preserve"> skos:notation  "L3.9"@en ; </v>
      </c>
      <c r="AA170" s="8" t="str">
        <f t="shared" si="53"/>
        <v>dcterms:source "https://www.lpi.usra.edu/meteor/metbullclass.php?sea=L3.9";</v>
      </c>
      <c r="AB170" s="8" t="str">
        <f t="shared" si="54"/>
        <v xml:space="preserve">skos:broader &lt;etma:1:1:49649:8&gt; ; </v>
      </c>
      <c r="AC170" s="8" t="str">
        <f t="shared" ca="1" si="55"/>
        <v>dcterms:modified "2023-06-20T08:57";  .</v>
      </c>
      <c r="AD170" s="10" t="str">
        <f t="shared" ca="1" si="64"/>
        <v>&lt;etma:1:1:49679:9&gt;  rdf:type skos:Concept ;     dcterms:source "https://www.mindat.org/min-49679.html" ;   skos:definition "An L chondrite that is petrologic type 3.9."@en ;    skos:inScheme &lt;https://mindat.org/etmat/cscheme&gt; ;    skos:prefLabel "L3.9 chondrite meteorite"@en ; rdfs:label "L3.9 chondrite meteorite"@en ;    skos:notation  "L3.9"@en ;   dcterms:source "https://www.lpi.usra.edu/meteor/metbullclass.php?sea=L3.9";  skos:broader &lt;etma:1:1:49649:8&gt; ;   dcterms:modified "2023-06-20T08:57";  .</v>
      </c>
      <c r="AE170" s="8" t="s">
        <v>2591</v>
      </c>
    </row>
    <row r="171" spans="1:31" x14ac:dyDescent="0.25">
      <c r="A171" s="8">
        <v>148</v>
      </c>
      <c r="B171" s="8" t="s">
        <v>752</v>
      </c>
      <c r="C171" s="8">
        <v>49680</v>
      </c>
      <c r="D171" s="8" t="s">
        <v>750</v>
      </c>
      <c r="E171" s="8" t="s">
        <v>751</v>
      </c>
      <c r="F171" s="9">
        <v>2</v>
      </c>
      <c r="G171" s="9" t="s">
        <v>508</v>
      </c>
      <c r="H171" s="1" t="s">
        <v>753</v>
      </c>
      <c r="I171" s="8" t="str">
        <f t="shared" si="58"/>
        <v>https://www.mindat.org/min-49680.html</v>
      </c>
      <c r="J171" s="8">
        <v>49679</v>
      </c>
      <c r="K171" s="8" t="s">
        <v>745</v>
      </c>
      <c r="L171" s="9">
        <v>49695</v>
      </c>
      <c r="M171" s="8" t="s">
        <v>810</v>
      </c>
      <c r="N171" s="9">
        <v>0</v>
      </c>
      <c r="O171" s="9" t="s">
        <v>2249</v>
      </c>
      <c r="R171" s="8" t="s">
        <v>754</v>
      </c>
      <c r="S171" s="11">
        <f t="shared" ca="1" si="65"/>
        <v>45097.373057407407</v>
      </c>
      <c r="U171" s="8" t="str">
        <f t="shared" si="59"/>
        <v xml:space="preserve">&lt;etma:1:1:49680:5&gt;  rdf:type skos:Concept ;  </v>
      </c>
      <c r="V171" s="8" t="str">
        <f t="shared" si="60"/>
        <v xml:space="preserve"> dcterms:source "https://www.mindat.org/min-49680.html" ; </v>
      </c>
      <c r="W171" s="8" t="str">
        <f t="shared" si="61"/>
        <v xml:space="preserve">skos:definition "An L chondrite that is petrologic type 3.9 to 4."@en ; </v>
      </c>
      <c r="X171" s="8" t="str">
        <f t="shared" si="66"/>
        <v xml:space="preserve"> skos:inScheme &lt;https://mindat.org/etmat/cscheme&gt; ;  </v>
      </c>
      <c r="Y171" s="8" t="str">
        <f t="shared" si="62"/>
        <v xml:space="preserve">skos:prefLabel "L3.9/4 chondrite meteorite"@en ; rdfs:label "L3.9/4 chondrite meteorite"@en ; </v>
      </c>
      <c r="Z171" s="8" t="str">
        <f t="shared" si="63"/>
        <v xml:space="preserve"> skos:notation  "L3.9/4"@en ; </v>
      </c>
      <c r="AA171" s="8" t="str">
        <f t="shared" si="53"/>
        <v>dcterms:source "https://www.lpi.usra.edu/meteor/metbullclass.php?sea=L3.9/4";</v>
      </c>
      <c r="AB171" s="8" t="str">
        <f t="shared" si="54"/>
        <v xml:space="preserve">skos:broader &lt;etma:1:1:49679:9&gt;, &lt;etma:1:1:49695:7&gt; ; </v>
      </c>
      <c r="AC171" s="8" t="str">
        <f t="shared" ca="1" si="55"/>
        <v>dcterms:modified "2023-06-20T08:57";  .</v>
      </c>
      <c r="AD171" s="10" t="str">
        <f t="shared" ca="1" si="64"/>
        <v>&lt;etma:1:1:49680:5&gt;  rdf:type skos:Concept ;     dcterms:source "https://www.mindat.org/min-49680.html" ;   skos:definition "An L chondrite that is petrologic type 3.9 to 4."@en ;    skos:inScheme &lt;https://mindat.org/etmat/cscheme&gt; ;    skos:prefLabel "L3.9/4 chondrite meteorite"@en ; rdfs:label "L3.9/4 chondrite meteorite"@en ;    skos:notation  "L3.9/4"@en ;   dcterms:source "https://www.lpi.usra.edu/meteor/metbullclass.php?sea=L3.9/4";  skos:broader &lt;etma:1:1:49679:9&gt;, &lt;etma:1:1:49695:7&gt; ;   dcterms:modified "2023-06-20T08:57";  .</v>
      </c>
      <c r="AE171" s="8" t="s">
        <v>2591</v>
      </c>
    </row>
    <row r="172" spans="1:31" x14ac:dyDescent="0.25">
      <c r="A172" s="8">
        <v>149</v>
      </c>
      <c r="B172" s="8" t="s">
        <v>757</v>
      </c>
      <c r="C172" s="8">
        <v>49682</v>
      </c>
      <c r="D172" s="8" t="s">
        <v>755</v>
      </c>
      <c r="E172" s="8" t="s">
        <v>756</v>
      </c>
      <c r="F172" s="9">
        <v>7</v>
      </c>
      <c r="G172" s="9" t="s">
        <v>14</v>
      </c>
      <c r="H172" s="1" t="s">
        <v>758</v>
      </c>
      <c r="I172" s="8" t="str">
        <f t="shared" si="58"/>
        <v>https://www.mindat.org/min-49682.html</v>
      </c>
      <c r="J172" s="8">
        <v>49649</v>
      </c>
      <c r="K172" s="8" t="s">
        <v>595</v>
      </c>
      <c r="L172" s="9">
        <v>49585</v>
      </c>
      <c r="M172" s="8" t="s">
        <v>315</v>
      </c>
      <c r="N172" s="9">
        <v>0</v>
      </c>
      <c r="O172" s="9" t="s">
        <v>2249</v>
      </c>
      <c r="R172" s="8" t="s">
        <v>759</v>
      </c>
      <c r="S172" s="11">
        <f t="shared" ca="1" si="65"/>
        <v>45097.373057291668</v>
      </c>
      <c r="U172" s="8" t="str">
        <f t="shared" si="59"/>
        <v xml:space="preserve">&lt;etma:1:1:49682:3&gt;  rdf:type skos:Concept ;  </v>
      </c>
      <c r="V172" s="8" t="str">
        <f t="shared" si="60"/>
        <v xml:space="preserve"> dcterms:source "https://www.mindat.org/min-49682.html" ; </v>
      </c>
      <c r="W172" s="8" t="str">
        <f t="shared" si="61"/>
        <v xml:space="preserve">skos:definition "An L chondrite (or less likely, an H chondrite) that is of petrologic type 3."@en ; </v>
      </c>
      <c r="X172" s="8" t="str">
        <f t="shared" si="66"/>
        <v xml:space="preserve"> skos:inScheme &lt;https://mindat.org/etmat/cscheme&gt; ;  </v>
      </c>
      <c r="Y172" s="8" t="str">
        <f t="shared" si="62"/>
        <v xml:space="preserve">skos:prefLabel "L(H)3 chondrite meteorite"@en ; rdfs:label "L(H)3 chondrite meteorite"@en ; </v>
      </c>
      <c r="Z172" s="8" t="str">
        <f t="shared" si="63"/>
        <v xml:space="preserve"> skos:notation  "L(H)3"@en ; </v>
      </c>
      <c r="AA172" s="8" t="str">
        <f t="shared" si="53"/>
        <v>dcterms:source "https://www.lpi.usra.edu/meteor/metbullclass.php?sea=L(H)3";</v>
      </c>
      <c r="AB172" s="8" t="str">
        <f t="shared" si="54"/>
        <v xml:space="preserve">skos:broader &lt;etma:1:1:49649:8&gt;, &lt;etma:1:1:49585:1&gt; ; </v>
      </c>
      <c r="AC172" s="8" t="str">
        <f t="shared" ca="1" si="55"/>
        <v>dcterms:modified "2023-06-20T08:57";  .</v>
      </c>
      <c r="AD172" s="10" t="str">
        <f t="shared" ca="1" si="64"/>
        <v>&lt;etma:1:1:49682:3&gt;  rdf:type skos:Concept ;     dcterms:source "https://www.mindat.org/min-49682.html" ;   skos:definition "An L chondrite (or less likely, an H chondrite) that is of petrologic type 3."@en ;    skos:inScheme &lt;https://mindat.org/etmat/cscheme&gt; ;    skos:prefLabel "L(H)3 chondrite meteorite"@en ; rdfs:label "L(H)3 chondrite meteorite"@en ;    skos:notation  "L(H)3"@en ;   dcterms:source "https://www.lpi.usra.edu/meteor/metbullclass.php?sea=L(H)3";  skos:broader &lt;etma:1:1:49649:8&gt;, &lt;etma:1:1:49585:1&gt; ;   dcterms:modified "2023-06-20T08:57";  .</v>
      </c>
      <c r="AE172" s="8" t="s">
        <v>2591</v>
      </c>
    </row>
    <row r="173" spans="1:31" x14ac:dyDescent="0.25">
      <c r="A173" s="8">
        <v>150</v>
      </c>
      <c r="B173" s="8" t="s">
        <v>762</v>
      </c>
      <c r="C173" s="8">
        <v>49683</v>
      </c>
      <c r="D173" s="8" t="s">
        <v>760</v>
      </c>
      <c r="E173" s="8" t="s">
        <v>761</v>
      </c>
      <c r="F173" s="9">
        <v>7</v>
      </c>
      <c r="G173" s="9" t="s">
        <v>14</v>
      </c>
      <c r="H173" s="1" t="s">
        <v>763</v>
      </c>
      <c r="I173" s="8" t="str">
        <f t="shared" si="58"/>
        <v>https://www.mindat.org/min-49683.html</v>
      </c>
      <c r="J173" s="8">
        <v>49746</v>
      </c>
      <c r="K173" s="8" t="s">
        <v>1045</v>
      </c>
      <c r="L173" s="9">
        <v>49648</v>
      </c>
      <c r="M173" s="8" t="s">
        <v>590</v>
      </c>
      <c r="N173" s="9">
        <v>0</v>
      </c>
      <c r="O173" s="9" t="s">
        <v>2249</v>
      </c>
      <c r="R173" s="8" t="s">
        <v>764</v>
      </c>
      <c r="S173" s="11">
        <f t="shared" ca="1" si="65"/>
        <v>45097.373057407407</v>
      </c>
      <c r="U173" s="8" t="str">
        <f t="shared" si="59"/>
        <v xml:space="preserve">&lt;etma:1:1:49683:2&gt;  rdf:type skos:Concept ;  </v>
      </c>
      <c r="V173" s="8" t="str">
        <f t="shared" si="60"/>
        <v xml:space="preserve"> dcterms:source "https://www.mindat.org/min-49683.html" ; </v>
      </c>
      <c r="W173" s="8" t="str">
        <f t="shared" si="61"/>
        <v xml:space="preserve">skos:definition "An LL chondrite (or less likely, an L chondrite) that is of petrologic type 3."@en ; </v>
      </c>
      <c r="X173" s="8" t="str">
        <f t="shared" si="66"/>
        <v xml:space="preserve"> skos:inScheme &lt;https://mindat.org/etmat/cscheme&gt; ;  </v>
      </c>
      <c r="Y173" s="8" t="str">
        <f t="shared" si="62"/>
        <v xml:space="preserve">skos:prefLabel "LL(L)3 chondrite meteorite"@en ; rdfs:label "LL(L)3 chondrite meteorite"@en ; </v>
      </c>
      <c r="Z173" s="8" t="str">
        <f t="shared" si="63"/>
        <v xml:space="preserve"> skos:notation  "LL(L)3"@en ; </v>
      </c>
      <c r="AA173" s="8" t="str">
        <f t="shared" si="53"/>
        <v>dcterms:source "https://www.lpi.usra.edu/meteor/metbullclass.php?sea=LL(L)3";</v>
      </c>
      <c r="AB173" s="8" t="str">
        <f t="shared" si="54"/>
        <v xml:space="preserve">skos:broader &lt;etma:1:1:49746:0&gt;, &lt;etma:1:1:49648:9&gt; ; </v>
      </c>
      <c r="AC173" s="8" t="str">
        <f t="shared" ca="1" si="55"/>
        <v>dcterms:modified "2023-06-20T08:57";  .</v>
      </c>
      <c r="AD173" s="10" t="str">
        <f t="shared" ca="1" si="64"/>
        <v>&lt;etma:1:1:49683:2&gt;  rdf:type skos:Concept ;     dcterms:source "https://www.mindat.org/min-49683.html" ;   skos:definition "An LL chondrite (or less likely, an L chondrite) that is of petrologic type 3."@en ;    skos:inScheme &lt;https://mindat.org/etmat/cscheme&gt; ;    skos:prefLabel "LL(L)3 chondrite meteorite"@en ; rdfs:label "LL(L)3 chondrite meteorite"@en ;    skos:notation  "LL(L)3"@en ;   dcterms:source "https://www.lpi.usra.edu/meteor/metbullclass.php?sea=LL(L)3";  skos:broader &lt;etma:1:1:49746:0&gt;, &lt;etma:1:1:49648:9&gt; ;   dcterms:modified "2023-06-20T08:57";  .</v>
      </c>
      <c r="AE173" s="8" t="s">
        <v>2591</v>
      </c>
    </row>
    <row r="174" spans="1:31" x14ac:dyDescent="0.25">
      <c r="A174" s="8">
        <v>151</v>
      </c>
      <c r="B174" s="8" t="s">
        <v>767</v>
      </c>
      <c r="C174" s="8">
        <v>49684</v>
      </c>
      <c r="D174" s="8" t="s">
        <v>765</v>
      </c>
      <c r="E174" s="8" t="s">
        <v>766</v>
      </c>
      <c r="F174" s="9">
        <v>7</v>
      </c>
      <c r="G174" s="9" t="s">
        <v>14</v>
      </c>
      <c r="H174" s="1" t="s">
        <v>768</v>
      </c>
      <c r="I174" s="8" t="str">
        <f t="shared" si="58"/>
        <v>https://www.mindat.org/min-49684.html</v>
      </c>
      <c r="J174" s="8">
        <v>50452</v>
      </c>
      <c r="K174" s="8" t="s">
        <v>1936</v>
      </c>
      <c r="N174" s="9">
        <v>0</v>
      </c>
      <c r="O174" s="9" t="s">
        <v>2249</v>
      </c>
      <c r="R174" s="8" t="s">
        <v>769</v>
      </c>
      <c r="S174" s="11">
        <f t="shared" ca="1" si="65"/>
        <v>45097.373057291668</v>
      </c>
      <c r="U174" s="8" t="str">
        <f t="shared" si="59"/>
        <v xml:space="preserve">&lt;etma:1:1:49684:1&gt;  rdf:type skos:Concept ;  </v>
      </c>
      <c r="V174" s="8" t="str">
        <f t="shared" si="60"/>
        <v xml:space="preserve"> dcterms:source "https://www.mindat.org/min-49684.html" ; </v>
      </c>
      <c r="W174" s="8" t="str">
        <f t="shared" si="61"/>
        <v xml:space="preserve">skos:definition "An L chondrite (or less likely, an LL chondrite) that is of petrologic type 3.0."@en ; </v>
      </c>
      <c r="X174" s="8" t="str">
        <f t="shared" si="66"/>
        <v xml:space="preserve"> skos:inScheme &lt;https://mindat.org/etmat/cscheme&gt; ;  </v>
      </c>
      <c r="Y174" s="8" t="str">
        <f t="shared" si="62"/>
        <v xml:space="preserve">skos:prefLabel "L(LL)3.0 chondrite meteorite"@en ; rdfs:label "L(LL)3.0 chondrite meteorite"@en ; </v>
      </c>
      <c r="Z174" s="8" t="str">
        <f t="shared" si="63"/>
        <v xml:space="preserve"> skos:notation  "L(LL)3.0"@en ; </v>
      </c>
      <c r="AA174" s="8" t="str">
        <f t="shared" si="53"/>
        <v>dcterms:source "https://www.lpi.usra.edu/meteor/metbullclass.php?sea=L(LL)3.0";</v>
      </c>
      <c r="AB174" s="8" t="str">
        <f t="shared" si="54"/>
        <v xml:space="preserve">skos:broader &lt;etma:1:1:50452:0&gt; ; </v>
      </c>
      <c r="AC174" s="8" t="str">
        <f t="shared" ca="1" si="55"/>
        <v>dcterms:modified "2023-06-20T08:57";  .</v>
      </c>
      <c r="AD174" s="10" t="str">
        <f t="shared" ca="1" si="64"/>
        <v>&lt;etma:1:1:49684:1&gt;  rdf:type skos:Concept ;     dcterms:source "https://www.mindat.org/min-49684.html" ;   skos:definition "An L chondrite (or less likely, an LL chondrite) that is of petrologic type 3.0."@en ;    skos:inScheme &lt;https://mindat.org/etmat/cscheme&gt; ;    skos:prefLabel "L(LL)3.0 chondrite meteorite"@en ; rdfs:label "L(LL)3.0 chondrite meteorite"@en ;    skos:notation  "L(LL)3.0"@en ;   dcterms:source "https://www.lpi.usra.edu/meteor/metbullclass.php?sea=L(LL)3.0";  skos:broader &lt;etma:1:1:50452:0&gt; ;   dcterms:modified "2023-06-20T08:57";  .</v>
      </c>
      <c r="AE174" s="8" t="s">
        <v>2591</v>
      </c>
    </row>
    <row r="175" spans="1:31" x14ac:dyDescent="0.25">
      <c r="A175" s="8">
        <v>152</v>
      </c>
      <c r="B175" s="8" t="s">
        <v>772</v>
      </c>
      <c r="C175" s="8">
        <v>49685</v>
      </c>
      <c r="D175" s="8" t="s">
        <v>770</v>
      </c>
      <c r="E175" s="8" t="s">
        <v>771</v>
      </c>
      <c r="F175" s="9">
        <v>7</v>
      </c>
      <c r="G175" s="9" t="s">
        <v>14</v>
      </c>
      <c r="H175" s="1" t="s">
        <v>773</v>
      </c>
      <c r="I175" s="8" t="str">
        <f t="shared" si="58"/>
        <v>https://www.mindat.org/min-49685.html</v>
      </c>
      <c r="J175" s="8">
        <v>49683</v>
      </c>
      <c r="K175" s="8" t="s">
        <v>760</v>
      </c>
      <c r="N175" s="9">
        <v>0</v>
      </c>
      <c r="O175" s="9" t="s">
        <v>2249</v>
      </c>
      <c r="R175" s="8" t="s">
        <v>774</v>
      </c>
      <c r="S175" s="11">
        <v>43039.692013888889</v>
      </c>
      <c r="U175" s="8" t="str">
        <f t="shared" si="59"/>
        <v xml:space="preserve">&lt;etma:1:1:49685:0&gt;  rdf:type skos:Concept ;  </v>
      </c>
      <c r="V175" s="8" t="str">
        <f t="shared" si="60"/>
        <v xml:space="preserve"> dcterms:source "https://www.mindat.org/min-49685.html" ; </v>
      </c>
      <c r="W175" s="8" t="str">
        <f t="shared" si="61"/>
        <v xml:space="preserve">skos:definition "An ordinary chondrite from either the L group or, less likely, the LL group that is petrologic type 3.05"@en ; </v>
      </c>
      <c r="X175" s="8" t="str">
        <f t="shared" si="66"/>
        <v xml:space="preserve"> skos:inScheme &lt;https://mindat.org/etmat/cscheme&gt; ;  </v>
      </c>
      <c r="Y175" s="8" t="str">
        <f t="shared" si="62"/>
        <v xml:space="preserve">skos:prefLabel "L(LL)3.05 chondrite meteorite"@en ; rdfs:label "L(LL)3.05 chondrite meteorite"@en ; </v>
      </c>
      <c r="Z175" s="8" t="str">
        <f t="shared" si="63"/>
        <v xml:space="preserve"> skos:notation  "L(LL)3.05"@en ; </v>
      </c>
      <c r="AA175" s="8" t="str">
        <f t="shared" si="53"/>
        <v>dcterms:source "https://www.lpi.usra.edu/meteor/metbullclass.php?sea=L(LL)3.05";</v>
      </c>
      <c r="AB175" s="8" t="str">
        <f t="shared" si="54"/>
        <v xml:space="preserve">skos:broader &lt;etma:1:1:49683:2&gt; ; </v>
      </c>
      <c r="AC175" s="8" t="str">
        <f t="shared" si="55"/>
        <v>dcterms:modified "2017-10-31T16:36";  .</v>
      </c>
      <c r="AD175" s="10" t="str">
        <f t="shared" si="64"/>
        <v>&lt;etma:1:1:49685:0&gt;  rdf:type skos:Concept ;     dcterms:source "https://www.mindat.org/min-49685.html" ;   skos:definition "An ordinary chondrite from either the L group or, less likely, the LL group that is petrologic type 3.05"@en ;    skos:inScheme &lt;https://mindat.org/etmat/cscheme&gt; ;    skos:prefLabel "L(LL)3.05 chondrite meteorite"@en ; rdfs:label "L(LL)3.05 chondrite meteorite"@en ;    skos:notation  "L(LL)3.05"@en ;   dcterms:source "https://www.lpi.usra.edu/meteor/metbullclass.php?sea=L(LL)3.05";  skos:broader &lt;etma:1:1:49683:2&gt; ;   dcterms:modified "2017-10-31T16:36";  .</v>
      </c>
      <c r="AE175" s="8" t="s">
        <v>2591</v>
      </c>
    </row>
    <row r="176" spans="1:31" x14ac:dyDescent="0.25">
      <c r="A176" s="8">
        <v>153</v>
      </c>
      <c r="B176" s="8" t="s">
        <v>777</v>
      </c>
      <c r="C176" s="8">
        <v>49686</v>
      </c>
      <c r="D176" s="8" t="s">
        <v>775</v>
      </c>
      <c r="E176" s="8" t="s">
        <v>776</v>
      </c>
      <c r="F176" s="9">
        <v>2</v>
      </c>
      <c r="G176" s="9" t="s">
        <v>508</v>
      </c>
      <c r="H176" s="1" t="s">
        <v>778</v>
      </c>
      <c r="I176" s="8" t="str">
        <f t="shared" si="58"/>
        <v>https://www.mindat.org/min-49686.html</v>
      </c>
      <c r="J176" s="8">
        <v>50452</v>
      </c>
      <c r="K176" s="8" t="s">
        <v>1936</v>
      </c>
      <c r="N176" s="9">
        <v>0</v>
      </c>
      <c r="O176" s="9" t="s">
        <v>2249</v>
      </c>
      <c r="R176" s="8" t="s">
        <v>779</v>
      </c>
      <c r="S176" s="11">
        <f t="shared" ref="S176:S179" ca="1" si="67">NOW()</f>
        <v>45097.373057291668</v>
      </c>
      <c r="U176" s="8" t="str">
        <f t="shared" si="59"/>
        <v xml:space="preserve">&lt;etma:1:1:49686:9&gt;  rdf:type skos:Concept ;  </v>
      </c>
      <c r="V176" s="8" t="str">
        <f t="shared" si="60"/>
        <v xml:space="preserve"> dcterms:source "https://www.mindat.org/min-49686.html" ; </v>
      </c>
      <c r="W176" s="8" t="str">
        <f t="shared" si="61"/>
        <v xml:space="preserve">skos:definition "An L chondrite (or less likely, an LL chondrite) that is a breccia of components ranging from petrologic type 3.5 to 3.7."@en ; </v>
      </c>
      <c r="X176" s="8" t="str">
        <f t="shared" si="66"/>
        <v xml:space="preserve"> skos:inScheme &lt;https://mindat.org/etmat/cscheme&gt; ;  </v>
      </c>
      <c r="Y176" s="8" t="str">
        <f t="shared" si="62"/>
        <v xml:space="preserve">skos:prefLabel "L(LL)3.5-3.7 chondrite meteorite"@en ; rdfs:label "L(LL)3.5-3.7 chondrite meteorite"@en ; </v>
      </c>
      <c r="Z176" s="8" t="str">
        <f t="shared" si="63"/>
        <v xml:space="preserve"> skos:notation  "L(LL)3.5-3.7"@en ; </v>
      </c>
      <c r="AA176" s="8" t="str">
        <f t="shared" si="53"/>
        <v>dcterms:source "https://www.lpi.usra.edu/meteor/metbullclass.php?sea=L(LL)3.5-3.7";</v>
      </c>
      <c r="AB176" s="8" t="str">
        <f t="shared" si="54"/>
        <v xml:space="preserve">skos:broader &lt;etma:1:1:50452:0&gt; ; </v>
      </c>
      <c r="AC176" s="8" t="str">
        <f t="shared" ca="1" si="55"/>
        <v>dcterms:modified "2023-06-20T08:57";  .</v>
      </c>
      <c r="AD176" s="10" t="str">
        <f t="shared" ca="1" si="64"/>
        <v>&lt;etma:1:1:49686:9&gt;  rdf:type skos:Concept ;     dcterms:source "https://www.mindat.org/min-49686.html" ;   skos:definition "An L chondrite (or less likely, an LL chondrite) that is a breccia of components ranging from petrologic type 3.5 to 3.7."@en ;    skos:inScheme &lt;https://mindat.org/etmat/cscheme&gt; ;    skos:prefLabel "L(LL)3.5-3.7 chondrite meteorite"@en ; rdfs:label "L(LL)3.5-3.7 chondrite meteorite"@en ;    skos:notation  "L(LL)3.5-3.7"@en ;   dcterms:source "https://www.lpi.usra.edu/meteor/metbullclass.php?sea=L(LL)3.5-3.7";  skos:broader &lt;etma:1:1:50452:0&gt; ;   dcterms:modified "2023-06-20T08:57";  .</v>
      </c>
      <c r="AE176" s="8" t="s">
        <v>2591</v>
      </c>
    </row>
    <row r="177" spans="1:31" x14ac:dyDescent="0.25">
      <c r="A177" s="8">
        <v>154</v>
      </c>
      <c r="B177" s="8" t="s">
        <v>782</v>
      </c>
      <c r="C177" s="8">
        <v>49688</v>
      </c>
      <c r="D177" s="8" t="s">
        <v>780</v>
      </c>
      <c r="E177" s="8" t="s">
        <v>781</v>
      </c>
      <c r="F177" s="9">
        <v>7</v>
      </c>
      <c r="G177" s="9" t="s">
        <v>14</v>
      </c>
      <c r="H177" s="1" t="s">
        <v>783</v>
      </c>
      <c r="I177" s="8" t="str">
        <f t="shared" si="58"/>
        <v>https://www.mindat.org/min-49688.html</v>
      </c>
      <c r="J177" s="8">
        <v>49683</v>
      </c>
      <c r="K177" s="8" t="s">
        <v>760</v>
      </c>
      <c r="N177" s="9">
        <v>0</v>
      </c>
      <c r="O177" s="9" t="s">
        <v>2249</v>
      </c>
      <c r="R177" s="8" t="s">
        <v>784</v>
      </c>
      <c r="S177" s="11">
        <f t="shared" ca="1" si="67"/>
        <v>45097.373057291668</v>
      </c>
      <c r="U177" s="8" t="str">
        <f t="shared" si="59"/>
        <v xml:space="preserve">&lt;etma:1:1:49688:7&gt;  rdf:type skos:Concept ;  </v>
      </c>
      <c r="V177" s="8" t="str">
        <f t="shared" si="60"/>
        <v xml:space="preserve"> dcterms:source "https://www.mindat.org/min-49688.html" ; </v>
      </c>
      <c r="W177" s="8" t="str">
        <f t="shared" si="61"/>
        <v xml:space="preserve">skos:definition "An LL chondrite (or less likely, an L chondrite) that is of petrologic type 3.1."@en ; </v>
      </c>
      <c r="X177" s="8" t="str">
        <f t="shared" si="66"/>
        <v xml:space="preserve"> skos:inScheme &lt;https://mindat.org/etmat/cscheme&gt; ;  </v>
      </c>
      <c r="Y177" s="8" t="str">
        <f t="shared" si="62"/>
        <v xml:space="preserve">skos:prefLabel "LL(L)3.1 chondrite meteorite"@en ; rdfs:label "LL(L)3.1 chondrite meteorite"@en ; </v>
      </c>
      <c r="Z177" s="8" t="str">
        <f t="shared" si="63"/>
        <v xml:space="preserve"> skos:notation  "LL(L)3.1"@en ; </v>
      </c>
      <c r="AA177" s="8" t="str">
        <f t="shared" si="53"/>
        <v>dcterms:source "https://www.lpi.usra.edu/meteor/metbullclass.php?sea=LL(L)3.1";</v>
      </c>
      <c r="AB177" s="8" t="str">
        <f t="shared" si="54"/>
        <v xml:space="preserve">skos:broader &lt;etma:1:1:49683:2&gt; ; </v>
      </c>
      <c r="AC177" s="8" t="str">
        <f t="shared" ca="1" si="55"/>
        <v>dcterms:modified "2023-06-20T08:57";  .</v>
      </c>
      <c r="AD177" s="10" t="str">
        <f t="shared" ca="1" si="64"/>
        <v>&lt;etma:1:1:49688:7&gt;  rdf:type skos:Concept ;     dcterms:source "https://www.mindat.org/min-49688.html" ;   skos:definition "An LL chondrite (or less likely, an L chondrite) that is of petrologic type 3.1."@en ;    skos:inScheme &lt;https://mindat.org/etmat/cscheme&gt; ;    skos:prefLabel "LL(L)3.1 chondrite meteorite"@en ; rdfs:label "LL(L)3.1 chondrite meteorite"@en ;    skos:notation  "LL(L)3.1"@en ;   dcterms:source "https://www.lpi.usra.edu/meteor/metbullclass.php?sea=LL(L)3.1";  skos:broader &lt;etma:1:1:49683:2&gt; ;   dcterms:modified "2023-06-20T08:57";  .</v>
      </c>
      <c r="AE177" s="8" t="s">
        <v>2591</v>
      </c>
    </row>
    <row r="178" spans="1:31" x14ac:dyDescent="0.25">
      <c r="A178" s="8">
        <v>155</v>
      </c>
      <c r="B178" s="8" t="s">
        <v>787</v>
      </c>
      <c r="C178" s="8">
        <v>49689</v>
      </c>
      <c r="D178" s="8" t="s">
        <v>785</v>
      </c>
      <c r="E178" s="8" t="s">
        <v>786</v>
      </c>
      <c r="F178" s="9">
        <v>7</v>
      </c>
      <c r="G178" s="9" t="s">
        <v>14</v>
      </c>
      <c r="H178" s="1" t="s">
        <v>788</v>
      </c>
      <c r="I178" s="8" t="str">
        <f t="shared" si="58"/>
        <v>https://www.mindat.org/min-49689.html</v>
      </c>
      <c r="J178" s="8">
        <v>49683</v>
      </c>
      <c r="K178" s="8" t="s">
        <v>760</v>
      </c>
      <c r="N178" s="9">
        <v>0</v>
      </c>
      <c r="O178" s="9" t="s">
        <v>2249</v>
      </c>
      <c r="R178" s="8" t="s">
        <v>789</v>
      </c>
      <c r="S178" s="11">
        <f t="shared" ca="1" si="67"/>
        <v>45097.373057291668</v>
      </c>
      <c r="U178" s="8" t="str">
        <f t="shared" si="59"/>
        <v xml:space="preserve">&lt;etma:1:1:49689:6&gt;  rdf:type skos:Concept ;  </v>
      </c>
      <c r="V178" s="8" t="str">
        <f t="shared" si="60"/>
        <v xml:space="preserve"> dcterms:source "https://www.mindat.org/min-49689.html" ; </v>
      </c>
      <c r="W178" s="8" t="str">
        <f t="shared" si="61"/>
        <v xml:space="preserve">skos:definition "An LL chondrite (or less likely, an L chondrite) that is of petrologic type 3.2."@en ; </v>
      </c>
      <c r="X178" s="8" t="str">
        <f t="shared" si="66"/>
        <v xml:space="preserve"> skos:inScheme &lt;https://mindat.org/etmat/cscheme&gt; ;  </v>
      </c>
      <c r="Y178" s="8" t="str">
        <f t="shared" si="62"/>
        <v xml:space="preserve">skos:prefLabel "LL(L)3.2 chondrite meteorite"@en ; rdfs:label "LL(L)3.2 chondrite meteorite"@en ; </v>
      </c>
      <c r="Z178" s="8" t="str">
        <f t="shared" si="63"/>
        <v xml:space="preserve"> skos:notation  "LL(L)3.2"@en ; </v>
      </c>
      <c r="AA178" s="8" t="str">
        <f t="shared" si="53"/>
        <v>dcterms:source "https://www.lpi.usra.edu/meteor/metbullclass.php?sea=LL(L)3.2";</v>
      </c>
      <c r="AB178" s="8" t="str">
        <f t="shared" si="54"/>
        <v xml:space="preserve">skos:broader &lt;etma:1:1:49683:2&gt; ; </v>
      </c>
      <c r="AC178" s="8" t="str">
        <f t="shared" ca="1" si="55"/>
        <v>dcterms:modified "2023-06-20T08:57";  .</v>
      </c>
      <c r="AD178" s="10" t="str">
        <f t="shared" ca="1" si="64"/>
        <v>&lt;etma:1:1:49689:6&gt;  rdf:type skos:Concept ;     dcterms:source "https://www.mindat.org/min-49689.html" ;   skos:definition "An LL chondrite (or less likely, an L chondrite) that is of petrologic type 3.2."@en ;    skos:inScheme &lt;https://mindat.org/etmat/cscheme&gt; ;    skos:prefLabel "LL(L)3.2 chondrite meteorite"@en ; rdfs:label "LL(L)3.2 chondrite meteorite"@en ;    skos:notation  "LL(L)3.2"@en ;   dcterms:source "https://www.lpi.usra.edu/meteor/metbullclass.php?sea=LL(L)3.2";  skos:broader &lt;etma:1:1:49683:2&gt; ;   dcterms:modified "2023-06-20T08:57";  .</v>
      </c>
      <c r="AE178" s="8" t="s">
        <v>2591</v>
      </c>
    </row>
    <row r="179" spans="1:31" x14ac:dyDescent="0.25">
      <c r="A179" s="8">
        <v>156</v>
      </c>
      <c r="B179" s="8" t="s">
        <v>792</v>
      </c>
      <c r="C179" s="8">
        <v>49690</v>
      </c>
      <c r="D179" s="8" t="s">
        <v>790</v>
      </c>
      <c r="E179" s="8" t="s">
        <v>791</v>
      </c>
      <c r="F179" s="9">
        <v>7</v>
      </c>
      <c r="G179" s="9" t="s">
        <v>14</v>
      </c>
      <c r="H179" s="1" t="s">
        <v>793</v>
      </c>
      <c r="I179" s="8" t="str">
        <f t="shared" si="58"/>
        <v>https://www.mindat.org/min-49690.html</v>
      </c>
      <c r="J179" s="8">
        <v>50453</v>
      </c>
      <c r="K179" s="8" t="s">
        <v>1941</v>
      </c>
      <c r="N179" s="9">
        <v>0</v>
      </c>
      <c r="O179" s="9" t="s">
        <v>2249</v>
      </c>
      <c r="R179" s="8" t="s">
        <v>794</v>
      </c>
      <c r="S179" s="11">
        <f t="shared" ca="1" si="67"/>
        <v>45097.373057291668</v>
      </c>
      <c r="U179" s="8" t="str">
        <f t="shared" si="59"/>
        <v xml:space="preserve">&lt;etma:1:1:49690:2&gt;  rdf:type skos:Concept ;  </v>
      </c>
      <c r="V179" s="8" t="str">
        <f t="shared" si="60"/>
        <v xml:space="preserve"> dcterms:source "https://www.mindat.org/min-49690.html" ; </v>
      </c>
      <c r="W179" s="8" t="str">
        <f t="shared" si="61"/>
        <v xml:space="preserve">skos:definition "An L chondrite or LL chondrite that is of petrological type 3.4."@en ; </v>
      </c>
      <c r="X179" s="8" t="str">
        <f t="shared" si="66"/>
        <v xml:space="preserve"> skos:inScheme &lt;https://mindat.org/etmat/cscheme&gt; ;  </v>
      </c>
      <c r="Y179" s="8" t="str">
        <f t="shared" si="62"/>
        <v xml:space="preserve">skos:prefLabel "L/LL3.4 chondrite meteorite"@en ; rdfs:label "L/LL3.4 chondrite meteorite"@en ; </v>
      </c>
      <c r="Z179" s="8" t="str">
        <f t="shared" si="63"/>
        <v xml:space="preserve"> skos:notation  "L/LL3.4"@en ; </v>
      </c>
      <c r="AA179" s="8" t="str">
        <f t="shared" si="53"/>
        <v>dcterms:source "https://www.lpi.usra.edu/meteor/metbullclass.php?sea=L/LL3.4";</v>
      </c>
      <c r="AB179" s="8" t="str">
        <f t="shared" si="54"/>
        <v xml:space="preserve">skos:broader &lt;etma:1:1:50453:9&gt; ; </v>
      </c>
      <c r="AC179" s="8" t="str">
        <f t="shared" ca="1" si="55"/>
        <v>dcterms:modified "2023-06-20T08:57";  .</v>
      </c>
      <c r="AD179" s="10" t="str">
        <f t="shared" ca="1" si="64"/>
        <v>&lt;etma:1:1:49690:2&gt;  rdf:type skos:Concept ;     dcterms:source "https://www.mindat.org/min-49690.html" ;   skos:definition "An L chondrite or LL chondrite that is of petrological type 3.4."@en ;    skos:inScheme &lt;https://mindat.org/etmat/cscheme&gt; ;    skos:prefLabel "L/LL3.4 chondrite meteorite"@en ; rdfs:label "L/LL3.4 chondrite meteorite"@en ;    skos:notation  "L/LL3.4"@en ;   dcterms:source "https://www.lpi.usra.edu/meteor/metbullclass.php?sea=L/LL3.4";  skos:broader &lt;etma:1:1:50453:9&gt; ;   dcterms:modified "2023-06-20T08:57";  .</v>
      </c>
      <c r="AE179" s="8" t="s">
        <v>2591</v>
      </c>
    </row>
    <row r="180" spans="1:31" x14ac:dyDescent="0.25">
      <c r="A180" s="8">
        <v>157</v>
      </c>
      <c r="B180" s="8" t="s">
        <v>797</v>
      </c>
      <c r="C180" s="8">
        <v>49691</v>
      </c>
      <c r="D180" s="8" t="s">
        <v>795</v>
      </c>
      <c r="E180" s="8" t="s">
        <v>796</v>
      </c>
      <c r="F180" s="9">
        <v>7</v>
      </c>
      <c r="G180" s="9" t="s">
        <v>14</v>
      </c>
      <c r="H180" s="1" t="s">
        <v>798</v>
      </c>
      <c r="I180" s="8" t="str">
        <f t="shared" si="58"/>
        <v>https://www.mindat.org/min-49691.html</v>
      </c>
      <c r="J180" s="8">
        <v>49683</v>
      </c>
      <c r="K180" s="8" t="s">
        <v>760</v>
      </c>
      <c r="N180" s="9">
        <v>0</v>
      </c>
      <c r="O180" s="9" t="s">
        <v>2249</v>
      </c>
      <c r="R180" s="8" t="s">
        <v>799</v>
      </c>
      <c r="S180" s="11">
        <v>43039.692939814813</v>
      </c>
      <c r="U180" s="8" t="str">
        <f t="shared" si="59"/>
        <v xml:space="preserve">&lt;etma:1:1:49691:1&gt;  rdf:type skos:Concept ;  </v>
      </c>
      <c r="V180" s="8" t="str">
        <f t="shared" si="60"/>
        <v xml:space="preserve"> dcterms:source "https://www.mindat.org/min-49691.html" ; </v>
      </c>
      <c r="W180" s="8" t="str">
        <f t="shared" si="61"/>
        <v xml:space="preserve">skos:definition "An ordinary chondrite from either the L group or LL group that is petrologic type 3.10"@en ; </v>
      </c>
      <c r="X180" s="8" t="str">
        <f t="shared" si="66"/>
        <v xml:space="preserve"> skos:inScheme &lt;https://mindat.org/etmat/cscheme&gt; ;  </v>
      </c>
      <c r="Y180" s="8" t="str">
        <f t="shared" si="62"/>
        <v xml:space="preserve">skos:prefLabel "L/LL3.10 chondrite meteorite"@en ; rdfs:label "L/LL3.10 chondrite meteorite"@en ; </v>
      </c>
      <c r="Z180" s="8" t="str">
        <f t="shared" si="63"/>
        <v xml:space="preserve"> skos:notation  "L/LL3.10"@en ; </v>
      </c>
      <c r="AA180" s="8" t="str">
        <f t="shared" si="53"/>
        <v>dcterms:source "https://www.lpi.usra.edu/meteor/metbullclass.php?sea=L/LL3.10";</v>
      </c>
      <c r="AB180" s="8" t="str">
        <f t="shared" si="54"/>
        <v xml:space="preserve">skos:broader &lt;etma:1:1:49683:2&gt; ; </v>
      </c>
      <c r="AC180" s="8" t="str">
        <f t="shared" si="55"/>
        <v>dcterms:modified "2017-10-31T16:37";  .</v>
      </c>
      <c r="AD180" s="10" t="str">
        <f t="shared" si="64"/>
        <v>&lt;etma:1:1:49691:1&gt;  rdf:type skos:Concept ;     dcterms:source "https://www.mindat.org/min-49691.html" ;   skos:definition "An ordinary chondrite from either the L group or LL group that is petrologic type 3.10"@en ;    skos:inScheme &lt;https://mindat.org/etmat/cscheme&gt; ;    skos:prefLabel "L/LL3.10 chondrite meteorite"@en ; rdfs:label "L/LL3.10 chondrite meteorite"@en ;    skos:notation  "L/LL3.10"@en ;   dcterms:source "https://www.lpi.usra.edu/meteor/metbullclass.php?sea=L/LL3.10";  skos:broader &lt;etma:1:1:49683:2&gt; ;   dcterms:modified "2017-10-31T16:37";  .</v>
      </c>
      <c r="AE180" s="8" t="s">
        <v>2591</v>
      </c>
    </row>
    <row r="181" spans="1:31" x14ac:dyDescent="0.25">
      <c r="A181" s="8">
        <v>158</v>
      </c>
      <c r="B181" s="8" t="s">
        <v>802</v>
      </c>
      <c r="C181" s="8">
        <v>49692</v>
      </c>
      <c r="D181" s="8" t="s">
        <v>800</v>
      </c>
      <c r="E181" s="8" t="s">
        <v>801</v>
      </c>
      <c r="F181" s="9">
        <v>7</v>
      </c>
      <c r="G181" s="9" t="s">
        <v>14</v>
      </c>
      <c r="H181" s="1" t="s">
        <v>803</v>
      </c>
      <c r="I181" s="8" t="str">
        <f t="shared" si="58"/>
        <v>https://www.mindat.org/min-49692.html</v>
      </c>
      <c r="J181" s="8">
        <v>50453</v>
      </c>
      <c r="K181" s="8" t="s">
        <v>1941</v>
      </c>
      <c r="N181" s="9">
        <v>0</v>
      </c>
      <c r="O181" s="9" t="s">
        <v>2249</v>
      </c>
      <c r="R181" s="8" t="s">
        <v>804</v>
      </c>
      <c r="S181" s="11">
        <f t="shared" ref="S181:S231" ca="1" si="68">NOW()</f>
        <v>45097.373057407407</v>
      </c>
      <c r="U181" s="8" t="str">
        <f t="shared" si="59"/>
        <v xml:space="preserve">&lt;etma:1:1:49692:0&gt;  rdf:type skos:Concept ;  </v>
      </c>
      <c r="V181" s="8" t="str">
        <f t="shared" si="60"/>
        <v xml:space="preserve"> dcterms:source "https://www.mindat.org/min-49692.html" ; </v>
      </c>
      <c r="W181" s="8" t="str">
        <f t="shared" si="61"/>
        <v xml:space="preserve">skos:definition "An L chondrite or LL chondrite that is of petrological type 3.5"@en ; </v>
      </c>
      <c r="X181" s="8" t="str">
        <f t="shared" si="66"/>
        <v xml:space="preserve"> skos:inScheme &lt;https://mindat.org/etmat/cscheme&gt; ;  </v>
      </c>
      <c r="Y181" s="8" t="str">
        <f t="shared" si="62"/>
        <v xml:space="preserve">skos:prefLabel "L/LL3.5 chondrite meteorite"@en ; rdfs:label "L/LL3.5 chondrite meteorite"@en ; </v>
      </c>
      <c r="Z181" s="8" t="str">
        <f t="shared" si="63"/>
        <v xml:space="preserve"> skos:notation  "L/LL3.5"@en ; </v>
      </c>
      <c r="AA181" s="8" t="str">
        <f t="shared" si="53"/>
        <v>dcterms:source "https://www.lpi.usra.edu/meteor/metbullclass.php?sea=L/LL3.5";</v>
      </c>
      <c r="AB181" s="8" t="str">
        <f t="shared" si="54"/>
        <v xml:space="preserve">skos:broader &lt;etma:1:1:50453:9&gt; ; </v>
      </c>
      <c r="AC181" s="8" t="str">
        <f t="shared" ca="1" si="55"/>
        <v>dcterms:modified "2023-06-20T08:57";  .</v>
      </c>
      <c r="AD181" s="10" t="str">
        <f t="shared" ca="1" si="64"/>
        <v>&lt;etma:1:1:49692:0&gt;  rdf:type skos:Concept ;     dcterms:source "https://www.mindat.org/min-49692.html" ;   skos:definition "An L chondrite or LL chondrite that is of petrological type 3.5"@en ;    skos:inScheme &lt;https://mindat.org/etmat/cscheme&gt; ;    skos:prefLabel "L/LL3.5 chondrite meteorite"@en ; rdfs:label "L/LL3.5 chondrite meteorite"@en ;    skos:notation  "L/LL3.5"@en ;   dcterms:source "https://www.lpi.usra.edu/meteor/metbullclass.php?sea=L/LL3.5";  skos:broader &lt;etma:1:1:50453:9&gt; ;   dcterms:modified "2023-06-20T08:57";  .</v>
      </c>
      <c r="AE181" s="8" t="s">
        <v>2591</v>
      </c>
    </row>
    <row r="182" spans="1:31" x14ac:dyDescent="0.25">
      <c r="A182" s="8">
        <v>159</v>
      </c>
      <c r="B182" s="8" t="s">
        <v>807</v>
      </c>
      <c r="C182" s="8">
        <v>49693</v>
      </c>
      <c r="D182" s="8" t="s">
        <v>805</v>
      </c>
      <c r="E182" s="8" t="s">
        <v>806</v>
      </c>
      <c r="F182" s="9">
        <v>2</v>
      </c>
      <c r="G182" s="9" t="s">
        <v>508</v>
      </c>
      <c r="H182" s="1" t="s">
        <v>808</v>
      </c>
      <c r="I182" s="8" t="str">
        <f t="shared" si="58"/>
        <v>https://www.mindat.org/min-49693.html</v>
      </c>
      <c r="J182" s="8">
        <v>50453</v>
      </c>
      <c r="K182" s="8" t="s">
        <v>1941</v>
      </c>
      <c r="N182" s="9">
        <v>0</v>
      </c>
      <c r="O182" s="9" t="s">
        <v>2249</v>
      </c>
      <c r="R182" s="8" t="s">
        <v>809</v>
      </c>
      <c r="S182" s="11">
        <f t="shared" ca="1" si="68"/>
        <v>45097.373057291668</v>
      </c>
      <c r="U182" s="8" t="str">
        <f t="shared" si="59"/>
        <v xml:space="preserve">&lt;etma:1:1:49693:9&gt;  rdf:type skos:Concept ;  </v>
      </c>
      <c r="V182" s="8" t="str">
        <f t="shared" si="60"/>
        <v xml:space="preserve"> dcterms:source "https://www.mindat.org/min-49693.html" ; </v>
      </c>
      <c r="W182" s="8" t="str">
        <f t="shared" si="61"/>
        <v xml:space="preserve">skos:definition "An L chondrite or LL chondrite that is either petrological type 3.6 or 3.7."@en ; </v>
      </c>
      <c r="X182" s="8" t="str">
        <f t="shared" si="66"/>
        <v xml:space="preserve"> skos:inScheme &lt;https://mindat.org/etmat/cscheme&gt; ;  </v>
      </c>
      <c r="Y182" s="8" t="str">
        <f t="shared" si="62"/>
        <v xml:space="preserve">skos:prefLabel "L/LL3.6/3.7 chondrite meteorite"@en ; rdfs:label "L/LL3.6/3.7 chondrite meteorite"@en ; </v>
      </c>
      <c r="Z182" s="8" t="str">
        <f t="shared" si="63"/>
        <v xml:space="preserve"> skos:notation  "L/LL3.6/3.7"@en ; </v>
      </c>
      <c r="AA182" s="8" t="str">
        <f t="shared" si="53"/>
        <v>dcterms:source "https://www.lpi.usra.edu/meteor/metbullclass.php?sea=L/LL3.6/3.7";</v>
      </c>
      <c r="AB182" s="8" t="str">
        <f t="shared" si="54"/>
        <v xml:space="preserve">skos:broader &lt;etma:1:1:50453:9&gt; ; </v>
      </c>
      <c r="AC182" s="8" t="str">
        <f t="shared" ca="1" si="55"/>
        <v>dcterms:modified "2023-06-20T08:57";  .</v>
      </c>
      <c r="AD182" s="10" t="str">
        <f t="shared" ca="1" si="64"/>
        <v>&lt;etma:1:1:49693:9&gt;  rdf:type skos:Concept ;     dcterms:source "https://www.mindat.org/min-49693.html" ;   skos:definition "An L chondrite or LL chondrite that is either petrological type 3.6 or 3.7."@en ;    skos:inScheme &lt;https://mindat.org/etmat/cscheme&gt; ;    skos:prefLabel "L/LL3.6/3.7 chondrite meteorite"@en ; rdfs:label "L/LL3.6/3.7 chondrite meteorite"@en ;    skos:notation  "L/LL3.6/3.7"@en ;   dcterms:source "https://www.lpi.usra.edu/meteor/metbullclass.php?sea=L/LL3.6/3.7";  skos:broader &lt;etma:1:1:50453:9&gt; ;   dcterms:modified "2023-06-20T08:57";  .</v>
      </c>
      <c r="AE182" s="8" t="s">
        <v>2591</v>
      </c>
    </row>
    <row r="183" spans="1:31" x14ac:dyDescent="0.25">
      <c r="A183" s="8">
        <v>160</v>
      </c>
      <c r="B183" s="8" t="s">
        <v>812</v>
      </c>
      <c r="C183" s="8">
        <v>49695</v>
      </c>
      <c r="D183" s="8" t="s">
        <v>810</v>
      </c>
      <c r="E183" s="8" t="s">
        <v>811</v>
      </c>
      <c r="F183" s="9">
        <v>7</v>
      </c>
      <c r="G183" s="9" t="s">
        <v>14</v>
      </c>
      <c r="H183" s="1" t="s">
        <v>813</v>
      </c>
      <c r="I183" s="8" t="str">
        <f t="shared" si="58"/>
        <v>https://www.mindat.org/min-49695.html</v>
      </c>
      <c r="J183" s="8">
        <v>49648</v>
      </c>
      <c r="K183" s="8" t="s">
        <v>590</v>
      </c>
      <c r="L183" s="9">
        <v>49843</v>
      </c>
      <c r="M183" s="8" t="s">
        <v>2404</v>
      </c>
      <c r="N183" s="9">
        <v>1</v>
      </c>
      <c r="O183" s="9" t="s">
        <v>2249</v>
      </c>
      <c r="R183" s="8" t="s">
        <v>814</v>
      </c>
      <c r="S183" s="11">
        <f t="shared" ca="1" si="68"/>
        <v>45097.373057407407</v>
      </c>
      <c r="U183" s="8" t="str">
        <f t="shared" si="59"/>
        <v xml:space="preserve">&lt;etma:1:1:49695:7&gt;  rdf:type skos:Concept ;  </v>
      </c>
      <c r="V183" s="8" t="str">
        <f t="shared" si="60"/>
        <v xml:space="preserve"> dcterms:source "https://www.mindat.org/min-49695.html" ; </v>
      </c>
      <c r="W183" s="8" t="str">
        <f t="shared" si="61"/>
        <v xml:space="preserve">skos:definition "An L chondrite that is of petrologic type 4."@en ; </v>
      </c>
      <c r="X183" s="8" t="str">
        <f t="shared" si="66"/>
        <v xml:space="preserve"> skos:inScheme &lt;https://mindat.org/etmat/cscheme&gt; ;  </v>
      </c>
      <c r="Y183" s="8" t="str">
        <f t="shared" si="62"/>
        <v xml:space="preserve">skos:prefLabel "L4 chondrite meteorite"@en ; rdfs:label "L4 chondrite meteorite"@en ; </v>
      </c>
      <c r="Z183" s="8" t="str">
        <f t="shared" si="63"/>
        <v xml:space="preserve"> skos:notation  "L4"@en ; </v>
      </c>
      <c r="AA183" s="8" t="str">
        <f t="shared" si="53"/>
        <v>dcterms:source "https://www.lpi.usra.edu/meteor/metbullclass.php?sea=L4";</v>
      </c>
      <c r="AB183" s="8" t="str">
        <f t="shared" si="54"/>
        <v xml:space="preserve">skos:broader &lt;etma:1:1:49648:9&gt;, &lt;etma:1:1:49843:2&gt; ; </v>
      </c>
      <c r="AC183" s="8" t="str">
        <f t="shared" ca="1" si="55"/>
        <v>dcterms:modified "2023-06-20T08:57";  .</v>
      </c>
      <c r="AD183" s="10" t="str">
        <f t="shared" ca="1" si="64"/>
        <v>&lt;etma:1:1:49695:7&gt;  rdf:type skos:Concept ;     dcterms:source "https://www.mindat.org/min-49695.html" ;   skos:definition "An L chondrite that is of petrologic type 4."@en ;    skos:inScheme &lt;https://mindat.org/etmat/cscheme&gt; ;    skos:prefLabel "L4 chondrite meteorite"@en ; rdfs:label "L4 chondrite meteorite"@en ;    skos:notation  "L4"@en ;   dcterms:source "https://www.lpi.usra.edu/meteor/metbullclass.php?sea=L4";  skos:broader &lt;etma:1:1:49648:9&gt;, &lt;etma:1:1:49843:2&gt; ;   dcterms:modified "2023-06-20T08:57";  .</v>
      </c>
      <c r="AE183" s="8" t="s">
        <v>2591</v>
      </c>
    </row>
    <row r="184" spans="1:31" x14ac:dyDescent="0.25">
      <c r="A184" s="8">
        <v>161</v>
      </c>
      <c r="B184" s="8" t="s">
        <v>817</v>
      </c>
      <c r="C184" s="8">
        <v>49696</v>
      </c>
      <c r="D184" s="8" t="s">
        <v>815</v>
      </c>
      <c r="E184" s="8" t="s">
        <v>816</v>
      </c>
      <c r="F184" s="9">
        <v>7</v>
      </c>
      <c r="G184" s="9" t="s">
        <v>14</v>
      </c>
      <c r="H184" s="1" t="s">
        <v>818</v>
      </c>
      <c r="I184" s="8" t="str">
        <f t="shared" si="58"/>
        <v>https://www.mindat.org/min-49696.html</v>
      </c>
      <c r="J184" s="8">
        <v>49695</v>
      </c>
      <c r="K184" s="8" t="s">
        <v>810</v>
      </c>
      <c r="N184" s="9">
        <v>0</v>
      </c>
      <c r="O184" s="9" t="s">
        <v>2249</v>
      </c>
      <c r="R184" s="8" t="s">
        <v>819</v>
      </c>
      <c r="S184" s="11">
        <f t="shared" ca="1" si="68"/>
        <v>45097.373057291668</v>
      </c>
      <c r="U184" s="8" t="str">
        <f t="shared" si="59"/>
        <v xml:space="preserve">&lt;etma:1:1:49696:6&gt;  rdf:type skos:Concept ;  </v>
      </c>
      <c r="V184" s="8" t="str">
        <f t="shared" si="60"/>
        <v xml:space="preserve"> dcterms:source "https://www.mindat.org/min-49696.html" ; </v>
      </c>
      <c r="W184" s="8" t="str">
        <f t="shared" si="61"/>
        <v xml:space="preserve">skos:definition "An L chondrite that is petrologic type 4 and has anomalous properties."@en ; </v>
      </c>
      <c r="X184" s="8" t="str">
        <f t="shared" si="66"/>
        <v xml:space="preserve"> skos:inScheme &lt;https://mindat.org/etmat/cscheme&gt; ;  </v>
      </c>
      <c r="Y184" s="8" t="str">
        <f t="shared" si="62"/>
        <v xml:space="preserve">skos:prefLabel "L4-an chondrite meteorite"@en ; rdfs:label "L4-an chondrite meteorite"@en ; </v>
      </c>
      <c r="Z184" s="8" t="str">
        <f t="shared" si="63"/>
        <v xml:space="preserve"> skos:notation  "L4-an"@en ; </v>
      </c>
      <c r="AA184" s="8" t="str">
        <f t="shared" si="53"/>
        <v>dcterms:source "https://www.lpi.usra.edu/meteor/metbullclass.php?sea=L4-an";</v>
      </c>
      <c r="AB184" s="8" t="str">
        <f t="shared" si="54"/>
        <v xml:space="preserve">skos:broader &lt;etma:1:1:49695:7&gt; ; </v>
      </c>
      <c r="AC184" s="8" t="str">
        <f t="shared" ca="1" si="55"/>
        <v>dcterms:modified "2023-06-20T08:57";  .</v>
      </c>
      <c r="AD184" s="10" t="str">
        <f t="shared" ca="1" si="64"/>
        <v>&lt;etma:1:1:49696:6&gt;  rdf:type skos:Concept ;     dcterms:source "https://www.mindat.org/min-49696.html" ;   skos:definition "An L chondrite that is petrologic type 4 and has anomalous properties."@en ;    skos:inScheme &lt;https://mindat.org/etmat/cscheme&gt; ;    skos:prefLabel "L4-an chondrite meteorite"@en ; rdfs:label "L4-an chondrite meteorite"@en ;    skos:notation  "L4-an"@en ;   dcterms:source "https://www.lpi.usra.edu/meteor/metbullclass.php?sea=L4-an";  skos:broader &lt;etma:1:1:49695:7&gt; ;   dcterms:modified "2023-06-20T08:57";  .</v>
      </c>
      <c r="AE184" s="8" t="s">
        <v>2591</v>
      </c>
    </row>
    <row r="185" spans="1:31" x14ac:dyDescent="0.25">
      <c r="A185" s="8">
        <v>162</v>
      </c>
      <c r="B185" s="8" t="s">
        <v>822</v>
      </c>
      <c r="C185" s="8">
        <v>49697</v>
      </c>
      <c r="D185" s="8" t="s">
        <v>820</v>
      </c>
      <c r="E185" s="8" t="s">
        <v>821</v>
      </c>
      <c r="F185" s="9">
        <v>7</v>
      </c>
      <c r="G185" s="9" t="s">
        <v>14</v>
      </c>
      <c r="H185" s="1" t="s">
        <v>823</v>
      </c>
      <c r="I185" s="8" t="str">
        <f t="shared" si="58"/>
        <v>https://www.mindat.org/min-49697.html</v>
      </c>
      <c r="J185" s="8">
        <v>49695</v>
      </c>
      <c r="K185" s="8" t="s">
        <v>810</v>
      </c>
      <c r="N185" s="9">
        <v>0</v>
      </c>
      <c r="O185" s="9" t="s">
        <v>2249</v>
      </c>
      <c r="R185" s="8" t="s">
        <v>824</v>
      </c>
      <c r="S185" s="11">
        <f t="shared" ca="1" si="68"/>
        <v>45097.373057291668</v>
      </c>
      <c r="U185" s="8" t="str">
        <f t="shared" si="59"/>
        <v xml:space="preserve">&lt;etma:1:1:49697:5&gt;  rdf:type skos:Concept ;  </v>
      </c>
      <c r="V185" s="8" t="str">
        <f t="shared" si="60"/>
        <v xml:space="preserve"> dcterms:source "https://www.mindat.org/min-49697.html" ; </v>
      </c>
      <c r="W185" s="8" t="str">
        <f t="shared" si="61"/>
        <v xml:space="preserve">skos:definition "An L4 chondrite that is a breccia with melted material forming the matrix."@en ; </v>
      </c>
      <c r="X185" s="8" t="str">
        <f t="shared" si="66"/>
        <v xml:space="preserve"> skos:inScheme &lt;https://mindat.org/etmat/cscheme&gt; ;  </v>
      </c>
      <c r="Y185" s="8" t="str">
        <f t="shared" si="62"/>
        <v xml:space="preserve">skos:prefLabel "L4-melt breccia chondrite meteorite"@en ; rdfs:label "L4-melt breccia chondrite meteorite"@en ; </v>
      </c>
      <c r="Z185" s="8" t="str">
        <f t="shared" si="63"/>
        <v xml:space="preserve"> skos:notation  "L4-melt breccia"@en ; </v>
      </c>
      <c r="AA185" s="8" t="str">
        <f t="shared" si="53"/>
        <v>dcterms:source "https://www.lpi.usra.edu/meteor/metbullclass.php?sea=L4-melt%20breccia";</v>
      </c>
      <c r="AB185" s="8" t="str">
        <f t="shared" si="54"/>
        <v xml:space="preserve">skos:broader &lt;etma:1:1:49695:7&gt; ; </v>
      </c>
      <c r="AC185" s="8" t="str">
        <f t="shared" ca="1" si="55"/>
        <v>dcterms:modified "2023-06-20T08:57";  .</v>
      </c>
      <c r="AD185" s="10" t="str">
        <f t="shared" ca="1" si="64"/>
        <v>&lt;etma:1:1:49697:5&gt;  rdf:type skos:Concept ;     dcterms:source "https://www.mindat.org/min-49697.html" ;   skos:definition "An L4 chondrite that is a breccia with melted material forming the matrix."@en ;    skos:inScheme &lt;https://mindat.org/etmat/cscheme&gt; ;    skos:prefLabel "L4-melt breccia chondrite meteorite"@en ; rdfs:label "L4-melt breccia chondrite meteorite"@en ;    skos:notation  "L4-melt breccia"@en ;   dcterms:source "https://www.lpi.usra.edu/meteor/metbullclass.php?sea=L4-melt%20breccia";  skos:broader &lt;etma:1:1:49695:7&gt; ;   dcterms:modified "2023-06-20T08:57";  .</v>
      </c>
      <c r="AE185" s="8" t="s">
        <v>2591</v>
      </c>
    </row>
    <row r="186" spans="1:31" x14ac:dyDescent="0.25">
      <c r="A186" s="8">
        <v>163</v>
      </c>
      <c r="B186" s="8" t="s">
        <v>827</v>
      </c>
      <c r="C186" s="8">
        <v>49698</v>
      </c>
      <c r="D186" s="8" t="s">
        <v>825</v>
      </c>
      <c r="E186" s="8" t="s">
        <v>826</v>
      </c>
      <c r="F186" s="9">
        <v>7</v>
      </c>
      <c r="G186" s="9" t="s">
        <v>14</v>
      </c>
      <c r="H186" s="1" t="s">
        <v>828</v>
      </c>
      <c r="I186" s="8" t="str">
        <f t="shared" si="58"/>
        <v>https://www.mindat.org/min-49698.html</v>
      </c>
      <c r="J186" s="8">
        <v>49695</v>
      </c>
      <c r="K186" s="8" t="s">
        <v>810</v>
      </c>
      <c r="N186" s="9">
        <v>0</v>
      </c>
      <c r="O186" s="9" t="s">
        <v>2249</v>
      </c>
      <c r="R186" s="8" t="s">
        <v>829</v>
      </c>
      <c r="S186" s="11">
        <f t="shared" ca="1" si="68"/>
        <v>45097.373057291668</v>
      </c>
      <c r="U186" s="8" t="str">
        <f t="shared" si="59"/>
        <v xml:space="preserve">&lt;etma:1:1:49698:4&gt;  rdf:type skos:Concept ;  </v>
      </c>
      <c r="V186" s="8" t="str">
        <f t="shared" si="60"/>
        <v xml:space="preserve"> dcterms:source "https://www.mindat.org/min-49698.html" ; </v>
      </c>
      <c r="W186" s="8" t="str">
        <f t="shared" si="61"/>
        <v xml:space="preserve">skos:definition "An L4 chondrite that has experienced secondary melting."@en ; </v>
      </c>
      <c r="X186" s="8" t="str">
        <f t="shared" si="66"/>
        <v xml:space="preserve"> skos:inScheme &lt;https://mindat.org/etmat/cscheme&gt; ;  </v>
      </c>
      <c r="Y186" s="8" t="str">
        <f t="shared" si="62"/>
        <v xml:space="preserve">skos:prefLabel "L4-melt rock chondrite meteorite"@en ; rdfs:label "L4-melt rock chondrite meteorite"@en ; </v>
      </c>
      <c r="Z186" s="8" t="str">
        <f t="shared" si="63"/>
        <v xml:space="preserve"> skos:notation  "L4-melt rock"@en ; </v>
      </c>
      <c r="AA186" s="8" t="str">
        <f t="shared" si="53"/>
        <v>dcterms:source "https://www.lpi.usra.edu/meteor/metbullclass.php?sea=L4-melt%20rock";</v>
      </c>
      <c r="AB186" s="8" t="str">
        <f t="shared" si="54"/>
        <v xml:space="preserve">skos:broader &lt;etma:1:1:49695:7&gt; ; </v>
      </c>
      <c r="AC186" s="8" t="str">
        <f t="shared" ca="1" si="55"/>
        <v>dcterms:modified "2023-06-20T08:57";  .</v>
      </c>
      <c r="AD186" s="10" t="str">
        <f t="shared" ca="1" si="64"/>
        <v>&lt;etma:1:1:49698:4&gt;  rdf:type skos:Concept ;     dcterms:source "https://www.mindat.org/min-49698.html" ;   skos:definition "An L4 chondrite that has experienced secondary melting."@en ;    skos:inScheme &lt;https://mindat.org/etmat/cscheme&gt; ;    skos:prefLabel "L4-melt rock chondrite meteorite"@en ; rdfs:label "L4-melt rock chondrite meteorite"@en ;    skos:notation  "L4-melt rock"@en ;   dcterms:source "https://www.lpi.usra.edu/meteor/metbullclass.php?sea=L4-melt%20rock";  skos:broader &lt;etma:1:1:49695:7&gt; ;   dcterms:modified "2023-06-20T08:57";  .</v>
      </c>
      <c r="AE186" s="8" t="s">
        <v>2591</v>
      </c>
    </row>
    <row r="187" spans="1:31" x14ac:dyDescent="0.25">
      <c r="A187" s="8">
        <v>164</v>
      </c>
      <c r="B187" s="8" t="s">
        <v>832</v>
      </c>
      <c r="C187" s="8">
        <v>49699</v>
      </c>
      <c r="D187" s="8" t="s">
        <v>830</v>
      </c>
      <c r="E187" s="8" t="s">
        <v>831</v>
      </c>
      <c r="F187" s="9">
        <v>7</v>
      </c>
      <c r="G187" s="9" t="s">
        <v>14</v>
      </c>
      <c r="H187" s="1" t="s">
        <v>833</v>
      </c>
      <c r="I187" s="8" t="str">
        <f t="shared" si="58"/>
        <v>https://www.mindat.org/min-49699.html</v>
      </c>
      <c r="J187" s="8">
        <v>49695</v>
      </c>
      <c r="K187" s="8" t="s">
        <v>810</v>
      </c>
      <c r="L187" s="9">
        <v>49768</v>
      </c>
      <c r="M187" s="8" t="s">
        <v>1130</v>
      </c>
      <c r="N187" s="9">
        <v>0</v>
      </c>
      <c r="O187" s="9" t="s">
        <v>2249</v>
      </c>
      <c r="R187" s="8" t="s">
        <v>834</v>
      </c>
      <c r="S187" s="11">
        <f t="shared" ca="1" si="68"/>
        <v>45097.373057291668</v>
      </c>
      <c r="U187" s="8" t="str">
        <f t="shared" si="59"/>
        <v xml:space="preserve">&lt;etma:1:1:49699:3&gt;  rdf:type skos:Concept ;  </v>
      </c>
      <c r="V187" s="8" t="str">
        <f t="shared" si="60"/>
        <v xml:space="preserve"> dcterms:source "https://www.mindat.org/min-49699.html" ; </v>
      </c>
      <c r="W187" s="8" t="str">
        <f t="shared" si="61"/>
        <v xml:space="preserve">skos:definition "An L chondrite or LL chondrite that is of petrological type 4."@en ; </v>
      </c>
      <c r="X187" s="8" t="str">
        <f t="shared" si="66"/>
        <v xml:space="preserve"> skos:inScheme &lt;https://mindat.org/etmat/cscheme&gt; ;  </v>
      </c>
      <c r="Y187" s="8" t="str">
        <f t="shared" si="62"/>
        <v xml:space="preserve">skos:prefLabel "L/LL4 chondrite meteorite"@en ; rdfs:label "L/LL4 chondrite meteorite"@en ; </v>
      </c>
      <c r="Z187" s="8" t="str">
        <f t="shared" si="63"/>
        <v xml:space="preserve"> skos:notation  "L/LL4"@en ; </v>
      </c>
      <c r="AA187" s="8" t="str">
        <f t="shared" si="53"/>
        <v>dcterms:source "https://www.lpi.usra.edu/meteor/metbullclass.php?sea=L/LL4";</v>
      </c>
      <c r="AB187" s="8" t="str">
        <f t="shared" si="54"/>
        <v xml:space="preserve">skos:broader &lt;etma:1:1:49695:7&gt;, &lt;etma:1:1:49768:2&gt; ; </v>
      </c>
      <c r="AC187" s="8" t="str">
        <f t="shared" ca="1" si="55"/>
        <v>dcterms:modified "2023-06-20T08:57";  .</v>
      </c>
      <c r="AD187" s="10" t="str">
        <f t="shared" ca="1" si="64"/>
        <v>&lt;etma:1:1:49699:3&gt;  rdf:type skos:Concept ;     dcterms:source "https://www.mindat.org/min-49699.html" ;   skos:definition "An L chondrite or LL chondrite that is of petrological type 4."@en ;    skos:inScheme &lt;https://mindat.org/etmat/cscheme&gt; ;    skos:prefLabel "L/LL4 chondrite meteorite"@en ; rdfs:label "L/LL4 chondrite meteorite"@en ;    skos:notation  "L/LL4"@en ;   dcterms:source "https://www.lpi.usra.edu/meteor/metbullclass.php?sea=L/LL4";  skos:broader &lt;etma:1:1:49695:7&gt;, &lt;etma:1:1:49768:2&gt; ;   dcterms:modified "2023-06-20T08:57";  .</v>
      </c>
      <c r="AE187" s="8" t="s">
        <v>2591</v>
      </c>
    </row>
    <row r="188" spans="1:31" x14ac:dyDescent="0.25">
      <c r="A188" s="8">
        <v>165</v>
      </c>
      <c r="B188" s="8" t="s">
        <v>837</v>
      </c>
      <c r="C188" s="8">
        <v>49700</v>
      </c>
      <c r="D188" s="8" t="s">
        <v>835</v>
      </c>
      <c r="E188" s="8" t="s">
        <v>836</v>
      </c>
      <c r="F188" s="9">
        <v>7</v>
      </c>
      <c r="G188" s="9" t="s">
        <v>14</v>
      </c>
      <c r="H188" s="1" t="s">
        <v>838</v>
      </c>
      <c r="I188" s="8" t="str">
        <f t="shared" si="58"/>
        <v>https://www.mindat.org/min-49700.html</v>
      </c>
      <c r="J188" s="8">
        <v>49695</v>
      </c>
      <c r="K188" s="8" t="s">
        <v>810</v>
      </c>
      <c r="L188" s="9">
        <v>49702</v>
      </c>
      <c r="M188" s="8" t="s">
        <v>840</v>
      </c>
      <c r="N188" s="9">
        <v>0</v>
      </c>
      <c r="O188" s="9" t="s">
        <v>2249</v>
      </c>
      <c r="R188" s="8" t="s">
        <v>839</v>
      </c>
      <c r="S188" s="11">
        <f t="shared" ca="1" si="68"/>
        <v>45097.373057291668</v>
      </c>
      <c r="U188" s="8" t="str">
        <f t="shared" si="59"/>
        <v xml:space="preserve">&lt;etma:1:1:49700:8&gt;  rdf:type skos:Concept ;  </v>
      </c>
      <c r="V188" s="8" t="str">
        <f t="shared" si="60"/>
        <v xml:space="preserve"> dcterms:source "https://www.mindat.org/min-49700.html" ; </v>
      </c>
      <c r="W188" s="8" t="str">
        <f t="shared" si="61"/>
        <v xml:space="preserve">skos:definition "An L chondrite that is petrologic type 4 to 5."@en ; </v>
      </c>
      <c r="X188" s="8" t="str">
        <f t="shared" si="66"/>
        <v xml:space="preserve"> skos:inScheme &lt;https://mindat.org/etmat/cscheme&gt; ;  </v>
      </c>
      <c r="Y188" s="8" t="str">
        <f t="shared" si="62"/>
        <v xml:space="preserve">skos:prefLabel "L4/5 chondrite meteorite"@en ; rdfs:label "L4/5 chondrite meteorite"@en ; </v>
      </c>
      <c r="Z188" s="8" t="str">
        <f t="shared" si="63"/>
        <v xml:space="preserve"> skos:notation  "L4/5"@en ; </v>
      </c>
      <c r="AA188" s="8" t="str">
        <f t="shared" si="53"/>
        <v>dcterms:source "https://www.lpi.usra.edu/meteor/metbullclass.php?sea=L4/5";</v>
      </c>
      <c r="AB188" s="8" t="str">
        <f t="shared" si="54"/>
        <v xml:space="preserve">skos:broader &lt;etma:1:1:49695:7&gt;, &lt;etma:1:1:49702:6&gt; ; </v>
      </c>
      <c r="AC188" s="8" t="str">
        <f t="shared" ca="1" si="55"/>
        <v>dcterms:modified "2023-06-20T08:57";  .</v>
      </c>
      <c r="AD188" s="10" t="str">
        <f t="shared" ca="1" si="64"/>
        <v>&lt;etma:1:1:49700:8&gt;  rdf:type skos:Concept ;     dcterms:source "https://www.mindat.org/min-49700.html" ;   skos:definition "An L chondrite that is petrologic type 4 to 5."@en ;    skos:inScheme &lt;https://mindat.org/etmat/cscheme&gt; ;    skos:prefLabel "L4/5 chondrite meteorite"@en ; rdfs:label "L4/5 chondrite meteorite"@en ;    skos:notation  "L4/5"@en ;   dcterms:source "https://www.lpi.usra.edu/meteor/metbullclass.php?sea=L4/5";  skos:broader &lt;etma:1:1:49695:7&gt;, &lt;etma:1:1:49702:6&gt; ;   dcterms:modified "2023-06-20T08:57";  .</v>
      </c>
      <c r="AE188" s="8" t="s">
        <v>2591</v>
      </c>
    </row>
    <row r="189" spans="1:31" x14ac:dyDescent="0.25">
      <c r="A189" s="8">
        <v>166</v>
      </c>
      <c r="B189" s="8" t="s">
        <v>842</v>
      </c>
      <c r="C189" s="8">
        <v>49702</v>
      </c>
      <c r="D189" s="8" t="s">
        <v>840</v>
      </c>
      <c r="E189" s="8" t="s">
        <v>841</v>
      </c>
      <c r="F189" s="9">
        <v>7</v>
      </c>
      <c r="G189" s="9" t="s">
        <v>14</v>
      </c>
      <c r="H189" s="1" t="s">
        <v>843</v>
      </c>
      <c r="I189" s="8" t="str">
        <f t="shared" si="58"/>
        <v>https://www.mindat.org/min-49702.html</v>
      </c>
      <c r="J189" s="8">
        <v>49648</v>
      </c>
      <c r="K189" s="8" t="s">
        <v>590</v>
      </c>
      <c r="L189" s="9">
        <v>49844</v>
      </c>
      <c r="M189" s="8" t="s">
        <v>2278</v>
      </c>
      <c r="N189" s="9">
        <v>1</v>
      </c>
      <c r="O189" s="9" t="s">
        <v>2249</v>
      </c>
      <c r="R189" s="8" t="s">
        <v>844</v>
      </c>
      <c r="S189" s="11">
        <f t="shared" ca="1" si="68"/>
        <v>45097.373057407407</v>
      </c>
      <c r="U189" s="8" t="str">
        <f t="shared" si="59"/>
        <v xml:space="preserve">&lt;etma:1:1:49702:6&gt;  rdf:type skos:Concept ;  </v>
      </c>
      <c r="V189" s="8" t="str">
        <f t="shared" si="60"/>
        <v xml:space="preserve"> dcterms:source "https://www.mindat.org/min-49702.html" ; </v>
      </c>
      <c r="W189" s="8" t="str">
        <f t="shared" si="61"/>
        <v xml:space="preserve">skos:definition "An L chondrite that is of petrologic type 5."@en ; </v>
      </c>
      <c r="X189" s="8" t="str">
        <f t="shared" si="66"/>
        <v xml:space="preserve"> skos:inScheme &lt;https://mindat.org/etmat/cscheme&gt; ;  </v>
      </c>
      <c r="Y189" s="8" t="str">
        <f t="shared" si="62"/>
        <v xml:space="preserve">skos:prefLabel "L5 chondrite meteorite"@en ; rdfs:label "L5 chondrite meteorite"@en ; </v>
      </c>
      <c r="Z189" s="8" t="str">
        <f t="shared" si="63"/>
        <v xml:space="preserve"> skos:notation  "L5"@en ; </v>
      </c>
      <c r="AA189" s="8" t="str">
        <f t="shared" si="53"/>
        <v>dcterms:source "https://www.lpi.usra.edu/meteor/metbullclass.php?sea=L5";</v>
      </c>
      <c r="AB189" s="8" t="str">
        <f t="shared" si="54"/>
        <v xml:space="preserve">skos:broader &lt;etma:1:1:49648:9&gt;, &lt;etma:1:1:49844:1&gt; ; </v>
      </c>
      <c r="AC189" s="8" t="str">
        <f t="shared" ca="1" si="55"/>
        <v>dcterms:modified "2023-06-20T08:57";  .</v>
      </c>
      <c r="AD189" s="10" t="str">
        <f t="shared" ca="1" si="64"/>
        <v>&lt;etma:1:1:49702:6&gt;  rdf:type skos:Concept ;     dcterms:source "https://www.mindat.org/min-49702.html" ;   skos:definition "An L chondrite that is of petrologic type 5."@en ;    skos:inScheme &lt;https://mindat.org/etmat/cscheme&gt; ;    skos:prefLabel "L5 chondrite meteorite"@en ; rdfs:label "L5 chondrite meteorite"@en ;    skos:notation  "L5"@en ;   dcterms:source "https://www.lpi.usra.edu/meteor/metbullclass.php?sea=L5";  skos:broader &lt;etma:1:1:49648:9&gt;, &lt;etma:1:1:49844:1&gt; ;   dcterms:modified "2023-06-20T08:57";  .</v>
      </c>
      <c r="AE189" s="8" t="s">
        <v>2591</v>
      </c>
    </row>
    <row r="190" spans="1:31" x14ac:dyDescent="0.25">
      <c r="A190" s="8">
        <v>167</v>
      </c>
      <c r="B190" s="8" t="s">
        <v>847</v>
      </c>
      <c r="C190" s="8">
        <v>49703</v>
      </c>
      <c r="D190" s="8" t="s">
        <v>845</v>
      </c>
      <c r="E190" s="8" t="s">
        <v>846</v>
      </c>
      <c r="F190" s="9">
        <v>7</v>
      </c>
      <c r="G190" s="9" t="s">
        <v>14</v>
      </c>
      <c r="H190" s="1" t="s">
        <v>848</v>
      </c>
      <c r="I190" s="8" t="str">
        <f t="shared" si="58"/>
        <v>https://www.mindat.org/min-49703.html</v>
      </c>
      <c r="J190" s="8">
        <v>49702</v>
      </c>
      <c r="K190" s="8" t="s">
        <v>840</v>
      </c>
      <c r="L190" s="9">
        <v>49772</v>
      </c>
      <c r="M190" s="8" t="s">
        <v>1145</v>
      </c>
      <c r="N190" s="9">
        <v>0</v>
      </c>
      <c r="O190" s="9" t="s">
        <v>2249</v>
      </c>
      <c r="R190" s="8" t="s">
        <v>849</v>
      </c>
      <c r="S190" s="11">
        <f t="shared" ca="1" si="68"/>
        <v>45097.373057291668</v>
      </c>
      <c r="U190" s="8" t="str">
        <f t="shared" si="59"/>
        <v xml:space="preserve">&lt;etma:1:1:49703:5&gt;  rdf:type skos:Concept ;  </v>
      </c>
      <c r="V190" s="8" t="str">
        <f t="shared" si="60"/>
        <v xml:space="preserve"> dcterms:source "https://www.mindat.org/min-49703.html" ; </v>
      </c>
      <c r="W190" s="8" t="str">
        <f t="shared" si="61"/>
        <v xml:space="preserve">skos:definition "An L chondrite or LL chondrite that is of petrological type 5."@en ; </v>
      </c>
      <c r="X190" s="8" t="str">
        <f t="shared" si="66"/>
        <v xml:space="preserve"> skos:inScheme &lt;https://mindat.org/etmat/cscheme&gt; ;  </v>
      </c>
      <c r="Y190" s="8" t="str">
        <f t="shared" si="62"/>
        <v xml:space="preserve">skos:prefLabel "L/LL5 chondrite meteorite"@en ; rdfs:label "L/LL5 chondrite meteorite"@en ; </v>
      </c>
      <c r="Z190" s="8" t="str">
        <f t="shared" si="63"/>
        <v xml:space="preserve"> skos:notation  "L/LL5"@en ; </v>
      </c>
      <c r="AA190" s="8" t="str">
        <f t="shared" si="53"/>
        <v>dcterms:source "https://www.lpi.usra.edu/meteor/metbullclass.php?sea=L/LL5";</v>
      </c>
      <c r="AB190" s="8" t="str">
        <f t="shared" si="54"/>
        <v xml:space="preserve">skos:broader &lt;etma:1:1:49702:6&gt;, &lt;etma:1:1:49772:5&gt; ; </v>
      </c>
      <c r="AC190" s="8" t="str">
        <f t="shared" ca="1" si="55"/>
        <v>dcterms:modified "2023-06-20T08:57";  .</v>
      </c>
      <c r="AD190" s="10" t="str">
        <f t="shared" ca="1" si="64"/>
        <v>&lt;etma:1:1:49703:5&gt;  rdf:type skos:Concept ;     dcterms:source "https://www.mindat.org/min-49703.html" ;   skos:definition "An L chondrite or LL chondrite that is of petrological type 5."@en ;    skos:inScheme &lt;https://mindat.org/etmat/cscheme&gt; ;    skos:prefLabel "L/LL5 chondrite meteorite"@en ; rdfs:label "L/LL5 chondrite meteorite"@en ;    skos:notation  "L/LL5"@en ;   dcterms:source "https://www.lpi.usra.edu/meteor/metbullclass.php?sea=L/LL5";  skos:broader &lt;etma:1:1:49702:6&gt;, &lt;etma:1:1:49772:5&gt; ;   dcterms:modified "2023-06-20T08:57";  .</v>
      </c>
      <c r="AE190" s="8" t="s">
        <v>2591</v>
      </c>
    </row>
    <row r="191" spans="1:31" x14ac:dyDescent="0.25">
      <c r="A191" s="8">
        <v>168</v>
      </c>
      <c r="B191" s="8" t="s">
        <v>852</v>
      </c>
      <c r="C191" s="8">
        <v>49705</v>
      </c>
      <c r="D191" s="8" t="s">
        <v>850</v>
      </c>
      <c r="E191" s="8" t="s">
        <v>851</v>
      </c>
      <c r="F191" s="9">
        <v>7</v>
      </c>
      <c r="G191" s="9" t="s">
        <v>14</v>
      </c>
      <c r="H191" s="1" t="s">
        <v>853</v>
      </c>
      <c r="I191" s="8" t="str">
        <f t="shared" si="58"/>
        <v>https://www.mindat.org/min-49705.html</v>
      </c>
      <c r="J191" s="8">
        <v>49703</v>
      </c>
      <c r="K191" s="8" t="s">
        <v>845</v>
      </c>
      <c r="L191" s="9">
        <v>50459</v>
      </c>
      <c r="M191" s="8" t="s">
        <v>1970</v>
      </c>
      <c r="N191" s="9">
        <v>0</v>
      </c>
      <c r="O191" s="9" t="s">
        <v>2249</v>
      </c>
      <c r="R191" s="8" t="s">
        <v>854</v>
      </c>
      <c r="S191" s="11">
        <f t="shared" ca="1" si="68"/>
        <v>45097.373057407407</v>
      </c>
      <c r="U191" s="8" t="str">
        <f t="shared" si="59"/>
        <v xml:space="preserve">&lt;etma:1:1:49705:3&gt;  rdf:type skos:Concept ;  </v>
      </c>
      <c r="V191" s="8" t="str">
        <f t="shared" si="60"/>
        <v xml:space="preserve"> dcterms:source "https://www.mindat.org/min-49705.html" ; </v>
      </c>
      <c r="W191" s="8" t="str">
        <f t="shared" si="61"/>
        <v xml:space="preserve">skos:definition "An L chondrite or LL chondrite that is either petrological type 5 or 6."@en ; </v>
      </c>
      <c r="X191" s="8" t="str">
        <f t="shared" si="66"/>
        <v xml:space="preserve"> skos:inScheme &lt;https://mindat.org/etmat/cscheme&gt; ;  </v>
      </c>
      <c r="Y191" s="8" t="str">
        <f t="shared" si="62"/>
        <v xml:space="preserve">skos:prefLabel "L/LL5/6 chondrite meteorite"@en ; rdfs:label "L/LL5/6 chondrite meteorite"@en ; </v>
      </c>
      <c r="Z191" s="8" t="str">
        <f t="shared" si="63"/>
        <v xml:space="preserve"> skos:notation  "L/LL5/6"@en ; </v>
      </c>
      <c r="AA191" s="8" t="str">
        <f t="shared" si="53"/>
        <v>dcterms:source "https://www.lpi.usra.edu/meteor/metbullclass.php?sea=L/LL5/6";</v>
      </c>
      <c r="AB191" s="8" t="str">
        <f t="shared" si="54"/>
        <v xml:space="preserve">skos:broader &lt;etma:1:1:49703:5&gt;, &lt;etma:1:1:50459:3&gt; ; </v>
      </c>
      <c r="AC191" s="8" t="str">
        <f t="shared" ca="1" si="55"/>
        <v>dcterms:modified "2023-06-20T08:57";  .</v>
      </c>
      <c r="AD191" s="10" t="str">
        <f t="shared" ca="1" si="64"/>
        <v>&lt;etma:1:1:49705:3&gt;  rdf:type skos:Concept ;     dcterms:source "https://www.mindat.org/min-49705.html" ;   skos:definition "An L chondrite or LL chondrite that is either petrological type 5 or 6."@en ;    skos:inScheme &lt;https://mindat.org/etmat/cscheme&gt; ;    skos:prefLabel "L/LL5/6 chondrite meteorite"@en ; rdfs:label "L/LL5/6 chondrite meteorite"@en ;    skos:notation  "L/LL5/6"@en ;   dcterms:source "https://www.lpi.usra.edu/meteor/metbullclass.php?sea=L/LL5/6";  skos:broader &lt;etma:1:1:49703:5&gt;, &lt;etma:1:1:50459:3&gt; ;   dcterms:modified "2023-06-20T08:57";  .</v>
      </c>
      <c r="AE191" s="8" t="s">
        <v>2591</v>
      </c>
    </row>
    <row r="192" spans="1:31" x14ac:dyDescent="0.25">
      <c r="A192" s="8">
        <v>169</v>
      </c>
      <c r="B192" s="8" t="s">
        <v>857</v>
      </c>
      <c r="C192" s="8">
        <v>49707</v>
      </c>
      <c r="D192" s="8" t="s">
        <v>855</v>
      </c>
      <c r="E192" s="8" t="s">
        <v>856</v>
      </c>
      <c r="F192" s="9">
        <v>7</v>
      </c>
      <c r="G192" s="9" t="s">
        <v>14</v>
      </c>
      <c r="H192" s="1" t="s">
        <v>858</v>
      </c>
      <c r="I192" s="8" t="str">
        <f t="shared" si="58"/>
        <v>https://www.mindat.org/min-49707.html</v>
      </c>
      <c r="J192" s="8">
        <v>49702</v>
      </c>
      <c r="K192" s="8" t="s">
        <v>840</v>
      </c>
      <c r="L192" s="9">
        <v>49710</v>
      </c>
      <c r="M192" s="8" t="s">
        <v>870</v>
      </c>
      <c r="N192" s="9">
        <v>0</v>
      </c>
      <c r="O192" s="9" t="s">
        <v>2249</v>
      </c>
      <c r="R192" s="8" t="s">
        <v>859</v>
      </c>
      <c r="S192" s="11">
        <f t="shared" ca="1" si="68"/>
        <v>45097.373057291668</v>
      </c>
      <c r="U192" s="8" t="str">
        <f t="shared" si="59"/>
        <v xml:space="preserve">&lt;etma:1:1:49707:1&gt;  rdf:type skos:Concept ;  </v>
      </c>
      <c r="V192" s="8" t="str">
        <f t="shared" si="60"/>
        <v xml:space="preserve"> dcterms:source "https://www.mindat.org/min-49707.html" ; </v>
      </c>
      <c r="W192" s="8" t="str">
        <f t="shared" si="61"/>
        <v xml:space="preserve">skos:definition "An L chondrite that is a breccia of components ranging from petrologic type 5 to 6."@en ; </v>
      </c>
      <c r="X192" s="8" t="str">
        <f t="shared" si="66"/>
        <v xml:space="preserve"> skos:inScheme &lt;https://mindat.org/etmat/cscheme&gt; ;  </v>
      </c>
      <c r="Y192" s="8" t="str">
        <f t="shared" si="62"/>
        <v xml:space="preserve">skos:prefLabel "L5-6 chrondite"@en ; rdfs:label "L5-6 chrondite"@en ; </v>
      </c>
      <c r="Z192" s="8" t="str">
        <f t="shared" si="63"/>
        <v xml:space="preserve"> skos:notation  "L5-6"@en ; </v>
      </c>
      <c r="AA192" s="8" t="str">
        <f t="shared" si="53"/>
        <v>dcterms:source "https://www.lpi.usra.edu/meteor/metbullclass.php?sea=L5-6";</v>
      </c>
      <c r="AB192" s="8" t="str">
        <f t="shared" si="54"/>
        <v xml:space="preserve">skos:broader &lt;etma:1:1:49702:6&gt;, &lt;etma:1:1:49710:5&gt; ; </v>
      </c>
      <c r="AC192" s="8" t="str">
        <f t="shared" ca="1" si="55"/>
        <v>dcterms:modified "2023-06-20T08:57";  .</v>
      </c>
      <c r="AD192" s="10" t="str">
        <f t="shared" ca="1" si="64"/>
        <v>&lt;etma:1:1:49707:1&gt;  rdf:type skos:Concept ;     dcterms:source "https://www.mindat.org/min-49707.html" ;   skos:definition "An L chondrite that is a breccia of components ranging from petrologic type 5 to 6."@en ;    skos:inScheme &lt;https://mindat.org/etmat/cscheme&gt; ;    skos:prefLabel "L5-6 chrondite"@en ; rdfs:label "L5-6 chrondite"@en ;    skos:notation  "L5-6"@en ;   dcterms:source "https://www.lpi.usra.edu/meteor/metbullclass.php?sea=L5-6";  skos:broader &lt;etma:1:1:49702:6&gt;, &lt;etma:1:1:49710:5&gt; ;   dcterms:modified "2023-06-20T08:57";  .</v>
      </c>
      <c r="AE192" s="8" t="s">
        <v>2591</v>
      </c>
    </row>
    <row r="193" spans="1:31" x14ac:dyDescent="0.25">
      <c r="A193" s="8">
        <v>170</v>
      </c>
      <c r="B193" s="8" t="s">
        <v>862</v>
      </c>
      <c r="C193" s="8">
        <v>49708</v>
      </c>
      <c r="D193" s="8" t="s">
        <v>860</v>
      </c>
      <c r="E193" s="8" t="s">
        <v>861</v>
      </c>
      <c r="F193" s="9">
        <v>7</v>
      </c>
      <c r="G193" s="9" t="s">
        <v>14</v>
      </c>
      <c r="H193" s="1" t="s">
        <v>863</v>
      </c>
      <c r="I193" s="8" t="str">
        <f t="shared" si="58"/>
        <v>https://www.mindat.org/min-49708.html</v>
      </c>
      <c r="J193" s="8">
        <v>49702</v>
      </c>
      <c r="K193" s="8" t="s">
        <v>840</v>
      </c>
      <c r="L193" s="9">
        <v>49710</v>
      </c>
      <c r="M193" s="8" t="s">
        <v>870</v>
      </c>
      <c r="N193" s="9">
        <v>0</v>
      </c>
      <c r="O193" s="9" t="s">
        <v>2249</v>
      </c>
      <c r="R193" s="8" t="s">
        <v>864</v>
      </c>
      <c r="S193" s="11">
        <f t="shared" ca="1" si="68"/>
        <v>45097.373057291668</v>
      </c>
      <c r="U193" s="8" t="str">
        <f t="shared" si="59"/>
        <v xml:space="preserve">&lt;etma:1:1:49708:0&gt;  rdf:type skos:Concept ;  </v>
      </c>
      <c r="V193" s="8" t="str">
        <f t="shared" si="60"/>
        <v xml:space="preserve"> dcterms:source "https://www.mindat.org/min-49708.html" ; </v>
      </c>
      <c r="W193" s="8" t="str">
        <f t="shared" si="61"/>
        <v xml:space="preserve">skos:definition "An L chondrite that is either petrological type 5 or 6."@en ; </v>
      </c>
      <c r="X193" s="8" t="str">
        <f t="shared" si="66"/>
        <v xml:space="preserve"> skos:inScheme &lt;https://mindat.org/etmat/cscheme&gt; ;  </v>
      </c>
      <c r="Y193" s="8" t="str">
        <f t="shared" si="62"/>
        <v xml:space="preserve">skos:prefLabel "L5/6 chondrite meteorite"@en ; rdfs:label "L5/6 chondrite meteorite"@en ; </v>
      </c>
      <c r="Z193" s="8" t="str">
        <f t="shared" si="63"/>
        <v xml:space="preserve"> skos:notation  "L5/6"@en ; </v>
      </c>
      <c r="AA193" s="8" t="str">
        <f t="shared" si="53"/>
        <v>dcterms:source "https://www.lpi.usra.edu/meteor/metbullclass.php?sea=L5/6";</v>
      </c>
      <c r="AB193" s="8" t="str">
        <f t="shared" si="54"/>
        <v xml:space="preserve">skos:broader &lt;etma:1:1:49702:6&gt;, &lt;etma:1:1:49710:5&gt; ; </v>
      </c>
      <c r="AC193" s="8" t="str">
        <f t="shared" ca="1" si="55"/>
        <v>dcterms:modified "2023-06-20T08:57";  .</v>
      </c>
      <c r="AD193" s="10" t="str">
        <f t="shared" ca="1" si="64"/>
        <v>&lt;etma:1:1:49708:0&gt;  rdf:type skos:Concept ;     dcterms:source "https://www.mindat.org/min-49708.html" ;   skos:definition "An L chondrite that is either petrological type 5 or 6."@en ;    skos:inScheme &lt;https://mindat.org/etmat/cscheme&gt; ;    skos:prefLabel "L5/6 chondrite meteorite"@en ; rdfs:label "L5/6 chondrite meteorite"@en ;    skos:notation  "L5/6"@en ;   dcterms:source "https://www.lpi.usra.edu/meteor/metbullclass.php?sea=L5/6";  skos:broader &lt;etma:1:1:49702:6&gt;, &lt;etma:1:1:49710:5&gt; ;   dcterms:modified "2023-06-20T08:57";  .</v>
      </c>
      <c r="AE193" s="8" t="s">
        <v>2591</v>
      </c>
    </row>
    <row r="194" spans="1:31" x14ac:dyDescent="0.25">
      <c r="A194" s="8">
        <v>171</v>
      </c>
      <c r="B194" s="8" t="s">
        <v>867</v>
      </c>
      <c r="C194" s="8">
        <v>49709</v>
      </c>
      <c r="D194" s="8" t="s">
        <v>865</v>
      </c>
      <c r="E194" s="8" t="s">
        <v>866</v>
      </c>
      <c r="F194" s="9">
        <v>7</v>
      </c>
      <c r="G194" s="9" t="s">
        <v>14</v>
      </c>
      <c r="H194" s="1" t="s">
        <v>868</v>
      </c>
      <c r="I194" s="8" t="str">
        <f t="shared" si="58"/>
        <v>https://www.mindat.org/min-49709.html</v>
      </c>
      <c r="J194" s="8">
        <v>49702</v>
      </c>
      <c r="K194" s="8" t="s">
        <v>840</v>
      </c>
      <c r="N194" s="9">
        <v>0</v>
      </c>
      <c r="O194" s="9" t="s">
        <v>2249</v>
      </c>
      <c r="R194" s="8" t="s">
        <v>869</v>
      </c>
      <c r="S194" s="11">
        <f t="shared" ca="1" si="68"/>
        <v>45097.373057291668</v>
      </c>
      <c r="U194" s="8" t="str">
        <f t="shared" si="59"/>
        <v xml:space="preserve">&lt;etma:1:1:49709:9&gt;  rdf:type skos:Concept ;  </v>
      </c>
      <c r="V194" s="8" t="str">
        <f t="shared" si="60"/>
        <v xml:space="preserve"> dcterms:source "https://www.mindat.org/min-49709.html" ; </v>
      </c>
      <c r="W194" s="8" t="str">
        <f t="shared" si="61"/>
        <v xml:space="preserve">skos:definition "An L5 chondrite that is a breccia with melted material forming the matrix."@en ; </v>
      </c>
      <c r="X194" s="8" t="str">
        <f t="shared" si="66"/>
        <v xml:space="preserve"> skos:inScheme &lt;https://mindat.org/etmat/cscheme&gt; ;  </v>
      </c>
      <c r="Y194" s="8" t="str">
        <f t="shared" si="62"/>
        <v xml:space="preserve">skos:prefLabel "L5-melt breccia chondrite meteorite"@en ; rdfs:label "L5-melt breccia chondrite meteorite"@en ; </v>
      </c>
      <c r="Z194" s="8" t="str">
        <f t="shared" si="63"/>
        <v xml:space="preserve"> skos:notation  "L5-melt breccia"@en ; </v>
      </c>
      <c r="AA194" s="8" t="str">
        <f t="shared" si="53"/>
        <v>dcterms:source "https://www.lpi.usra.edu/meteor/metbullclass.php?sea=L5-melt%20breccia";</v>
      </c>
      <c r="AB194" s="8" t="str">
        <f t="shared" si="54"/>
        <v xml:space="preserve">skos:broader &lt;etma:1:1:49702:6&gt; ; </v>
      </c>
      <c r="AC194" s="8" t="str">
        <f t="shared" ca="1" si="55"/>
        <v>dcterms:modified "2023-06-20T08:57";  .</v>
      </c>
      <c r="AD194" s="10" t="str">
        <f t="shared" ca="1" si="64"/>
        <v>&lt;etma:1:1:49709:9&gt;  rdf:type skos:Concept ;     dcterms:source "https://www.mindat.org/min-49709.html" ;   skos:definition "An L5 chondrite that is a breccia with melted material forming the matrix."@en ;    skos:inScheme &lt;https://mindat.org/etmat/cscheme&gt; ;    skos:prefLabel "L5-melt breccia chondrite meteorite"@en ; rdfs:label "L5-melt breccia chondrite meteorite"@en ;    skos:notation  "L5-melt breccia"@en ;   dcterms:source "https://www.lpi.usra.edu/meteor/metbullclass.php?sea=L5-melt%20breccia";  skos:broader &lt;etma:1:1:49702:6&gt; ;   dcterms:modified "2023-06-20T08:57";  .</v>
      </c>
      <c r="AE194" s="8" t="s">
        <v>2591</v>
      </c>
    </row>
    <row r="195" spans="1:31" x14ac:dyDescent="0.25">
      <c r="A195" s="8">
        <v>172</v>
      </c>
      <c r="B195" s="8" t="s">
        <v>872</v>
      </c>
      <c r="C195" s="8">
        <v>49710</v>
      </c>
      <c r="D195" s="8" t="s">
        <v>870</v>
      </c>
      <c r="E195" s="8" t="s">
        <v>871</v>
      </c>
      <c r="F195" s="9">
        <v>7</v>
      </c>
      <c r="G195" s="9" t="s">
        <v>14</v>
      </c>
      <c r="H195" s="1" t="s">
        <v>873</v>
      </c>
      <c r="I195" s="8" t="str">
        <f t="shared" si="58"/>
        <v>https://www.mindat.org/min-49710.html</v>
      </c>
      <c r="J195" s="8">
        <v>49648</v>
      </c>
      <c r="K195" s="8" t="s">
        <v>590</v>
      </c>
      <c r="L195" s="9">
        <v>49845</v>
      </c>
      <c r="M195" s="8" t="s">
        <v>2411</v>
      </c>
      <c r="N195" s="9">
        <v>1</v>
      </c>
      <c r="O195" s="9" t="s">
        <v>2249</v>
      </c>
      <c r="R195" s="8" t="s">
        <v>874</v>
      </c>
      <c r="S195" s="11">
        <f t="shared" ca="1" si="68"/>
        <v>45097.373057291668</v>
      </c>
      <c r="U195" s="8" t="str">
        <f t="shared" si="59"/>
        <v xml:space="preserve">&lt;etma:1:1:49710:5&gt;  rdf:type skos:Concept ;  </v>
      </c>
      <c r="V195" s="8" t="str">
        <f t="shared" si="60"/>
        <v xml:space="preserve"> dcterms:source "https://www.mindat.org/min-49710.html" ; </v>
      </c>
      <c r="W195" s="8" t="str">
        <f t="shared" si="61"/>
        <v xml:space="preserve">skos:definition "An L chondrite that is of petrologic type 6."@en ; </v>
      </c>
      <c r="X195" s="8" t="str">
        <f t="shared" si="66"/>
        <v xml:space="preserve"> skos:inScheme &lt;https://mindat.org/etmat/cscheme&gt; ;  </v>
      </c>
      <c r="Y195" s="8" t="str">
        <f t="shared" si="62"/>
        <v xml:space="preserve">skos:prefLabel "L6 chondrite meteorite"@en ; rdfs:label "L6 chondrite meteorite"@en ; </v>
      </c>
      <c r="Z195" s="8" t="str">
        <f t="shared" si="63"/>
        <v xml:space="preserve"> skos:notation  "L6"@en ; </v>
      </c>
      <c r="AA195" s="8" t="str">
        <f t="shared" ref="AA195:AA258" si="69">IF(NOT(ISBLANK(R195)), "dcterms:source ""https://www.lpi.usra.edu/meteor/metbullclass.php?sea=" &amp; SUBSTITUTE(R195," ","%20") &amp; """;","")</f>
        <v>dcterms:source "https://www.lpi.usra.edu/meteor/metbullclass.php?sea=L6";</v>
      </c>
      <c r="AB195" s="8" t="str">
        <f t="shared" ref="AB195:AB258" si="70">"skos:broader &lt;etma:"&amp;K195&amp;"&gt;" &amp; IF(ISBLANK(M195),"", ", &lt;etma:"&amp;M195&amp;"&gt;") &amp; " ; "</f>
        <v xml:space="preserve">skos:broader &lt;etma:1:1:49648:9&gt;, &lt;etma:1:1:49845:0&gt; ; </v>
      </c>
      <c r="AC195" s="8" t="str">
        <f t="shared" ref="AC195:AC258" ca="1" si="71">"dcterms:modified """&amp;  TEXT(S195,"YYYY-MM-DDTHH:MM") &amp;""";  ."</f>
        <v>dcterms:modified "2023-06-20T08:57";  .</v>
      </c>
      <c r="AD195" s="10" t="str">
        <f t="shared" ca="1" si="64"/>
        <v>&lt;etma:1:1:49710:5&gt;  rdf:type skos:Concept ;     dcterms:source "https://www.mindat.org/min-49710.html" ;   skos:definition "An L chondrite that is of petrologic type 6."@en ;    skos:inScheme &lt;https://mindat.org/etmat/cscheme&gt; ;    skos:prefLabel "L6 chondrite meteorite"@en ; rdfs:label "L6 chondrite meteorite"@en ;    skos:notation  "L6"@en ;   dcterms:source "https://www.lpi.usra.edu/meteor/metbullclass.php?sea=L6";  skos:broader &lt;etma:1:1:49648:9&gt;, &lt;etma:1:1:49845:0&gt; ;   dcterms:modified "2023-06-20T08:57";  .</v>
      </c>
      <c r="AE195" s="8" t="s">
        <v>2591</v>
      </c>
    </row>
    <row r="196" spans="1:31" x14ac:dyDescent="0.25">
      <c r="A196" s="8">
        <v>173</v>
      </c>
      <c r="B196" s="8" t="s">
        <v>877</v>
      </c>
      <c r="C196" s="8">
        <v>49711</v>
      </c>
      <c r="D196" s="8" t="s">
        <v>875</v>
      </c>
      <c r="E196" s="8" t="s">
        <v>876</v>
      </c>
      <c r="F196" s="9">
        <v>7</v>
      </c>
      <c r="G196" s="9" t="s">
        <v>14</v>
      </c>
      <c r="H196" s="1" t="s">
        <v>878</v>
      </c>
      <c r="I196" s="8" t="str">
        <f t="shared" si="58"/>
        <v>https://www.mindat.org/min-49711.html</v>
      </c>
      <c r="J196" s="8">
        <v>49710</v>
      </c>
      <c r="K196" s="8" t="s">
        <v>870</v>
      </c>
      <c r="N196" s="9">
        <v>0</v>
      </c>
      <c r="O196" s="9" t="s">
        <v>2249</v>
      </c>
      <c r="R196" s="8" t="s">
        <v>879</v>
      </c>
      <c r="S196" s="11">
        <f t="shared" ca="1" si="68"/>
        <v>45097.373057291668</v>
      </c>
      <c r="U196" s="8" t="str">
        <f t="shared" si="59"/>
        <v xml:space="preserve">&lt;etma:1:1:49711:4&gt;  rdf:type skos:Concept ;  </v>
      </c>
      <c r="V196" s="8" t="str">
        <f t="shared" si="60"/>
        <v xml:space="preserve"> dcterms:source "https://www.mindat.org/min-49711.html" ; </v>
      </c>
      <c r="W196" s="8" t="str">
        <f t="shared" si="61"/>
        <v xml:space="preserve">skos:definition "An L6 chondrite that is a breccia with melted material forming the matrix."@en ; </v>
      </c>
      <c r="X196" s="8" t="str">
        <f t="shared" si="66"/>
        <v xml:space="preserve"> skos:inScheme &lt;https://mindat.org/etmat/cscheme&gt; ;  </v>
      </c>
      <c r="Y196" s="8" t="str">
        <f t="shared" si="62"/>
        <v xml:space="preserve">skos:prefLabel "L6-melt breccia chondrite meteorite"@en ; rdfs:label "L6-melt breccia chondrite meteorite"@en ; </v>
      </c>
      <c r="Z196" s="8" t="str">
        <f t="shared" si="63"/>
        <v xml:space="preserve"> skos:notation  "L6-melt breccia"@en ; </v>
      </c>
      <c r="AA196" s="8" t="str">
        <f t="shared" si="69"/>
        <v>dcterms:source "https://www.lpi.usra.edu/meteor/metbullclass.php?sea=L6-melt%20breccia";</v>
      </c>
      <c r="AB196" s="8" t="str">
        <f t="shared" si="70"/>
        <v xml:space="preserve">skos:broader &lt;etma:1:1:49710:5&gt; ; </v>
      </c>
      <c r="AC196" s="8" t="str">
        <f t="shared" ca="1" si="71"/>
        <v>dcterms:modified "2023-06-20T08:57";  .</v>
      </c>
      <c r="AD196" s="10" t="str">
        <f t="shared" ca="1" si="64"/>
        <v>&lt;etma:1:1:49711:4&gt;  rdf:type skos:Concept ;     dcterms:source "https://www.mindat.org/min-49711.html" ;   skos:definition "An L6 chondrite that is a breccia with melted material forming the matrix."@en ;    skos:inScheme &lt;https://mindat.org/etmat/cscheme&gt; ;    skos:prefLabel "L6-melt breccia chondrite meteorite"@en ; rdfs:label "L6-melt breccia chondrite meteorite"@en ;    skos:notation  "L6-melt breccia"@en ;   dcterms:source "https://www.lpi.usra.edu/meteor/metbullclass.php?sea=L6-melt%20breccia";  skos:broader &lt;etma:1:1:49710:5&gt; ;   dcterms:modified "2023-06-20T08:57";  .</v>
      </c>
      <c r="AE196" s="8" t="s">
        <v>2591</v>
      </c>
    </row>
    <row r="197" spans="1:31" x14ac:dyDescent="0.25">
      <c r="A197" s="8">
        <v>174</v>
      </c>
      <c r="B197" s="8" t="s">
        <v>882</v>
      </c>
      <c r="C197" s="8">
        <v>49712</v>
      </c>
      <c r="D197" s="8" t="s">
        <v>880</v>
      </c>
      <c r="E197" s="8" t="s">
        <v>881</v>
      </c>
      <c r="F197" s="9">
        <v>7</v>
      </c>
      <c r="G197" s="9" t="s">
        <v>14</v>
      </c>
      <c r="H197" s="1" t="s">
        <v>883</v>
      </c>
      <c r="I197" s="8" t="str">
        <f t="shared" si="58"/>
        <v>https://www.mindat.org/min-49712.html</v>
      </c>
      <c r="J197" s="8">
        <v>49710</v>
      </c>
      <c r="K197" s="8" t="s">
        <v>870</v>
      </c>
      <c r="N197" s="9">
        <v>0</v>
      </c>
      <c r="O197" s="9" t="s">
        <v>2249</v>
      </c>
      <c r="R197" s="8" t="s">
        <v>884</v>
      </c>
      <c r="S197" s="11">
        <f t="shared" ca="1" si="68"/>
        <v>45097.373057407407</v>
      </c>
      <c r="U197" s="8" t="str">
        <f t="shared" si="59"/>
        <v xml:space="preserve">&lt;etma:1:1:49712:3&gt;  rdf:type skos:Concept ;  </v>
      </c>
      <c r="V197" s="8" t="str">
        <f t="shared" si="60"/>
        <v xml:space="preserve"> dcterms:source "https://www.mindat.org/min-49712.html" ; </v>
      </c>
      <c r="W197" s="8" t="str">
        <f t="shared" si="61"/>
        <v xml:space="preserve">skos:definition "An L6 chondrite that has experienced secondary melting."@en ; </v>
      </c>
      <c r="X197" s="8" t="str">
        <f t="shared" si="66"/>
        <v xml:space="preserve"> skos:inScheme &lt;https://mindat.org/etmat/cscheme&gt; ;  </v>
      </c>
      <c r="Y197" s="8" t="str">
        <f t="shared" si="62"/>
        <v xml:space="preserve">skos:prefLabel "L6-melt rock chondrite meteorite"@en ; rdfs:label "L6-melt rock chondrite meteorite"@en ; </v>
      </c>
      <c r="Z197" s="8" t="str">
        <f t="shared" si="63"/>
        <v xml:space="preserve"> skos:notation  "L6-melt rock"@en ; </v>
      </c>
      <c r="AA197" s="8" t="str">
        <f t="shared" si="69"/>
        <v>dcterms:source "https://www.lpi.usra.edu/meteor/metbullclass.php?sea=L6-melt%20rock";</v>
      </c>
      <c r="AB197" s="8" t="str">
        <f t="shared" si="70"/>
        <v xml:space="preserve">skos:broader &lt;etma:1:1:49710:5&gt; ; </v>
      </c>
      <c r="AC197" s="8" t="str">
        <f t="shared" ca="1" si="71"/>
        <v>dcterms:modified "2023-06-20T08:57";  .</v>
      </c>
      <c r="AD197" s="10" t="str">
        <f t="shared" ca="1" si="64"/>
        <v>&lt;etma:1:1:49712:3&gt;  rdf:type skos:Concept ;     dcterms:source "https://www.mindat.org/min-49712.html" ;   skos:definition "An L6 chondrite that has experienced secondary melting."@en ;    skos:inScheme &lt;https://mindat.org/etmat/cscheme&gt; ;    skos:prefLabel "L6-melt rock chondrite meteorite"@en ; rdfs:label "L6-melt rock chondrite meteorite"@en ;    skos:notation  "L6-melt rock"@en ;   dcterms:source "https://www.lpi.usra.edu/meteor/metbullclass.php?sea=L6-melt%20rock";  skos:broader &lt;etma:1:1:49710:5&gt; ;   dcterms:modified "2023-06-20T08:57";  .</v>
      </c>
      <c r="AE197" s="8" t="s">
        <v>2591</v>
      </c>
    </row>
    <row r="198" spans="1:31" x14ac:dyDescent="0.25">
      <c r="A198" s="8">
        <v>175</v>
      </c>
      <c r="B198" s="8" t="s">
        <v>887</v>
      </c>
      <c r="C198" s="8">
        <v>49713</v>
      </c>
      <c r="D198" s="8" t="s">
        <v>885</v>
      </c>
      <c r="E198" s="8" t="s">
        <v>886</v>
      </c>
      <c r="F198" s="9">
        <v>7</v>
      </c>
      <c r="G198" s="9" t="s">
        <v>14</v>
      </c>
      <c r="H198" s="1" t="s">
        <v>888</v>
      </c>
      <c r="I198" s="8" t="str">
        <f t="shared" si="58"/>
        <v>https://www.mindat.org/min-49713.html</v>
      </c>
      <c r="J198" s="8">
        <v>49710</v>
      </c>
      <c r="K198" s="8" t="s">
        <v>870</v>
      </c>
      <c r="L198" s="9">
        <v>49776</v>
      </c>
      <c r="M198" s="8" t="s">
        <v>1160</v>
      </c>
      <c r="N198" s="9">
        <v>0</v>
      </c>
      <c r="O198" s="9" t="s">
        <v>2249</v>
      </c>
      <c r="R198" s="8" t="s">
        <v>889</v>
      </c>
      <c r="S198" s="11">
        <f t="shared" ca="1" si="68"/>
        <v>45097.373057291668</v>
      </c>
      <c r="U198" s="8" t="str">
        <f t="shared" si="59"/>
        <v xml:space="preserve">&lt;etma:1:1:49713:2&gt;  rdf:type skos:Concept ;  </v>
      </c>
      <c r="V198" s="8" t="str">
        <f t="shared" si="60"/>
        <v xml:space="preserve"> dcterms:source "https://www.mindat.org/min-49713.html" ; </v>
      </c>
      <c r="W198" s="8" t="str">
        <f t="shared" si="61"/>
        <v xml:space="preserve">skos:definition "An L chondrite or LL chondrite that is of petrological type 6."@en ; </v>
      </c>
      <c r="X198" s="8" t="str">
        <f t="shared" si="66"/>
        <v xml:space="preserve"> skos:inScheme &lt;https://mindat.org/etmat/cscheme&gt; ;  </v>
      </c>
      <c r="Y198" s="8" t="str">
        <f t="shared" si="62"/>
        <v xml:space="preserve">skos:prefLabel "L/LL6 chondrite meteorite"@en ; rdfs:label "L/LL6 chondrite meteorite"@en ; </v>
      </c>
      <c r="Z198" s="8" t="str">
        <f t="shared" si="63"/>
        <v xml:space="preserve"> skos:notation  "L/LL6"@en ; </v>
      </c>
      <c r="AA198" s="8" t="str">
        <f t="shared" si="69"/>
        <v>dcterms:source "https://www.lpi.usra.edu/meteor/metbullclass.php?sea=L/LL6";</v>
      </c>
      <c r="AB198" s="8" t="str">
        <f t="shared" si="70"/>
        <v xml:space="preserve">skos:broader &lt;etma:1:1:49710:5&gt;, &lt;etma:1:1:49776:1&gt; ; </v>
      </c>
      <c r="AC198" s="8" t="str">
        <f t="shared" ca="1" si="71"/>
        <v>dcterms:modified "2023-06-20T08:57";  .</v>
      </c>
      <c r="AD198" s="10" t="str">
        <f t="shared" ca="1" si="64"/>
        <v>&lt;etma:1:1:49713:2&gt;  rdf:type skos:Concept ;     dcterms:source "https://www.mindat.org/min-49713.html" ;   skos:definition "An L chondrite or LL chondrite that is of petrological type 6."@en ;    skos:inScheme &lt;https://mindat.org/etmat/cscheme&gt; ;    skos:prefLabel "L/LL6 chondrite meteorite"@en ; rdfs:label "L/LL6 chondrite meteorite"@en ;    skos:notation  "L/LL6"@en ;   dcterms:source "https://www.lpi.usra.edu/meteor/metbullclass.php?sea=L/LL6";  skos:broader &lt;etma:1:1:49710:5&gt;, &lt;etma:1:1:49776:1&gt; ;   dcterms:modified "2023-06-20T08:57";  .</v>
      </c>
      <c r="AE198" s="8" t="s">
        <v>2591</v>
      </c>
    </row>
    <row r="199" spans="1:31" x14ac:dyDescent="0.25">
      <c r="A199" s="8">
        <v>176</v>
      </c>
      <c r="B199" s="8" t="s">
        <v>892</v>
      </c>
      <c r="C199" s="8">
        <v>49715</v>
      </c>
      <c r="D199" s="8" t="s">
        <v>890</v>
      </c>
      <c r="E199" s="8" t="s">
        <v>891</v>
      </c>
      <c r="F199" s="9">
        <v>7</v>
      </c>
      <c r="G199" s="9" t="s">
        <v>14</v>
      </c>
      <c r="H199" s="1" t="s">
        <v>893</v>
      </c>
      <c r="I199" s="8" t="str">
        <f t="shared" si="58"/>
        <v>https://www.mindat.org/min-49715.html</v>
      </c>
      <c r="J199" s="8">
        <v>49713</v>
      </c>
      <c r="K199" s="8" t="s">
        <v>885</v>
      </c>
      <c r="N199" s="9">
        <v>0</v>
      </c>
      <c r="O199" s="9" t="s">
        <v>2249</v>
      </c>
      <c r="R199" s="8" t="s">
        <v>894</v>
      </c>
      <c r="S199" s="11">
        <f t="shared" ca="1" si="68"/>
        <v>45097.373057407407</v>
      </c>
      <c r="U199" s="8" t="str">
        <f t="shared" si="59"/>
        <v xml:space="preserve">&lt;etma:1:1:49715:0&gt;  rdf:type skos:Concept ;  </v>
      </c>
      <c r="V199" s="8" t="str">
        <f t="shared" si="60"/>
        <v xml:space="preserve"> dcterms:source "https://www.mindat.org/min-49715.html" ; </v>
      </c>
      <c r="W199" s="8" t="str">
        <f t="shared" si="61"/>
        <v xml:space="preserve">skos:definition "An L chondrite or LL chondrite that is of petrological type 6 and has anomalous properties."@en ; </v>
      </c>
      <c r="X199" s="8" t="str">
        <f t="shared" si="66"/>
        <v xml:space="preserve"> skos:inScheme &lt;https://mindat.org/etmat/cscheme&gt; ;  </v>
      </c>
      <c r="Y199" s="8" t="str">
        <f t="shared" si="62"/>
        <v xml:space="preserve">skos:prefLabel "L/LL6-an chondrite meteorite"@en ; rdfs:label "L/LL6-an chondrite meteorite"@en ; </v>
      </c>
      <c r="Z199" s="8" t="str">
        <f t="shared" si="63"/>
        <v xml:space="preserve"> skos:notation  "L/LL6-an"@en ; </v>
      </c>
      <c r="AA199" s="8" t="str">
        <f t="shared" si="69"/>
        <v>dcterms:source "https://www.lpi.usra.edu/meteor/metbullclass.php?sea=L/LL6-an";</v>
      </c>
      <c r="AB199" s="8" t="str">
        <f t="shared" si="70"/>
        <v xml:space="preserve">skos:broader &lt;etma:1:1:49713:2&gt; ; </v>
      </c>
      <c r="AC199" s="8" t="str">
        <f t="shared" ca="1" si="71"/>
        <v>dcterms:modified "2023-06-20T08:57";  .</v>
      </c>
      <c r="AD199" s="10" t="str">
        <f t="shared" ca="1" si="64"/>
        <v>&lt;etma:1:1:49715:0&gt;  rdf:type skos:Concept ;     dcterms:source "https://www.mindat.org/min-49715.html" ;   skos:definition "An L chondrite or LL chondrite that is of petrological type 6 and has anomalous properties."@en ;    skos:inScheme &lt;https://mindat.org/etmat/cscheme&gt; ;    skos:prefLabel "L/LL6-an chondrite meteorite"@en ; rdfs:label "L/LL6-an chondrite meteorite"@en ;    skos:notation  "L/LL6-an"@en ;   dcterms:source "https://www.lpi.usra.edu/meteor/metbullclass.php?sea=L/LL6-an";  skos:broader &lt;etma:1:1:49713:2&gt; ;   dcterms:modified "2023-06-20T08:57";  .</v>
      </c>
      <c r="AE199" s="8" t="s">
        <v>2591</v>
      </c>
    </row>
    <row r="200" spans="1:31" x14ac:dyDescent="0.25">
      <c r="A200" s="8">
        <v>177</v>
      </c>
      <c r="B200" s="8" t="s">
        <v>897</v>
      </c>
      <c r="C200" s="8">
        <v>49716</v>
      </c>
      <c r="D200" s="8" t="s">
        <v>895</v>
      </c>
      <c r="E200" s="8" t="s">
        <v>896</v>
      </c>
      <c r="F200" s="9">
        <v>7</v>
      </c>
      <c r="G200" s="9" t="s">
        <v>14</v>
      </c>
      <c r="H200" s="1" t="s">
        <v>898</v>
      </c>
      <c r="I200" s="8" t="str">
        <f t="shared" si="58"/>
        <v>https://www.mindat.org/min-49716.html</v>
      </c>
      <c r="J200" s="8">
        <v>49710</v>
      </c>
      <c r="K200" s="8" t="s">
        <v>870</v>
      </c>
      <c r="L200" s="9">
        <v>49717</v>
      </c>
      <c r="M200" s="8" t="s">
        <v>900</v>
      </c>
      <c r="N200" s="9">
        <v>0</v>
      </c>
      <c r="O200" s="9" t="s">
        <v>2249</v>
      </c>
      <c r="R200" s="8" t="s">
        <v>899</v>
      </c>
      <c r="S200" s="11">
        <f t="shared" ca="1" si="68"/>
        <v>45097.373057291668</v>
      </c>
      <c r="U200" s="8" t="str">
        <f t="shared" si="59"/>
        <v xml:space="preserve">&lt;etma:1:1:49716:9&gt;  rdf:type skos:Concept ;  </v>
      </c>
      <c r="V200" s="8" t="str">
        <f t="shared" si="60"/>
        <v xml:space="preserve"> dcterms:source "https://www.mindat.org/min-49716.html" ; </v>
      </c>
      <c r="W200" s="8" t="str">
        <f t="shared" si="61"/>
        <v xml:space="preserve">skos:definition "An L chondrite that is either petrological type 6 or 7."@en ; </v>
      </c>
      <c r="X200" s="8" t="str">
        <f t="shared" si="66"/>
        <v xml:space="preserve"> skos:inScheme &lt;https://mindat.org/etmat/cscheme&gt; ;  </v>
      </c>
      <c r="Y200" s="8" t="str">
        <f t="shared" si="62"/>
        <v xml:space="preserve">skos:prefLabel "L6/7 chondrite meteorite"@en ; rdfs:label "L6/7 chondrite meteorite"@en ; </v>
      </c>
      <c r="Z200" s="8" t="str">
        <f t="shared" si="63"/>
        <v xml:space="preserve"> skos:notation  "L6/7"@en ; </v>
      </c>
      <c r="AA200" s="8" t="str">
        <f t="shared" si="69"/>
        <v>dcterms:source "https://www.lpi.usra.edu/meteor/metbullclass.php?sea=L6/7";</v>
      </c>
      <c r="AB200" s="8" t="str">
        <f t="shared" si="70"/>
        <v xml:space="preserve">skos:broader &lt;etma:1:1:49710:5&gt;, &lt;etma:1:1:49717:8&gt; ; </v>
      </c>
      <c r="AC200" s="8" t="str">
        <f t="shared" ca="1" si="71"/>
        <v>dcterms:modified "2023-06-20T08:57";  .</v>
      </c>
      <c r="AD200" s="10" t="str">
        <f t="shared" ca="1" si="64"/>
        <v>&lt;etma:1:1:49716:9&gt;  rdf:type skos:Concept ;     dcterms:source "https://www.mindat.org/min-49716.html" ;   skos:definition "An L chondrite that is either petrological type 6 or 7."@en ;    skos:inScheme &lt;https://mindat.org/etmat/cscheme&gt; ;    skos:prefLabel "L6/7 chondrite meteorite"@en ; rdfs:label "L6/7 chondrite meteorite"@en ;    skos:notation  "L6/7"@en ;   dcterms:source "https://www.lpi.usra.edu/meteor/metbullclass.php?sea=L6/7";  skos:broader &lt;etma:1:1:49710:5&gt;, &lt;etma:1:1:49717:8&gt; ;   dcterms:modified "2023-06-20T08:57";  .</v>
      </c>
      <c r="AE200" s="8" t="s">
        <v>2591</v>
      </c>
    </row>
    <row r="201" spans="1:31" x14ac:dyDescent="0.25">
      <c r="A201" s="8">
        <v>178</v>
      </c>
      <c r="B201" s="8" t="s">
        <v>902</v>
      </c>
      <c r="C201" s="8">
        <v>49717</v>
      </c>
      <c r="D201" s="8" t="s">
        <v>900</v>
      </c>
      <c r="E201" s="8" t="s">
        <v>901</v>
      </c>
      <c r="F201" s="9">
        <v>7</v>
      </c>
      <c r="G201" s="9" t="s">
        <v>14</v>
      </c>
      <c r="H201" s="1" t="s">
        <v>903</v>
      </c>
      <c r="I201" s="8" t="str">
        <f t="shared" si="58"/>
        <v>https://www.mindat.org/min-49717.html</v>
      </c>
      <c r="J201" s="8">
        <v>49648</v>
      </c>
      <c r="K201" s="8" t="s">
        <v>590</v>
      </c>
      <c r="L201" s="9">
        <v>49846</v>
      </c>
      <c r="M201" s="8" t="s">
        <v>2415</v>
      </c>
      <c r="N201" s="9">
        <v>0</v>
      </c>
      <c r="O201" s="9" t="s">
        <v>2249</v>
      </c>
      <c r="R201" s="8" t="s">
        <v>904</v>
      </c>
      <c r="S201" s="11">
        <f t="shared" ca="1" si="68"/>
        <v>45097.373057291668</v>
      </c>
      <c r="U201" s="8" t="str">
        <f t="shared" si="59"/>
        <v xml:space="preserve">&lt;etma:1:1:49717:8&gt;  rdf:type skos:Concept ;  </v>
      </c>
      <c r="V201" s="8" t="str">
        <f t="shared" si="60"/>
        <v xml:space="preserve"> dcterms:source "https://www.mindat.org/min-49717.html" ; </v>
      </c>
      <c r="W201" s="8" t="str">
        <f t="shared" si="61"/>
        <v xml:space="preserve">skos:definition "An L chondrite that is of petrologic type 7. Note that petrologic type 7 is not used consistently or widely accepted in the literature."@en ; </v>
      </c>
      <c r="X201" s="8" t="str">
        <f t="shared" si="66"/>
        <v xml:space="preserve"> skos:inScheme &lt;https://mindat.org/etmat/cscheme&gt; ;  </v>
      </c>
      <c r="Y201" s="8" t="str">
        <f t="shared" si="62"/>
        <v xml:space="preserve">skos:prefLabel "L7 chondrite meteorite"@en ; rdfs:label "L7 chondrite meteorite"@en ; </v>
      </c>
      <c r="Z201" s="8" t="str">
        <f t="shared" si="63"/>
        <v xml:space="preserve"> skos:notation  "L7"@en ; </v>
      </c>
      <c r="AA201" s="8" t="str">
        <f t="shared" si="69"/>
        <v>dcterms:source "https://www.lpi.usra.edu/meteor/metbullclass.php?sea=L7";</v>
      </c>
      <c r="AB201" s="8" t="str">
        <f t="shared" si="70"/>
        <v xml:space="preserve">skos:broader &lt;etma:1:1:49648:9&gt;, &lt;etma:1:1:49846:9&gt; ; </v>
      </c>
      <c r="AC201" s="8" t="str">
        <f t="shared" ca="1" si="71"/>
        <v>dcterms:modified "2023-06-20T08:57";  .</v>
      </c>
      <c r="AD201" s="10" t="str">
        <f t="shared" ca="1" si="64"/>
        <v>&lt;etma:1:1:49717:8&gt;  rdf:type skos:Concept ;     dcterms:source "https://www.mindat.org/min-49717.html" ;   skos:definition "An L chondrite that is of petrologic type 7. Note that petrologic type 7 is not used consistently or widely accepted in the literature."@en ;    skos:inScheme &lt;https://mindat.org/etmat/cscheme&gt; ;    skos:prefLabel "L7 chondrite meteorite"@en ; rdfs:label "L7 chondrite meteorite"@en ;    skos:notation  "L7"@en ;   dcterms:source "https://www.lpi.usra.edu/meteor/metbullclass.php?sea=L7";  skos:broader &lt;etma:1:1:49648:9&gt;, &lt;etma:1:1:49846:9&gt; ;   dcterms:modified "2023-06-20T08:57";  .</v>
      </c>
      <c r="AE201" s="8" t="s">
        <v>2591</v>
      </c>
    </row>
    <row r="202" spans="1:31" x14ac:dyDescent="0.25">
      <c r="A202" s="8">
        <v>179</v>
      </c>
      <c r="B202" s="8" t="s">
        <v>907</v>
      </c>
      <c r="C202" s="8">
        <v>49718</v>
      </c>
      <c r="D202" s="8" t="s">
        <v>905</v>
      </c>
      <c r="E202" s="8" t="s">
        <v>906</v>
      </c>
      <c r="F202" s="9">
        <v>7</v>
      </c>
      <c r="G202" s="9" t="s">
        <v>14</v>
      </c>
      <c r="H202" s="1" t="s">
        <v>908</v>
      </c>
      <c r="I202" s="8" t="str">
        <f t="shared" si="58"/>
        <v>https://www.mindat.org/min-49718.html</v>
      </c>
      <c r="J202" s="8">
        <v>49648</v>
      </c>
      <c r="K202" s="8" t="s">
        <v>590</v>
      </c>
      <c r="N202" s="9">
        <v>0</v>
      </c>
      <c r="O202" s="9" t="s">
        <v>2249</v>
      </c>
      <c r="R202" s="8" t="s">
        <v>909</v>
      </c>
      <c r="S202" s="11">
        <f t="shared" ca="1" si="68"/>
        <v>45097.373057291668</v>
      </c>
      <c r="U202" s="8" t="str">
        <f t="shared" si="59"/>
        <v xml:space="preserve">&lt;etma:1:1:49718:7&gt;  rdf:type skos:Concept ;  </v>
      </c>
      <c r="V202" s="8" t="str">
        <f t="shared" si="60"/>
        <v xml:space="preserve"> dcterms:source "https://www.mindat.org/min-49718.html" ; </v>
      </c>
      <c r="W202" s="8" t="str">
        <f t="shared" si="61"/>
        <v xml:space="preserve">skos:definition "An L chondrite that has experienced impact melting and for which the petrologic type has not been determined."@en ; </v>
      </c>
      <c r="X202" s="8" t="str">
        <f t="shared" si="66"/>
        <v xml:space="preserve"> skos:inScheme &lt;https://mindat.org/etmat/cscheme&gt; ;  </v>
      </c>
      <c r="Y202" s="8" t="str">
        <f t="shared" si="62"/>
        <v xml:space="preserve">skos:prefLabel "L-imp melt chondrite meteorite"@en ; rdfs:label "L-imp melt chondrite meteorite"@en ; </v>
      </c>
      <c r="Z202" s="8" t="str">
        <f t="shared" si="63"/>
        <v xml:space="preserve"> skos:notation  "L-imp melt"@en ; </v>
      </c>
      <c r="AA202" s="8" t="str">
        <f t="shared" si="69"/>
        <v>dcterms:source "https://www.lpi.usra.edu/meteor/metbullclass.php?sea=L-imp%20melt";</v>
      </c>
      <c r="AB202" s="8" t="str">
        <f t="shared" si="70"/>
        <v xml:space="preserve">skos:broader &lt;etma:1:1:49648:9&gt; ; </v>
      </c>
      <c r="AC202" s="8" t="str">
        <f t="shared" ca="1" si="71"/>
        <v>dcterms:modified "2023-06-20T08:57";  .</v>
      </c>
      <c r="AD202" s="10" t="str">
        <f t="shared" ca="1" si="64"/>
        <v>&lt;etma:1:1:49718:7&gt;  rdf:type skos:Concept ;     dcterms:source "https://www.mindat.org/min-49718.html" ;   skos:definition "An L chondrite that has experienced impact melting and for which the petrologic type has not been determined."@en ;    skos:inScheme &lt;https://mindat.org/etmat/cscheme&gt; ;    skos:prefLabel "L-imp melt chondrite meteorite"@en ; rdfs:label "L-imp melt chondrite meteorite"@en ;    skos:notation  "L-imp melt"@en ;   dcterms:source "https://www.lpi.usra.edu/meteor/metbullclass.php?sea=L-imp%20melt";  skos:broader &lt;etma:1:1:49648:9&gt; ;   dcterms:modified "2023-06-20T08:57";  .</v>
      </c>
      <c r="AE202" s="8" t="s">
        <v>2591</v>
      </c>
    </row>
    <row r="203" spans="1:31" x14ac:dyDescent="0.25">
      <c r="A203" s="8">
        <v>180</v>
      </c>
      <c r="B203" s="8" t="s">
        <v>912</v>
      </c>
      <c r="C203" s="8">
        <v>49719</v>
      </c>
      <c r="D203" s="8" t="s">
        <v>910</v>
      </c>
      <c r="E203" s="8" t="s">
        <v>911</v>
      </c>
      <c r="F203" s="9">
        <v>7</v>
      </c>
      <c r="G203" s="9" t="s">
        <v>14</v>
      </c>
      <c r="H203" s="1" t="s">
        <v>913</v>
      </c>
      <c r="I203" s="8" t="str">
        <f t="shared" si="58"/>
        <v>https://www.mindat.org/min-49719.html</v>
      </c>
      <c r="J203" s="8">
        <v>49648</v>
      </c>
      <c r="K203" s="8" t="s">
        <v>590</v>
      </c>
      <c r="N203" s="9">
        <v>0</v>
      </c>
      <c r="O203" s="9" t="s">
        <v>2249</v>
      </c>
      <c r="R203" s="8" t="s">
        <v>914</v>
      </c>
      <c r="S203" s="11">
        <f t="shared" ca="1" si="68"/>
        <v>45097.373057291668</v>
      </c>
      <c r="U203" s="8" t="str">
        <f t="shared" si="59"/>
        <v xml:space="preserve">&lt;etma:1:1:49719:6&gt;  rdf:type skos:Concept ;  </v>
      </c>
      <c r="V203" s="8" t="str">
        <f t="shared" si="60"/>
        <v xml:space="preserve"> dcterms:source "https://www.mindat.org/min-49719.html" ; </v>
      </c>
      <c r="W203" s="8" t="str">
        <f t="shared" si="61"/>
        <v xml:space="preserve">skos:definition "An L chondrite that is a breccia with melted material forming the matrix and for which the petrologic type has not been determined."@en ; </v>
      </c>
      <c r="X203" s="8" t="str">
        <f t="shared" si="66"/>
        <v xml:space="preserve"> skos:inScheme &lt;https://mindat.org/etmat/cscheme&gt; ;  </v>
      </c>
      <c r="Y203" s="8" t="str">
        <f t="shared" si="62"/>
        <v xml:space="preserve">skos:prefLabel "L-melt breccia chondrite meteorite"@en ; rdfs:label "L-melt breccia chondrite meteorite"@en ; </v>
      </c>
      <c r="Z203" s="8" t="str">
        <f t="shared" si="63"/>
        <v xml:space="preserve"> skos:notation  "L-melt breccia"@en ; </v>
      </c>
      <c r="AA203" s="8" t="str">
        <f t="shared" si="69"/>
        <v>dcterms:source "https://www.lpi.usra.edu/meteor/metbullclass.php?sea=L-melt%20breccia";</v>
      </c>
      <c r="AB203" s="8" t="str">
        <f t="shared" si="70"/>
        <v xml:space="preserve">skos:broader &lt;etma:1:1:49648:9&gt; ; </v>
      </c>
      <c r="AC203" s="8" t="str">
        <f t="shared" ca="1" si="71"/>
        <v>dcterms:modified "2023-06-20T08:57";  .</v>
      </c>
      <c r="AD203" s="10" t="str">
        <f t="shared" ca="1" si="64"/>
        <v>&lt;etma:1:1:49719:6&gt;  rdf:type skos:Concept ;     dcterms:source "https://www.mindat.org/min-49719.html" ;   skos:definition "An L chondrite that is a breccia with melted material forming the matrix and for which the petrologic type has not been determined."@en ;    skos:inScheme &lt;https://mindat.org/etmat/cscheme&gt; ;    skos:prefLabel "L-melt breccia chondrite meteorite"@en ; rdfs:label "L-melt breccia chondrite meteorite"@en ;    skos:notation  "L-melt breccia"@en ;   dcterms:source "https://www.lpi.usra.edu/meteor/metbullclass.php?sea=L-melt%20breccia";  skos:broader &lt;etma:1:1:49648:9&gt; ;   dcterms:modified "2023-06-20T08:57";  .</v>
      </c>
      <c r="AE203" s="8" t="s">
        <v>2591</v>
      </c>
    </row>
    <row r="204" spans="1:31" x14ac:dyDescent="0.25">
      <c r="A204" s="8">
        <v>181</v>
      </c>
      <c r="B204" s="8" t="s">
        <v>917</v>
      </c>
      <c r="C204" s="8">
        <v>49720</v>
      </c>
      <c r="D204" s="8" t="s">
        <v>915</v>
      </c>
      <c r="E204" s="8" t="s">
        <v>916</v>
      </c>
      <c r="F204" s="9">
        <v>7</v>
      </c>
      <c r="G204" s="9" t="s">
        <v>14</v>
      </c>
      <c r="H204" s="1" t="s">
        <v>918</v>
      </c>
      <c r="I204" s="8" t="str">
        <f t="shared" si="58"/>
        <v>https://www.mindat.org/min-49720.html</v>
      </c>
      <c r="J204" s="8">
        <v>49648</v>
      </c>
      <c r="K204" s="8" t="s">
        <v>590</v>
      </c>
      <c r="N204" s="9">
        <v>0</v>
      </c>
      <c r="O204" s="9" t="s">
        <v>2249</v>
      </c>
      <c r="R204" s="8" t="s">
        <v>919</v>
      </c>
      <c r="S204" s="11">
        <f t="shared" ca="1" si="68"/>
        <v>45097.373057291668</v>
      </c>
      <c r="U204" s="8" t="str">
        <f t="shared" si="59"/>
        <v xml:space="preserve">&lt;etma:1:1:49720:2&gt;  rdf:type skos:Concept ;  </v>
      </c>
      <c r="V204" s="8" t="str">
        <f t="shared" si="60"/>
        <v xml:space="preserve"> dcterms:source "https://www.mindat.org/min-49720.html" ; </v>
      </c>
      <c r="W204" s="8" t="str">
        <f t="shared" si="61"/>
        <v xml:space="preserve">skos:definition "An L chondrite that has experienced secondary melting."@en ; </v>
      </c>
      <c r="X204" s="8" t="str">
        <f t="shared" si="66"/>
        <v xml:space="preserve"> skos:inScheme &lt;https://mindat.org/etmat/cscheme&gt; ;  </v>
      </c>
      <c r="Y204" s="8" t="str">
        <f t="shared" si="62"/>
        <v xml:space="preserve">skos:prefLabel "L-melt rock chondrite meteorite"@en ; rdfs:label "L-melt rock chondrite meteorite"@en ; </v>
      </c>
      <c r="Z204" s="8" t="str">
        <f t="shared" si="63"/>
        <v xml:space="preserve"> skos:notation  "L-melt rock"@en ; </v>
      </c>
      <c r="AA204" s="8" t="str">
        <f t="shared" si="69"/>
        <v>dcterms:source "https://www.lpi.usra.edu/meteor/metbullclass.php?sea=L-melt%20rock";</v>
      </c>
      <c r="AB204" s="8" t="str">
        <f t="shared" si="70"/>
        <v xml:space="preserve">skos:broader &lt;etma:1:1:49648:9&gt; ; </v>
      </c>
      <c r="AC204" s="8" t="str">
        <f t="shared" ca="1" si="71"/>
        <v>dcterms:modified "2023-06-20T08:57";  .</v>
      </c>
      <c r="AD204" s="10" t="str">
        <f t="shared" ca="1" si="64"/>
        <v>&lt;etma:1:1:49720:2&gt;  rdf:type skos:Concept ;     dcterms:source "https://www.mindat.org/min-49720.html" ;   skos:definition "An L chondrite that has experienced secondary melting."@en ;    skos:inScheme &lt;https://mindat.org/etmat/cscheme&gt; ;    skos:prefLabel "L-melt rock chondrite meteorite"@en ; rdfs:label "L-melt rock chondrite meteorite"@en ;    skos:notation  "L-melt rock"@en ;   dcterms:source "https://www.lpi.usra.edu/meteor/metbullclass.php?sea=L-melt%20rock";  skos:broader &lt;etma:1:1:49648:9&gt; ;   dcterms:modified "2023-06-20T08:57";  .</v>
      </c>
      <c r="AE204" s="8" t="s">
        <v>2591</v>
      </c>
    </row>
    <row r="205" spans="1:31" x14ac:dyDescent="0.25">
      <c r="A205" s="8">
        <v>182</v>
      </c>
      <c r="B205" s="8" t="s">
        <v>922</v>
      </c>
      <c r="C205" s="8">
        <v>49721</v>
      </c>
      <c r="D205" s="8" t="s">
        <v>920</v>
      </c>
      <c r="E205" s="8" t="s">
        <v>921</v>
      </c>
      <c r="F205" s="9">
        <v>7</v>
      </c>
      <c r="G205" s="9" t="s">
        <v>14</v>
      </c>
      <c r="H205" s="1" t="s">
        <v>923</v>
      </c>
      <c r="I205" s="8" t="str">
        <f t="shared" si="58"/>
        <v>https://www.mindat.org/min-49721.html</v>
      </c>
      <c r="J205" s="8">
        <v>49648</v>
      </c>
      <c r="K205" s="8" t="s">
        <v>590</v>
      </c>
      <c r="N205" s="9">
        <v>0</v>
      </c>
      <c r="O205" s="9" t="s">
        <v>2249</v>
      </c>
      <c r="R205" s="8" t="s">
        <v>924</v>
      </c>
      <c r="S205" s="11">
        <f t="shared" ca="1" si="68"/>
        <v>45097.373057407407</v>
      </c>
      <c r="U205" s="8" t="str">
        <f t="shared" si="59"/>
        <v xml:space="preserve">&lt;etma:1:1:49721:1&gt;  rdf:type skos:Concept ;  </v>
      </c>
      <c r="V205" s="8" t="str">
        <f t="shared" si="60"/>
        <v xml:space="preserve"> dcterms:source "https://www.mindat.org/min-49721.html" ; </v>
      </c>
      <c r="W205" s="8" t="str">
        <f t="shared" si="61"/>
        <v xml:space="preserve">skos:definition "A meteorite that is dominantly composed of Fe-Ni metal. It seems likely that the object was derived from an ordinary L chondrite and was not once part of an extended metal-rich body."@en ; </v>
      </c>
      <c r="X205" s="8" t="str">
        <f t="shared" si="66"/>
        <v xml:space="preserve"> skos:inScheme &lt;https://mindat.org/etmat/cscheme&gt; ;  </v>
      </c>
      <c r="Y205" s="8" t="str">
        <f t="shared" si="62"/>
        <v xml:space="preserve">skos:prefLabel "L-metal chondrite meteorite"@en ; rdfs:label "L-metal chondrite meteorite"@en ; </v>
      </c>
      <c r="Z205" s="8" t="str">
        <f t="shared" si="63"/>
        <v xml:space="preserve"> skos:notation  "L-metal"@en ; </v>
      </c>
      <c r="AA205" s="8" t="str">
        <f t="shared" si="69"/>
        <v>dcterms:source "https://www.lpi.usra.edu/meteor/metbullclass.php?sea=L-metal";</v>
      </c>
      <c r="AB205" s="8" t="str">
        <f t="shared" si="70"/>
        <v xml:space="preserve">skos:broader &lt;etma:1:1:49648:9&gt; ; </v>
      </c>
      <c r="AC205" s="8" t="str">
        <f t="shared" ca="1" si="71"/>
        <v>dcterms:modified "2023-06-20T08:57";  .</v>
      </c>
      <c r="AD205" s="10" t="str">
        <f t="shared" ca="1" si="64"/>
        <v>&lt;etma:1:1:49721:1&gt;  rdf:type skos:Concept ;     dcterms:source "https://www.mindat.org/min-49721.html" ;   skos:definition "A meteorite that is dominantly composed of Fe-Ni metal. It seems likely that the object was derived from an ordinary L chondrite and was not once part of an extended metal-rich body."@en ;    skos:inScheme &lt;https://mindat.org/etmat/cscheme&gt; ;    skos:prefLabel "L-metal chondrite meteorite"@en ; rdfs:label "L-metal chondrite meteorite"@en ;    skos:notation  "L-metal"@en ;   dcterms:source "https://www.lpi.usra.edu/meteor/metbullclass.php?sea=L-metal";  skos:broader &lt;etma:1:1:49648:9&gt; ;   dcterms:modified "2023-06-20T08:57";  .</v>
      </c>
      <c r="AE205" s="8" t="s">
        <v>2591</v>
      </c>
    </row>
    <row r="206" spans="1:31" x14ac:dyDescent="0.25">
      <c r="A206" s="8">
        <v>183</v>
      </c>
      <c r="B206" s="8" t="s">
        <v>927</v>
      </c>
      <c r="C206" s="8">
        <v>49722</v>
      </c>
      <c r="D206" s="8" t="s">
        <v>925</v>
      </c>
      <c r="E206" s="8" t="s">
        <v>926</v>
      </c>
      <c r="F206" s="9">
        <v>7</v>
      </c>
      <c r="G206" s="9" t="s">
        <v>14</v>
      </c>
      <c r="H206" s="1" t="s">
        <v>928</v>
      </c>
      <c r="I206" s="8" t="str">
        <f t="shared" si="58"/>
        <v>https://www.mindat.org/min-49722.html</v>
      </c>
      <c r="J206" s="8">
        <v>49648</v>
      </c>
      <c r="K206" s="8" t="s">
        <v>590</v>
      </c>
      <c r="L206" s="9">
        <v>49745</v>
      </c>
      <c r="M206" s="8" t="s">
        <v>1040</v>
      </c>
      <c r="N206" s="9">
        <v>0</v>
      </c>
      <c r="O206" s="9" t="s">
        <v>2249</v>
      </c>
      <c r="R206" s="8" t="s">
        <v>929</v>
      </c>
      <c r="S206" s="11">
        <f t="shared" ca="1" si="68"/>
        <v>45097.373057291668</v>
      </c>
      <c r="U206" s="8" t="str">
        <f t="shared" si="59"/>
        <v xml:space="preserve">&lt;etma:1:1:49722:0&gt;  rdf:type skos:Concept ;  </v>
      </c>
      <c r="V206" s="8" t="str">
        <f t="shared" si="60"/>
        <v xml:space="preserve"> dcterms:source "https://www.mindat.org/min-49722.html" ; </v>
      </c>
      <c r="W206" s="8" t="str">
        <f t="shared" si="61"/>
        <v xml:space="preserve">skos:definition "An L chondrite or LL chondrite that has experienced secondary melting."@en ; </v>
      </c>
      <c r="X206" s="8" t="str">
        <f t="shared" si="66"/>
        <v xml:space="preserve"> skos:inScheme &lt;https://mindat.org/etmat/cscheme&gt; ;  </v>
      </c>
      <c r="Y206" s="8" t="str">
        <f t="shared" si="62"/>
        <v xml:space="preserve">skos:prefLabel "L/LL-melt rock chondrite meteorite"@en ; rdfs:label "L/LL-melt rock chondrite meteorite"@en ; </v>
      </c>
      <c r="Z206" s="8" t="str">
        <f t="shared" si="63"/>
        <v xml:space="preserve"> skos:notation  "L/LL-melt rock"@en ; </v>
      </c>
      <c r="AA206" s="8" t="str">
        <f t="shared" si="69"/>
        <v>dcterms:source "https://www.lpi.usra.edu/meteor/metbullclass.php?sea=L/LL-melt%20rock";</v>
      </c>
      <c r="AB206" s="8" t="str">
        <f t="shared" si="70"/>
        <v xml:space="preserve">skos:broader &lt;etma:1:1:49648:9&gt;, &lt;etma:1:1:49745:1&gt; ; </v>
      </c>
      <c r="AC206" s="8" t="str">
        <f t="shared" ca="1" si="71"/>
        <v>dcterms:modified "2023-06-20T08:57";  .</v>
      </c>
      <c r="AD206" s="10" t="str">
        <f t="shared" ca="1" si="64"/>
        <v>&lt;etma:1:1:49722:0&gt;  rdf:type skos:Concept ;     dcterms:source "https://www.mindat.org/min-49722.html" ;   skos:definition "An L chondrite or LL chondrite that has experienced secondary melting."@en ;    skos:inScheme &lt;https://mindat.org/etmat/cscheme&gt; ;    skos:prefLabel "L/LL-melt rock chondrite meteorite"@en ; rdfs:label "L/LL-melt rock chondrite meteorite"@en ;    skos:notation  "L/LL-melt rock"@en ;   dcterms:source "https://www.lpi.usra.edu/meteor/metbullclass.php?sea=L/LL-melt%20rock";  skos:broader &lt;etma:1:1:49648:9&gt;, &lt;etma:1:1:49745:1&gt; ;   dcterms:modified "2023-06-20T08:57";  .</v>
      </c>
      <c r="AE206" s="8" t="s">
        <v>2591</v>
      </c>
    </row>
    <row r="207" spans="1:31" x14ac:dyDescent="0.25">
      <c r="A207" s="8">
        <v>184</v>
      </c>
      <c r="B207" s="8" t="s">
        <v>932</v>
      </c>
      <c r="C207" s="8">
        <v>49723</v>
      </c>
      <c r="D207" s="8" t="s">
        <v>930</v>
      </c>
      <c r="E207" s="8" t="s">
        <v>931</v>
      </c>
      <c r="F207" s="9">
        <v>2</v>
      </c>
      <c r="G207" s="9" t="s">
        <v>508</v>
      </c>
      <c r="H207" s="1" t="s">
        <v>933</v>
      </c>
      <c r="I207" s="8" t="str">
        <f t="shared" si="58"/>
        <v>https://www.mindat.org/min-49723.html</v>
      </c>
      <c r="J207" s="8">
        <v>49648</v>
      </c>
      <c r="K207" s="8" t="s">
        <v>590</v>
      </c>
      <c r="N207" s="9">
        <v>0</v>
      </c>
      <c r="O207" s="9" t="s">
        <v>2249</v>
      </c>
      <c r="R207" s="8" t="s">
        <v>934</v>
      </c>
      <c r="S207" s="11">
        <f t="shared" ca="1" si="68"/>
        <v>45097.373057407407</v>
      </c>
      <c r="U207" s="8" t="str">
        <f t="shared" si="59"/>
        <v xml:space="preserve">&lt;etma:1:1:49723:9&gt;  rdf:type skos:Concept ;  </v>
      </c>
      <c r="V207" s="8" t="str">
        <f t="shared" si="60"/>
        <v xml:space="preserve"> dcterms:source "https://www.mindat.org/min-49723.html" ; </v>
      </c>
      <c r="W207" s="8" t="str">
        <f t="shared" si="61"/>
        <v xml:space="preserve">skos:definition "An L chondrite or LL chondrite that is a breccia of petrological type 3 to 6 components."@en ; </v>
      </c>
      <c r="X207" s="8" t="str">
        <f t="shared" si="66"/>
        <v xml:space="preserve"> skos:inScheme &lt;https://mindat.org/etmat/cscheme&gt; ;  </v>
      </c>
      <c r="Y207" s="8" t="str">
        <f t="shared" si="62"/>
        <v xml:space="preserve">skos:prefLabel "L/LL3-6 chondrite meteorite"@en ; rdfs:label "L/LL3-6 chondrite meteorite"@en ; </v>
      </c>
      <c r="Z207" s="8" t="str">
        <f t="shared" si="63"/>
        <v xml:space="preserve"> skos:notation  "L/LL3-6"@en ; </v>
      </c>
      <c r="AA207" s="8" t="str">
        <f t="shared" si="69"/>
        <v>dcterms:source "https://www.lpi.usra.edu/meteor/metbullclass.php?sea=L/LL3-6";</v>
      </c>
      <c r="AB207" s="8" t="str">
        <f t="shared" si="70"/>
        <v xml:space="preserve">skos:broader &lt;etma:1:1:49648:9&gt; ; </v>
      </c>
      <c r="AC207" s="8" t="str">
        <f t="shared" ca="1" si="71"/>
        <v>dcterms:modified "2023-06-20T08:57";  .</v>
      </c>
      <c r="AD207" s="10" t="str">
        <f t="shared" ca="1" si="64"/>
        <v>&lt;etma:1:1:49723:9&gt;  rdf:type skos:Concept ;     dcterms:source "https://www.mindat.org/min-49723.html" ;   skos:definition "An L chondrite or LL chondrite that is a breccia of petrological type 3 to 6 components."@en ;    skos:inScheme &lt;https://mindat.org/etmat/cscheme&gt; ;    skos:prefLabel "L/LL3-6 chondrite meteorite"@en ; rdfs:label "L/LL3-6 chondrite meteorite"@en ;    skos:notation  "L/LL3-6"@en ;   dcterms:source "https://www.lpi.usra.edu/meteor/metbullclass.php?sea=L/LL3-6";  skos:broader &lt;etma:1:1:49648:9&gt; ;   dcterms:modified "2023-06-20T08:57";  .</v>
      </c>
      <c r="AE207" s="8" t="s">
        <v>2591</v>
      </c>
    </row>
    <row r="208" spans="1:31" x14ac:dyDescent="0.25">
      <c r="A208" s="8">
        <v>185</v>
      </c>
      <c r="B208" s="8" t="s">
        <v>937</v>
      </c>
      <c r="C208" s="8">
        <v>49724</v>
      </c>
      <c r="D208" s="8" t="s">
        <v>935</v>
      </c>
      <c r="E208" s="8" t="s">
        <v>936</v>
      </c>
      <c r="F208" s="9">
        <v>2</v>
      </c>
      <c r="G208" s="9" t="s">
        <v>508</v>
      </c>
      <c r="H208" s="1" t="s">
        <v>938</v>
      </c>
      <c r="I208" s="8" t="str">
        <f t="shared" si="58"/>
        <v>https://www.mindat.org/min-49724.html</v>
      </c>
      <c r="J208" s="8">
        <v>49648</v>
      </c>
      <c r="K208" s="8" t="s">
        <v>590</v>
      </c>
      <c r="N208" s="9">
        <v>0</v>
      </c>
      <c r="O208" s="9" t="s">
        <v>2249</v>
      </c>
      <c r="R208" s="8" t="s">
        <v>939</v>
      </c>
      <c r="S208" s="11">
        <f t="shared" ca="1" si="68"/>
        <v>45097.373057291668</v>
      </c>
      <c r="U208" s="8" t="str">
        <f t="shared" si="59"/>
        <v xml:space="preserve">&lt;etma:1:1:49724:8&gt;  rdf:type skos:Concept ;  </v>
      </c>
      <c r="V208" s="8" t="str">
        <f t="shared" si="60"/>
        <v xml:space="preserve"> dcterms:source "https://www.mindat.org/min-49724.html" ; </v>
      </c>
      <c r="W208" s="8" t="str">
        <f t="shared" si="61"/>
        <v xml:space="preserve">skos:definition "An L chondrite or LL chondrite that is a breccia of petrological type 3 to 5 components."@en ; </v>
      </c>
      <c r="X208" s="8" t="str">
        <f t="shared" si="66"/>
        <v xml:space="preserve"> skos:inScheme &lt;https://mindat.org/etmat/cscheme&gt; ;  </v>
      </c>
      <c r="Y208" s="8" t="str">
        <f t="shared" si="62"/>
        <v xml:space="preserve">skos:prefLabel "L/LL3-5 chondrite meteorite"@en ; rdfs:label "L/LL3-5 chondrite meteorite"@en ; </v>
      </c>
      <c r="Z208" s="8" t="str">
        <f t="shared" si="63"/>
        <v xml:space="preserve"> skos:notation  "L/LL3-5"@en ; </v>
      </c>
      <c r="AA208" s="8" t="str">
        <f t="shared" si="69"/>
        <v>dcterms:source "https://www.lpi.usra.edu/meteor/metbullclass.php?sea=L/LL3-5";</v>
      </c>
      <c r="AB208" s="8" t="str">
        <f t="shared" si="70"/>
        <v xml:space="preserve">skos:broader &lt;etma:1:1:49648:9&gt; ; </v>
      </c>
      <c r="AC208" s="8" t="str">
        <f t="shared" ca="1" si="71"/>
        <v>dcterms:modified "2023-06-20T08:57";  .</v>
      </c>
      <c r="AD208" s="10" t="str">
        <f t="shared" ca="1" si="64"/>
        <v>&lt;etma:1:1:49724:8&gt;  rdf:type skos:Concept ;     dcterms:source "https://www.mindat.org/min-49724.html" ;   skos:definition "An L chondrite or LL chondrite that is a breccia of petrological type 3 to 5 components."@en ;    skos:inScheme &lt;https://mindat.org/etmat/cscheme&gt; ;    skos:prefLabel "L/LL3-5 chondrite meteorite"@en ; rdfs:label "L/LL3-5 chondrite meteorite"@en ;    skos:notation  "L/LL3-5"@en ;   dcterms:source "https://www.lpi.usra.edu/meteor/metbullclass.php?sea=L/LL3-5";  skos:broader &lt;etma:1:1:49648:9&gt; ;   dcterms:modified "2023-06-20T08:57";  .</v>
      </c>
      <c r="AE208" s="8" t="s">
        <v>2591</v>
      </c>
    </row>
    <row r="209" spans="1:31" x14ac:dyDescent="0.25">
      <c r="A209" s="8">
        <v>186</v>
      </c>
      <c r="B209" s="8" t="s">
        <v>942</v>
      </c>
      <c r="C209" s="8">
        <v>49725</v>
      </c>
      <c r="D209" s="8" t="s">
        <v>940</v>
      </c>
      <c r="E209" s="8" t="s">
        <v>941</v>
      </c>
      <c r="F209" s="9">
        <v>2</v>
      </c>
      <c r="G209" s="9" t="s">
        <v>508</v>
      </c>
      <c r="H209" s="1" t="s">
        <v>943</v>
      </c>
      <c r="I209" s="8" t="str">
        <f t="shared" si="58"/>
        <v>https://www.mindat.org/min-49725.html</v>
      </c>
      <c r="J209" s="8">
        <v>49648</v>
      </c>
      <c r="K209" s="8" t="s">
        <v>590</v>
      </c>
      <c r="N209" s="9">
        <v>0</v>
      </c>
      <c r="O209" s="9" t="s">
        <v>2249</v>
      </c>
      <c r="R209" s="8" t="s">
        <v>944</v>
      </c>
      <c r="S209" s="11">
        <f t="shared" ca="1" si="68"/>
        <v>45097.373057291668</v>
      </c>
      <c r="U209" s="8" t="str">
        <f t="shared" si="59"/>
        <v xml:space="preserve">&lt;etma:1:1:49725:7&gt;  rdf:type skos:Concept ;  </v>
      </c>
      <c r="V209" s="8" t="str">
        <f t="shared" si="60"/>
        <v xml:space="preserve"> dcterms:source "https://www.mindat.org/min-49725.html" ; </v>
      </c>
      <c r="W209" s="8" t="str">
        <f t="shared" si="61"/>
        <v xml:space="preserve">skos:definition "An ordinary chondrite, probably an L chondrite or LL chondrite that is of petrological type 3."@en ; </v>
      </c>
      <c r="X209" s="8" t="str">
        <f t="shared" si="66"/>
        <v xml:space="preserve"> skos:inScheme &lt;https://mindat.org/etmat/cscheme&gt; ;  </v>
      </c>
      <c r="Y209" s="8" t="str">
        <f t="shared" si="62"/>
        <v xml:space="preserve">skos:prefLabel "L/LL(?)3 chondrite meteorite"@en ; rdfs:label "L/LL(?)3 chondrite meteorite"@en ; </v>
      </c>
      <c r="Z209" s="8" t="str">
        <f t="shared" si="63"/>
        <v xml:space="preserve"> skos:notation  "L/LL(?)3"@en ; </v>
      </c>
      <c r="AA209" s="8" t="str">
        <f t="shared" si="69"/>
        <v>dcterms:source "https://www.lpi.usra.edu/meteor/metbullclass.php?sea=L/LL(?)3";</v>
      </c>
      <c r="AB209" s="8" t="str">
        <f t="shared" si="70"/>
        <v xml:space="preserve">skos:broader &lt;etma:1:1:49648:9&gt; ; </v>
      </c>
      <c r="AC209" s="8" t="str">
        <f t="shared" ca="1" si="71"/>
        <v>dcterms:modified "2023-06-20T08:57";  .</v>
      </c>
      <c r="AD209" s="10" t="str">
        <f t="shared" ca="1" si="64"/>
        <v>&lt;etma:1:1:49725:7&gt;  rdf:type skos:Concept ;     dcterms:source "https://www.mindat.org/min-49725.html" ;   skos:definition "An ordinary chondrite, probably an L chondrite or LL chondrite that is of petrological type 3."@en ;    skos:inScheme &lt;https://mindat.org/etmat/cscheme&gt; ;    skos:prefLabel "L/LL(?)3 chondrite meteorite"@en ; rdfs:label "L/LL(?)3 chondrite meteorite"@en ;    skos:notation  "L/LL(?)3"@en ;   dcterms:source "https://www.lpi.usra.edu/meteor/metbullclass.php?sea=L/LL(?)3";  skos:broader &lt;etma:1:1:49648:9&gt; ;   dcterms:modified "2023-06-20T08:57";  .</v>
      </c>
      <c r="AE209" s="8" t="s">
        <v>2591</v>
      </c>
    </row>
    <row r="210" spans="1:31" x14ac:dyDescent="0.25">
      <c r="A210" s="8">
        <v>187</v>
      </c>
      <c r="B210" s="8" t="s">
        <v>947</v>
      </c>
      <c r="C210" s="8">
        <v>49726</v>
      </c>
      <c r="D210" s="8" t="s">
        <v>945</v>
      </c>
      <c r="E210" s="8" t="s">
        <v>946</v>
      </c>
      <c r="F210" s="9">
        <v>2</v>
      </c>
      <c r="G210" s="9" t="s">
        <v>508</v>
      </c>
      <c r="H210" s="1" t="s">
        <v>948</v>
      </c>
      <c r="I210" s="8" t="str">
        <f t="shared" si="58"/>
        <v>https://www.mindat.org/min-49726.html</v>
      </c>
      <c r="J210" s="8">
        <v>49648</v>
      </c>
      <c r="K210" s="8" t="s">
        <v>590</v>
      </c>
      <c r="N210" s="9">
        <v>0</v>
      </c>
      <c r="O210" s="9" t="s">
        <v>2249</v>
      </c>
      <c r="R210" s="8" t="s">
        <v>949</v>
      </c>
      <c r="S210" s="11">
        <f t="shared" ca="1" si="68"/>
        <v>45097.373057291668</v>
      </c>
      <c r="U210" s="8" t="str">
        <f t="shared" si="59"/>
        <v xml:space="preserve">&lt;etma:1:1:49726:6&gt;  rdf:type skos:Concept ;  </v>
      </c>
      <c r="V210" s="8" t="str">
        <f t="shared" si="60"/>
        <v xml:space="preserve"> dcterms:source "https://www.mindat.org/min-49726.html" ; </v>
      </c>
      <c r="W210" s="8" t="str">
        <f t="shared" si="61"/>
        <v xml:space="preserve">skos:definition "An ordinary chondrite, probably an L chondrite that is of petrological type 3."@en ; </v>
      </c>
      <c r="X210" s="8" t="str">
        <f t="shared" si="66"/>
        <v xml:space="preserve"> skos:inScheme &lt;https://mindat.org/etmat/cscheme&gt; ;  </v>
      </c>
      <c r="Y210" s="8" t="str">
        <f t="shared" si="62"/>
        <v xml:space="preserve">skos:prefLabel "L(?)3 chondrite meteorite"@en ; rdfs:label "L(?)3 chondrite meteorite"@en ; </v>
      </c>
      <c r="Z210" s="8" t="str">
        <f t="shared" si="63"/>
        <v xml:space="preserve"> skos:notation  "L(?)3"@en ; </v>
      </c>
      <c r="AA210" s="8" t="str">
        <f t="shared" si="69"/>
        <v>dcterms:source "https://www.lpi.usra.edu/meteor/metbullclass.php?sea=L(?)3";</v>
      </c>
      <c r="AB210" s="8" t="str">
        <f t="shared" si="70"/>
        <v xml:space="preserve">skos:broader &lt;etma:1:1:49648:9&gt; ; </v>
      </c>
      <c r="AC210" s="8" t="str">
        <f t="shared" ca="1" si="71"/>
        <v>dcterms:modified "2023-06-20T08:57";  .</v>
      </c>
      <c r="AD210" s="10" t="str">
        <f t="shared" ca="1" si="64"/>
        <v>&lt;etma:1:1:49726:6&gt;  rdf:type skos:Concept ;     dcterms:source "https://www.mindat.org/min-49726.html" ;   skos:definition "An ordinary chondrite, probably an L chondrite that is of petrological type 3."@en ;    skos:inScheme &lt;https://mindat.org/etmat/cscheme&gt; ;    skos:prefLabel "L(?)3 chondrite meteorite"@en ; rdfs:label "L(?)3 chondrite meteorite"@en ;    skos:notation  "L(?)3"@en ;   dcterms:source "https://www.lpi.usra.edu/meteor/metbullclass.php?sea=L(?)3";  skos:broader &lt;etma:1:1:49648:9&gt; ;   dcterms:modified "2023-06-20T08:57";  .</v>
      </c>
      <c r="AE210" s="8" t="s">
        <v>2591</v>
      </c>
    </row>
    <row r="211" spans="1:31" x14ac:dyDescent="0.25">
      <c r="A211" s="8">
        <v>188</v>
      </c>
      <c r="B211" s="8" t="s">
        <v>952</v>
      </c>
      <c r="C211" s="8">
        <v>49727</v>
      </c>
      <c r="D211" s="8" t="s">
        <v>950</v>
      </c>
      <c r="E211" s="8" t="s">
        <v>951</v>
      </c>
      <c r="F211" s="9">
        <v>2</v>
      </c>
      <c r="G211" s="9" t="s">
        <v>508</v>
      </c>
      <c r="H211" s="1" t="s">
        <v>953</v>
      </c>
      <c r="I211" s="8" t="str">
        <f t="shared" ref="I211:I274" si="72">"https://www.mindat.org/min-"&amp; C211 &amp; ".html"</f>
        <v>https://www.mindat.org/min-49727.html</v>
      </c>
      <c r="J211" s="8">
        <v>49648</v>
      </c>
      <c r="K211" s="8" t="s">
        <v>590</v>
      </c>
      <c r="N211" s="9">
        <v>0</v>
      </c>
      <c r="O211" s="9" t="s">
        <v>2249</v>
      </c>
      <c r="R211" s="8" t="s">
        <v>954</v>
      </c>
      <c r="S211" s="11">
        <f t="shared" ca="1" si="68"/>
        <v>45097.373057291668</v>
      </c>
      <c r="U211" s="8" t="str">
        <f t="shared" ref="U211:U274" si="73">"&lt;etma:"&amp;D211&amp; "&gt;  rdf:type skos:Concept ;  "</f>
        <v xml:space="preserve">&lt;etma:1:1:49727:5&gt;  rdf:type skos:Concept ;  </v>
      </c>
      <c r="V211" s="8" t="str">
        <f t="shared" ref="V211:V274" si="74" xml:space="preserve"> " dcterms:source """ &amp; I211 &amp; """ ; "</f>
        <v xml:space="preserve"> dcterms:source "https://www.mindat.org/min-49727.html" ; </v>
      </c>
      <c r="W211" s="8" t="str">
        <f t="shared" ref="W211:W274" si="75">"skos:definition """ &amp; H211 &amp; """@en ; "</f>
        <v xml:space="preserve">skos:definition "An L chondrite (or less likely, an LL chondrite) that is approximately of petrologic type 4."@en ; </v>
      </c>
      <c r="X211" s="8" t="str">
        <f t="shared" si="66"/>
        <v xml:space="preserve"> skos:inScheme &lt;https://mindat.org/etmat/cscheme&gt; ;  </v>
      </c>
      <c r="Y211" s="8" t="str">
        <f t="shared" ref="Y211:Y274" si="76">"skos:prefLabel """ &amp; B211 &amp; """@en ; rdfs:label """ &amp; B211 &amp; """@en ; "</f>
        <v xml:space="preserve">skos:prefLabel "L(LL)~4 chondrite meteorite"@en ; rdfs:label "L(LL)~4 chondrite meteorite"@en ; </v>
      </c>
      <c r="Z211" s="8" t="str">
        <f t="shared" ref="Z211:Z274" si="77">IF(ISBLANK(Q211),"", "skos:altLabel """&amp;Q211&amp;"""@en ; ") &amp; IF(ISBLANK(P211),"", "skos:exactMatch  &lt;etma:"&amp;P211&amp;"&gt; ; ") &amp;  IF(ISBLANK(R211),"", " skos:notation  """&amp; R211 &amp;"""@en ; ")</f>
        <v xml:space="preserve"> skos:notation  "L(LL)~4"@en ; </v>
      </c>
      <c r="AA211" s="8" t="str">
        <f t="shared" si="69"/>
        <v>dcterms:source "https://www.lpi.usra.edu/meteor/metbullclass.php?sea=L(LL)~4";</v>
      </c>
      <c r="AB211" s="8" t="str">
        <f t="shared" si="70"/>
        <v xml:space="preserve">skos:broader &lt;etma:1:1:49648:9&gt; ; </v>
      </c>
      <c r="AC211" s="8" t="str">
        <f t="shared" ca="1" si="71"/>
        <v>dcterms:modified "2023-06-20T08:57";  .</v>
      </c>
      <c r="AD211" s="10" t="str">
        <f t="shared" ref="AD211:AD274" ca="1" si="78">_xlfn.TEXTJOIN("  ", TRUE, U211:AC211)</f>
        <v>&lt;etma:1:1:49727:5&gt;  rdf:type skos:Concept ;     dcterms:source "https://www.mindat.org/min-49727.html" ;   skos:definition "An L chondrite (or less likely, an LL chondrite) that is approximately of petrologic type 4."@en ;    skos:inScheme &lt;https://mindat.org/etmat/cscheme&gt; ;    skos:prefLabel "L(LL)~4 chondrite meteorite"@en ; rdfs:label "L(LL)~4 chondrite meteorite"@en ;    skos:notation  "L(LL)~4"@en ;   dcterms:source "https://www.lpi.usra.edu/meteor/metbullclass.php?sea=L(LL)~4";  skos:broader &lt;etma:1:1:49648:9&gt; ;   dcterms:modified "2023-06-20T08:57";  .</v>
      </c>
      <c r="AE211" s="8" t="s">
        <v>2591</v>
      </c>
    </row>
    <row r="212" spans="1:31" x14ac:dyDescent="0.25">
      <c r="A212" s="8">
        <v>189</v>
      </c>
      <c r="B212" s="8" t="s">
        <v>957</v>
      </c>
      <c r="C212" s="8">
        <v>49728</v>
      </c>
      <c r="D212" s="8" t="s">
        <v>955</v>
      </c>
      <c r="E212" s="8" t="s">
        <v>956</v>
      </c>
      <c r="F212" s="9">
        <v>2</v>
      </c>
      <c r="G212" s="9" t="s">
        <v>508</v>
      </c>
      <c r="H212" s="1" t="s">
        <v>958</v>
      </c>
      <c r="I212" s="8" t="str">
        <f t="shared" si="72"/>
        <v>https://www.mindat.org/min-49728.html</v>
      </c>
      <c r="J212" s="8">
        <v>49648</v>
      </c>
      <c r="K212" s="8" t="s">
        <v>590</v>
      </c>
      <c r="N212" s="9">
        <v>0</v>
      </c>
      <c r="O212" s="9" t="s">
        <v>2249</v>
      </c>
      <c r="R212" s="8" t="s">
        <v>959</v>
      </c>
      <c r="S212" s="11">
        <f t="shared" ca="1" si="68"/>
        <v>45097.373057291668</v>
      </c>
      <c r="U212" s="8" t="str">
        <f t="shared" si="73"/>
        <v xml:space="preserve">&lt;etma:1:1:49728:4&gt;  rdf:type skos:Concept ;  </v>
      </c>
      <c r="V212" s="8" t="str">
        <f t="shared" si="74"/>
        <v xml:space="preserve"> dcterms:source "https://www.mindat.org/min-49728.html" ; </v>
      </c>
      <c r="W212" s="8" t="str">
        <f t="shared" si="75"/>
        <v xml:space="preserve">skos:definition "An L chondrite or LL chondrite that is approximately of petrologic type 4."@en ; </v>
      </c>
      <c r="X212" s="8" t="str">
        <f t="shared" si="66"/>
        <v xml:space="preserve"> skos:inScheme &lt;https://mindat.org/etmat/cscheme&gt; ;  </v>
      </c>
      <c r="Y212" s="8" t="str">
        <f t="shared" si="76"/>
        <v xml:space="preserve">skos:prefLabel "L/LL~4 chondrite meteorite"@en ; rdfs:label "L/LL~4 chondrite meteorite"@en ; </v>
      </c>
      <c r="Z212" s="8" t="str">
        <f t="shared" si="77"/>
        <v xml:space="preserve"> skos:notation  "L/LL~4"@en ; </v>
      </c>
      <c r="AA212" s="8" t="str">
        <f t="shared" si="69"/>
        <v>dcterms:source "https://www.lpi.usra.edu/meteor/metbullclass.php?sea=L/LL~4";</v>
      </c>
      <c r="AB212" s="8" t="str">
        <f t="shared" si="70"/>
        <v xml:space="preserve">skos:broader &lt;etma:1:1:49648:9&gt; ; </v>
      </c>
      <c r="AC212" s="8" t="str">
        <f t="shared" ca="1" si="71"/>
        <v>dcterms:modified "2023-06-20T08:57";  .</v>
      </c>
      <c r="AD212" s="10" t="str">
        <f t="shared" ca="1" si="78"/>
        <v>&lt;etma:1:1:49728:4&gt;  rdf:type skos:Concept ;     dcterms:source "https://www.mindat.org/min-49728.html" ;   skos:definition "An L chondrite or LL chondrite that is approximately of petrologic type 4."@en ;    skos:inScheme &lt;https://mindat.org/etmat/cscheme&gt; ;    skos:prefLabel "L/LL~4 chondrite meteorite"@en ; rdfs:label "L/LL~4 chondrite meteorite"@en ;    skos:notation  "L/LL~4"@en ;   dcterms:source "https://www.lpi.usra.edu/meteor/metbullclass.php?sea=L/LL~4";  skos:broader &lt;etma:1:1:49648:9&gt; ;   dcterms:modified "2023-06-20T08:57";  .</v>
      </c>
      <c r="AE212" s="8" t="s">
        <v>2591</v>
      </c>
    </row>
    <row r="213" spans="1:31" x14ac:dyDescent="0.25">
      <c r="A213" s="8">
        <v>190</v>
      </c>
      <c r="B213" s="8" t="s">
        <v>962</v>
      </c>
      <c r="C213" s="8">
        <v>49729</v>
      </c>
      <c r="D213" s="8" t="s">
        <v>960</v>
      </c>
      <c r="E213" s="8" t="s">
        <v>961</v>
      </c>
      <c r="F213" s="9">
        <v>2</v>
      </c>
      <c r="G213" s="9" t="s">
        <v>508</v>
      </c>
      <c r="H213" s="1" t="s">
        <v>963</v>
      </c>
      <c r="I213" s="8" t="str">
        <f t="shared" si="72"/>
        <v>https://www.mindat.org/min-49729.html</v>
      </c>
      <c r="J213" s="8">
        <v>49648</v>
      </c>
      <c r="K213" s="8" t="s">
        <v>590</v>
      </c>
      <c r="N213" s="9">
        <v>0</v>
      </c>
      <c r="O213" s="9" t="s">
        <v>2249</v>
      </c>
      <c r="R213" s="8" t="s">
        <v>964</v>
      </c>
      <c r="S213" s="11">
        <f t="shared" ca="1" si="68"/>
        <v>45097.373057407407</v>
      </c>
      <c r="U213" s="8" t="str">
        <f t="shared" si="73"/>
        <v xml:space="preserve">&lt;etma:1:1:49729:3&gt;  rdf:type skos:Concept ;  </v>
      </c>
      <c r="V213" s="8" t="str">
        <f t="shared" si="74"/>
        <v xml:space="preserve"> dcterms:source "https://www.mindat.org/min-49729.html" ; </v>
      </c>
      <c r="W213" s="8" t="str">
        <f t="shared" si="75"/>
        <v xml:space="preserve">skos:definition "An L chondrite or LL chondrite that is approximately of petrologic type 5."@en ; </v>
      </c>
      <c r="X213" s="8" t="str">
        <f t="shared" si="66"/>
        <v xml:space="preserve"> skos:inScheme &lt;https://mindat.org/etmat/cscheme&gt; ;  </v>
      </c>
      <c r="Y213" s="8" t="str">
        <f t="shared" si="76"/>
        <v xml:space="preserve">skos:prefLabel "L/LL~5 chondrite meteorite"@en ; rdfs:label "L/LL~5 chondrite meteorite"@en ; </v>
      </c>
      <c r="Z213" s="8" t="str">
        <f t="shared" si="77"/>
        <v xml:space="preserve"> skos:notation  "L/LL~5"@en ; </v>
      </c>
      <c r="AA213" s="8" t="str">
        <f t="shared" si="69"/>
        <v>dcterms:source "https://www.lpi.usra.edu/meteor/metbullclass.php?sea=L/LL~5";</v>
      </c>
      <c r="AB213" s="8" t="str">
        <f t="shared" si="70"/>
        <v xml:space="preserve">skos:broader &lt;etma:1:1:49648:9&gt; ; </v>
      </c>
      <c r="AC213" s="8" t="str">
        <f t="shared" ca="1" si="71"/>
        <v>dcterms:modified "2023-06-20T08:57";  .</v>
      </c>
      <c r="AD213" s="10" t="str">
        <f t="shared" ca="1" si="78"/>
        <v>&lt;etma:1:1:49729:3&gt;  rdf:type skos:Concept ;     dcterms:source "https://www.mindat.org/min-49729.html" ;   skos:definition "An L chondrite or LL chondrite that is approximately of petrologic type 5."@en ;    skos:inScheme &lt;https://mindat.org/etmat/cscheme&gt; ;    skos:prefLabel "L/LL~5 chondrite meteorite"@en ; rdfs:label "L/LL~5 chondrite meteorite"@en ;    skos:notation  "L/LL~5"@en ;   dcterms:source "https://www.lpi.usra.edu/meteor/metbullclass.php?sea=L/LL~5";  skos:broader &lt;etma:1:1:49648:9&gt; ;   dcterms:modified "2023-06-20T08:57";  .</v>
      </c>
      <c r="AE213" s="8" t="s">
        <v>2591</v>
      </c>
    </row>
    <row r="214" spans="1:31" x14ac:dyDescent="0.25">
      <c r="A214" s="8">
        <v>191</v>
      </c>
      <c r="B214" s="8" t="s">
        <v>967</v>
      </c>
      <c r="C214" s="8">
        <v>49730</v>
      </c>
      <c r="D214" s="8" t="s">
        <v>965</v>
      </c>
      <c r="E214" s="8" t="s">
        <v>966</v>
      </c>
      <c r="F214" s="9">
        <v>2</v>
      </c>
      <c r="G214" s="9" t="s">
        <v>508</v>
      </c>
      <c r="H214" s="1" t="s">
        <v>968</v>
      </c>
      <c r="I214" s="8" t="str">
        <f t="shared" si="72"/>
        <v>https://www.mindat.org/min-49730.html</v>
      </c>
      <c r="J214" s="8">
        <v>49648</v>
      </c>
      <c r="K214" s="8" t="s">
        <v>590</v>
      </c>
      <c r="N214" s="9">
        <v>0</v>
      </c>
      <c r="O214" s="9" t="s">
        <v>2249</v>
      </c>
      <c r="R214" s="8" t="s">
        <v>969</v>
      </c>
      <c r="S214" s="11">
        <f t="shared" ca="1" si="68"/>
        <v>45097.373057291668</v>
      </c>
      <c r="U214" s="8" t="str">
        <f t="shared" si="73"/>
        <v xml:space="preserve">&lt;etma:1:1:49730:9&gt;  rdf:type skos:Concept ;  </v>
      </c>
      <c r="V214" s="8" t="str">
        <f t="shared" si="74"/>
        <v xml:space="preserve"> dcterms:source "https://www.mindat.org/min-49730.html" ; </v>
      </c>
      <c r="W214" s="8" t="str">
        <f t="shared" si="75"/>
        <v xml:space="preserve">skos:definition "An L chondrite or LL chondrite that is approximately of petrologic type 6."@en ; </v>
      </c>
      <c r="X214" s="8" t="str">
        <f t="shared" si="66"/>
        <v xml:space="preserve"> skos:inScheme &lt;https://mindat.org/etmat/cscheme&gt; ;  </v>
      </c>
      <c r="Y214" s="8" t="str">
        <f t="shared" si="76"/>
        <v xml:space="preserve">skos:prefLabel "L/LL~6 chondrite meteorite"@en ; rdfs:label "L/LL~6 chondrite meteorite"@en ; </v>
      </c>
      <c r="Z214" s="8" t="str">
        <f t="shared" si="77"/>
        <v xml:space="preserve"> skos:notation  "L/LL~6"@en ; </v>
      </c>
      <c r="AA214" s="8" t="str">
        <f t="shared" si="69"/>
        <v>dcterms:source "https://www.lpi.usra.edu/meteor/metbullclass.php?sea=L/LL~6";</v>
      </c>
      <c r="AB214" s="8" t="str">
        <f t="shared" si="70"/>
        <v xml:space="preserve">skos:broader &lt;etma:1:1:49648:9&gt; ; </v>
      </c>
      <c r="AC214" s="8" t="str">
        <f t="shared" ca="1" si="71"/>
        <v>dcterms:modified "2023-06-20T08:57";  .</v>
      </c>
      <c r="AD214" s="10" t="str">
        <f t="shared" ca="1" si="78"/>
        <v>&lt;etma:1:1:49730:9&gt;  rdf:type skos:Concept ;     dcterms:source "https://www.mindat.org/min-49730.html" ;   skos:definition "An L chondrite or LL chondrite that is approximately of petrologic type 6."@en ;    skos:inScheme &lt;https://mindat.org/etmat/cscheme&gt; ;    skos:prefLabel "L/LL~6 chondrite meteorite"@en ; rdfs:label "L/LL~6 chondrite meteorite"@en ;    skos:notation  "L/LL~6"@en ;   dcterms:source "https://www.lpi.usra.edu/meteor/metbullclass.php?sea=L/LL~6";  skos:broader &lt;etma:1:1:49648:9&gt; ;   dcterms:modified "2023-06-20T08:57";  .</v>
      </c>
      <c r="AE214" s="8" t="s">
        <v>2591</v>
      </c>
    </row>
    <row r="215" spans="1:31" x14ac:dyDescent="0.25">
      <c r="A215" s="8">
        <v>192</v>
      </c>
      <c r="B215" s="8" t="s">
        <v>972</v>
      </c>
      <c r="C215" s="8">
        <v>49731</v>
      </c>
      <c r="D215" s="8" t="s">
        <v>970</v>
      </c>
      <c r="E215" s="8" t="s">
        <v>971</v>
      </c>
      <c r="F215" s="9">
        <v>2</v>
      </c>
      <c r="G215" s="9" t="s">
        <v>508</v>
      </c>
      <c r="H215" s="1" t="s">
        <v>973</v>
      </c>
      <c r="I215" s="8" t="str">
        <f t="shared" si="72"/>
        <v>https://www.mindat.org/min-49731.html</v>
      </c>
      <c r="J215" s="8">
        <v>49648</v>
      </c>
      <c r="K215" s="8" t="s">
        <v>590</v>
      </c>
      <c r="N215" s="9">
        <v>0</v>
      </c>
      <c r="O215" s="9" t="s">
        <v>2249</v>
      </c>
      <c r="R215" s="8" t="s">
        <v>974</v>
      </c>
      <c r="S215" s="11">
        <f t="shared" ca="1" si="68"/>
        <v>45097.373057407407</v>
      </c>
      <c r="U215" s="8" t="str">
        <f t="shared" si="73"/>
        <v xml:space="preserve">&lt;etma:1:1:49731:8&gt;  rdf:type skos:Concept ;  </v>
      </c>
      <c r="V215" s="8" t="str">
        <f t="shared" si="74"/>
        <v xml:space="preserve"> dcterms:source "https://www.mindat.org/min-49731.html" ; </v>
      </c>
      <c r="W215" s="8" t="str">
        <f t="shared" si="75"/>
        <v xml:space="preserve">skos:definition "An L chondrite that is a breccia of petrological types 3 to 5."@en ; </v>
      </c>
      <c r="X215" s="8" t="str">
        <f t="shared" si="66"/>
        <v xml:space="preserve"> skos:inScheme &lt;https://mindat.org/etmat/cscheme&gt; ;  </v>
      </c>
      <c r="Y215" s="8" t="str">
        <f t="shared" si="76"/>
        <v xml:space="preserve">skos:prefLabel "L3-5 chondrite meteorite"@en ; rdfs:label "L3-5 chondrite meteorite"@en ; </v>
      </c>
      <c r="Z215" s="8" t="str">
        <f t="shared" si="77"/>
        <v xml:space="preserve"> skos:notation  "L3-5"@en ; </v>
      </c>
      <c r="AA215" s="8" t="str">
        <f t="shared" si="69"/>
        <v>dcterms:source "https://www.lpi.usra.edu/meteor/metbullclass.php?sea=L3-5";</v>
      </c>
      <c r="AB215" s="8" t="str">
        <f t="shared" si="70"/>
        <v xml:space="preserve">skos:broader &lt;etma:1:1:49648:9&gt; ; </v>
      </c>
      <c r="AC215" s="8" t="str">
        <f t="shared" ca="1" si="71"/>
        <v>dcterms:modified "2023-06-20T08:57";  .</v>
      </c>
      <c r="AD215" s="10" t="str">
        <f t="shared" ca="1" si="78"/>
        <v>&lt;etma:1:1:49731:8&gt;  rdf:type skos:Concept ;     dcterms:source "https://www.mindat.org/min-49731.html" ;   skos:definition "An L chondrite that is a breccia of petrological types 3 to 5."@en ;    skos:inScheme &lt;https://mindat.org/etmat/cscheme&gt; ;    skos:prefLabel "L3-5 chondrite meteorite"@en ; rdfs:label "L3-5 chondrite meteorite"@en ;    skos:notation  "L3-5"@en ;   dcterms:source "https://www.lpi.usra.edu/meteor/metbullclass.php?sea=L3-5";  skos:broader &lt;etma:1:1:49648:9&gt; ;   dcterms:modified "2023-06-20T08:57";  .</v>
      </c>
      <c r="AE215" s="8" t="s">
        <v>2591</v>
      </c>
    </row>
    <row r="216" spans="1:31" x14ac:dyDescent="0.25">
      <c r="A216" s="8">
        <v>193</v>
      </c>
      <c r="B216" s="8" t="s">
        <v>977</v>
      </c>
      <c r="C216" s="8">
        <v>49732</v>
      </c>
      <c r="D216" s="8" t="s">
        <v>975</v>
      </c>
      <c r="E216" s="8" t="s">
        <v>976</v>
      </c>
      <c r="F216" s="9">
        <v>2</v>
      </c>
      <c r="G216" s="9" t="s">
        <v>508</v>
      </c>
      <c r="H216" s="1" t="s">
        <v>978</v>
      </c>
      <c r="I216" s="8" t="str">
        <f t="shared" si="72"/>
        <v>https://www.mindat.org/min-49732.html</v>
      </c>
      <c r="J216" s="8">
        <v>49648</v>
      </c>
      <c r="K216" s="8" t="s">
        <v>590</v>
      </c>
      <c r="N216" s="9">
        <v>0</v>
      </c>
      <c r="O216" s="9" t="s">
        <v>2249</v>
      </c>
      <c r="R216" s="8" t="s">
        <v>979</v>
      </c>
      <c r="S216" s="11">
        <f t="shared" ca="1" si="68"/>
        <v>45097.373057291668</v>
      </c>
      <c r="U216" s="8" t="str">
        <f t="shared" si="73"/>
        <v xml:space="preserve">&lt;etma:1:1:49732:7&gt;  rdf:type skos:Concept ;  </v>
      </c>
      <c r="V216" s="8" t="str">
        <f t="shared" si="74"/>
        <v xml:space="preserve"> dcterms:source "https://www.mindat.org/min-49732.html" ; </v>
      </c>
      <c r="W216" s="8" t="str">
        <f t="shared" si="75"/>
        <v xml:space="preserve">skos:definition "An L chondrite that is a breccia of petrological types 3 to 6."@en ; </v>
      </c>
      <c r="X216" s="8" t="str">
        <f t="shared" si="66"/>
        <v xml:space="preserve"> skos:inScheme &lt;https://mindat.org/etmat/cscheme&gt; ;  </v>
      </c>
      <c r="Y216" s="8" t="str">
        <f t="shared" si="76"/>
        <v xml:space="preserve">skos:prefLabel "L3-6 chondrite meteorite"@en ; rdfs:label "L3-6 chondrite meteorite"@en ; </v>
      </c>
      <c r="Z216" s="8" t="str">
        <f t="shared" si="77"/>
        <v xml:space="preserve"> skos:notation  "L3-6"@en ; </v>
      </c>
      <c r="AA216" s="8" t="str">
        <f t="shared" si="69"/>
        <v>dcterms:source "https://www.lpi.usra.edu/meteor/metbullclass.php?sea=L3-6";</v>
      </c>
      <c r="AB216" s="8" t="str">
        <f t="shared" si="70"/>
        <v xml:space="preserve">skos:broader &lt;etma:1:1:49648:9&gt; ; </v>
      </c>
      <c r="AC216" s="8" t="str">
        <f t="shared" ca="1" si="71"/>
        <v>dcterms:modified "2023-06-20T08:57";  .</v>
      </c>
      <c r="AD216" s="10" t="str">
        <f t="shared" ca="1" si="78"/>
        <v>&lt;etma:1:1:49732:7&gt;  rdf:type skos:Concept ;     dcterms:source "https://www.mindat.org/min-49732.html" ;   skos:definition "An L chondrite that is a breccia of petrological types 3 to 6."@en ;    skos:inScheme &lt;https://mindat.org/etmat/cscheme&gt; ;    skos:prefLabel "L3-6 chondrite meteorite"@en ; rdfs:label "L3-6 chondrite meteorite"@en ;    skos:notation  "L3-6"@en ;   dcterms:source "https://www.lpi.usra.edu/meteor/metbullclass.php?sea=L3-6";  skos:broader &lt;etma:1:1:49648:9&gt; ;   dcterms:modified "2023-06-20T08:57";  .</v>
      </c>
      <c r="AE216" s="8" t="s">
        <v>2591</v>
      </c>
    </row>
    <row r="217" spans="1:31" x14ac:dyDescent="0.25">
      <c r="A217" s="8">
        <v>194</v>
      </c>
      <c r="B217" s="8" t="s">
        <v>982</v>
      </c>
      <c r="C217" s="8">
        <v>49733</v>
      </c>
      <c r="D217" s="8" t="s">
        <v>980</v>
      </c>
      <c r="E217" s="8" t="s">
        <v>981</v>
      </c>
      <c r="F217" s="9">
        <v>2</v>
      </c>
      <c r="G217" s="9" t="s">
        <v>508</v>
      </c>
      <c r="H217" s="1" t="s">
        <v>983</v>
      </c>
      <c r="I217" s="8" t="str">
        <f t="shared" si="72"/>
        <v>https://www.mindat.org/min-49733.html</v>
      </c>
      <c r="J217" s="8">
        <v>49648</v>
      </c>
      <c r="K217" s="8" t="s">
        <v>590</v>
      </c>
      <c r="N217" s="9">
        <v>0</v>
      </c>
      <c r="O217" s="9" t="s">
        <v>2249</v>
      </c>
      <c r="R217" s="8" t="s">
        <v>984</v>
      </c>
      <c r="S217" s="11">
        <f t="shared" ca="1" si="68"/>
        <v>45097.373057291668</v>
      </c>
      <c r="U217" s="8" t="str">
        <f t="shared" si="73"/>
        <v xml:space="preserve">&lt;etma:1:1:49733:6&gt;  rdf:type skos:Concept ;  </v>
      </c>
      <c r="V217" s="8" t="str">
        <f t="shared" si="74"/>
        <v xml:space="preserve"> dcterms:source "https://www.mindat.org/min-49733.html" ; </v>
      </c>
      <c r="W217" s="8" t="str">
        <f t="shared" si="75"/>
        <v xml:space="preserve">skos:definition "An L chondrite that is a breccia of petrological types 3 to 7."@en ; </v>
      </c>
      <c r="X217" s="8" t="str">
        <f t="shared" si="66"/>
        <v xml:space="preserve"> skos:inScheme &lt;https://mindat.org/etmat/cscheme&gt; ;  </v>
      </c>
      <c r="Y217" s="8" t="str">
        <f t="shared" si="76"/>
        <v xml:space="preserve">skos:prefLabel "L3-7 chondrite meteorite"@en ; rdfs:label "L3-7 chondrite meteorite"@en ; </v>
      </c>
      <c r="Z217" s="8" t="str">
        <f t="shared" si="77"/>
        <v xml:space="preserve"> skos:notation  "L3-7"@en ; </v>
      </c>
      <c r="AA217" s="8" t="str">
        <f t="shared" si="69"/>
        <v>dcterms:source "https://www.lpi.usra.edu/meteor/metbullclass.php?sea=L3-7";</v>
      </c>
      <c r="AB217" s="8" t="str">
        <f t="shared" si="70"/>
        <v xml:space="preserve">skos:broader &lt;etma:1:1:49648:9&gt; ; </v>
      </c>
      <c r="AC217" s="8" t="str">
        <f t="shared" ca="1" si="71"/>
        <v>dcterms:modified "2023-06-20T08:57";  .</v>
      </c>
      <c r="AD217" s="10" t="str">
        <f t="shared" ca="1" si="78"/>
        <v>&lt;etma:1:1:49733:6&gt;  rdf:type skos:Concept ;     dcterms:source "https://www.mindat.org/min-49733.html" ;   skos:definition "An L chondrite that is a breccia of petrological types 3 to 7."@en ;    skos:inScheme &lt;https://mindat.org/etmat/cscheme&gt; ;    skos:prefLabel "L3-7 chondrite meteorite"@en ; rdfs:label "L3-7 chondrite meteorite"@en ;    skos:notation  "L3-7"@en ;   dcterms:source "https://www.lpi.usra.edu/meteor/metbullclass.php?sea=L3-7";  skos:broader &lt;etma:1:1:49648:9&gt; ;   dcterms:modified "2023-06-20T08:57";  .</v>
      </c>
      <c r="AE217" s="8" t="s">
        <v>2591</v>
      </c>
    </row>
    <row r="218" spans="1:31" x14ac:dyDescent="0.25">
      <c r="A218" s="8">
        <v>195</v>
      </c>
      <c r="B218" s="8" t="s">
        <v>987</v>
      </c>
      <c r="C218" s="8">
        <v>49734</v>
      </c>
      <c r="D218" s="8" t="s">
        <v>985</v>
      </c>
      <c r="E218" s="8" t="s">
        <v>986</v>
      </c>
      <c r="F218" s="9">
        <v>2</v>
      </c>
      <c r="G218" s="9" t="s">
        <v>508</v>
      </c>
      <c r="H218" s="1" t="s">
        <v>988</v>
      </c>
      <c r="I218" s="8" t="str">
        <f t="shared" si="72"/>
        <v>https://www.mindat.org/min-49734.html</v>
      </c>
      <c r="J218" s="8">
        <v>49648</v>
      </c>
      <c r="K218" s="8" t="s">
        <v>590</v>
      </c>
      <c r="N218" s="9">
        <v>0</v>
      </c>
      <c r="O218" s="9" t="s">
        <v>2249</v>
      </c>
      <c r="R218" s="8" t="s">
        <v>989</v>
      </c>
      <c r="S218" s="11">
        <f t="shared" ca="1" si="68"/>
        <v>45097.373057291668</v>
      </c>
      <c r="U218" s="8" t="str">
        <f t="shared" si="73"/>
        <v xml:space="preserve">&lt;etma:1:1:49734:5&gt;  rdf:type skos:Concept ;  </v>
      </c>
      <c r="V218" s="8" t="str">
        <f t="shared" si="74"/>
        <v xml:space="preserve"> dcterms:source "https://www.mindat.org/min-49734.html" ; </v>
      </c>
      <c r="W218" s="8" t="str">
        <f t="shared" si="75"/>
        <v xml:space="preserve">skos:definition "An L chondrite that is a breccia of petrological types 3.5 to 5."@en ; </v>
      </c>
      <c r="X218" s="8" t="str">
        <f t="shared" si="66"/>
        <v xml:space="preserve"> skos:inScheme &lt;https://mindat.org/etmat/cscheme&gt; ;  </v>
      </c>
      <c r="Y218" s="8" t="str">
        <f t="shared" si="76"/>
        <v xml:space="preserve">skos:prefLabel "L3.5-5 chondrite meteorite"@en ; rdfs:label "L3.5-5 chondrite meteorite"@en ; </v>
      </c>
      <c r="Z218" s="8" t="str">
        <f t="shared" si="77"/>
        <v xml:space="preserve"> skos:notation  "L3.5-5"@en ; </v>
      </c>
      <c r="AA218" s="8" t="str">
        <f t="shared" si="69"/>
        <v>dcterms:source "https://www.lpi.usra.edu/meteor/metbullclass.php?sea=L3.5-5";</v>
      </c>
      <c r="AB218" s="8" t="str">
        <f t="shared" si="70"/>
        <v xml:space="preserve">skos:broader &lt;etma:1:1:49648:9&gt; ; </v>
      </c>
      <c r="AC218" s="8" t="str">
        <f t="shared" ca="1" si="71"/>
        <v>dcterms:modified "2023-06-20T08:57";  .</v>
      </c>
      <c r="AD218" s="10" t="str">
        <f t="shared" ca="1" si="78"/>
        <v>&lt;etma:1:1:49734:5&gt;  rdf:type skos:Concept ;     dcterms:source "https://www.mindat.org/min-49734.html" ;   skos:definition "An L chondrite that is a breccia of petrological types 3.5 to 5."@en ;    skos:inScheme &lt;https://mindat.org/etmat/cscheme&gt; ;    skos:prefLabel "L3.5-5 chondrite meteorite"@en ; rdfs:label "L3.5-5 chondrite meteorite"@en ;    skos:notation  "L3.5-5"@en ;   dcterms:source "https://www.lpi.usra.edu/meteor/metbullclass.php?sea=L3.5-5";  skos:broader &lt;etma:1:1:49648:9&gt; ;   dcterms:modified "2023-06-20T08:57";  .</v>
      </c>
      <c r="AE218" s="8" t="s">
        <v>2591</v>
      </c>
    </row>
    <row r="219" spans="1:31" x14ac:dyDescent="0.25">
      <c r="A219" s="8">
        <v>196</v>
      </c>
      <c r="B219" s="8" t="s">
        <v>992</v>
      </c>
      <c r="C219" s="8">
        <v>49735</v>
      </c>
      <c r="D219" s="8" t="s">
        <v>990</v>
      </c>
      <c r="E219" s="8" t="s">
        <v>991</v>
      </c>
      <c r="F219" s="9">
        <v>2</v>
      </c>
      <c r="G219" s="9" t="s">
        <v>508</v>
      </c>
      <c r="H219" s="1" t="s">
        <v>993</v>
      </c>
      <c r="I219" s="8" t="str">
        <f t="shared" si="72"/>
        <v>https://www.mindat.org/min-49735.html</v>
      </c>
      <c r="J219" s="8">
        <v>49648</v>
      </c>
      <c r="K219" s="8" t="s">
        <v>590</v>
      </c>
      <c r="N219" s="9">
        <v>0</v>
      </c>
      <c r="O219" s="9" t="s">
        <v>2249</v>
      </c>
      <c r="R219" s="8" t="s">
        <v>994</v>
      </c>
      <c r="S219" s="11">
        <f t="shared" ca="1" si="68"/>
        <v>45097.373057291668</v>
      </c>
      <c r="U219" s="8" t="str">
        <f t="shared" si="73"/>
        <v xml:space="preserve">&lt;etma:1:1:49735:4&gt;  rdf:type skos:Concept ;  </v>
      </c>
      <c r="V219" s="8" t="str">
        <f t="shared" si="74"/>
        <v xml:space="preserve"> dcterms:source "https://www.mindat.org/min-49735.html" ; </v>
      </c>
      <c r="W219" s="8" t="str">
        <f t="shared" si="75"/>
        <v xml:space="preserve">skos:definition "An L chondrite that is a breccia of petrological types 3.7 to 6."@en ; </v>
      </c>
      <c r="X219" s="8" t="str">
        <f t="shared" si="66"/>
        <v xml:space="preserve"> skos:inScheme &lt;https://mindat.org/etmat/cscheme&gt; ;  </v>
      </c>
      <c r="Y219" s="8" t="str">
        <f t="shared" si="76"/>
        <v xml:space="preserve">skos:prefLabel "L3.7-6 chondrite meteorite"@en ; rdfs:label "L3.7-6 chondrite meteorite"@en ; </v>
      </c>
      <c r="Z219" s="8" t="str">
        <f t="shared" si="77"/>
        <v xml:space="preserve"> skos:notation  "L3.7-6"@en ; </v>
      </c>
      <c r="AA219" s="8" t="str">
        <f t="shared" si="69"/>
        <v>dcterms:source "https://www.lpi.usra.edu/meteor/metbullclass.php?sea=L3.7-6";</v>
      </c>
      <c r="AB219" s="8" t="str">
        <f t="shared" si="70"/>
        <v xml:space="preserve">skos:broader &lt;etma:1:1:49648:9&gt; ; </v>
      </c>
      <c r="AC219" s="8" t="str">
        <f t="shared" ca="1" si="71"/>
        <v>dcterms:modified "2023-06-20T08:57";  .</v>
      </c>
      <c r="AD219" s="10" t="str">
        <f t="shared" ca="1" si="78"/>
        <v>&lt;etma:1:1:49735:4&gt;  rdf:type skos:Concept ;     dcterms:source "https://www.mindat.org/min-49735.html" ;   skos:definition "An L chondrite that is a breccia of petrological types 3.7 to 6."@en ;    skos:inScheme &lt;https://mindat.org/etmat/cscheme&gt; ;    skos:prefLabel "L3.7-6 chondrite meteorite"@en ; rdfs:label "L3.7-6 chondrite meteorite"@en ;    skos:notation  "L3.7-6"@en ;   dcterms:source "https://www.lpi.usra.edu/meteor/metbullclass.php?sea=L3.7-6";  skos:broader &lt;etma:1:1:49648:9&gt; ;   dcterms:modified "2023-06-20T08:57";  .</v>
      </c>
      <c r="AE219" s="8" t="s">
        <v>2591</v>
      </c>
    </row>
    <row r="220" spans="1:31" x14ac:dyDescent="0.25">
      <c r="A220" s="8">
        <v>197</v>
      </c>
      <c r="B220" s="8" t="s">
        <v>997</v>
      </c>
      <c r="C220" s="8">
        <v>49736</v>
      </c>
      <c r="D220" s="8" t="s">
        <v>995</v>
      </c>
      <c r="E220" s="8" t="s">
        <v>996</v>
      </c>
      <c r="F220" s="9">
        <v>2</v>
      </c>
      <c r="G220" s="9" t="s">
        <v>508</v>
      </c>
      <c r="H220" s="1" t="s">
        <v>998</v>
      </c>
      <c r="I220" s="8" t="str">
        <f t="shared" si="72"/>
        <v>https://www.mindat.org/min-49736.html</v>
      </c>
      <c r="J220" s="8">
        <v>49648</v>
      </c>
      <c r="K220" s="8" t="s">
        <v>590</v>
      </c>
      <c r="N220" s="9">
        <v>0</v>
      </c>
      <c r="O220" s="9" t="s">
        <v>2249</v>
      </c>
      <c r="R220" s="8" t="s">
        <v>999</v>
      </c>
      <c r="S220" s="11">
        <f t="shared" ca="1" si="68"/>
        <v>45097.373057291668</v>
      </c>
      <c r="U220" s="8" t="str">
        <f t="shared" si="73"/>
        <v xml:space="preserve">&lt;etma:1:1:49736:3&gt;  rdf:type skos:Concept ;  </v>
      </c>
      <c r="V220" s="8" t="str">
        <f t="shared" si="74"/>
        <v xml:space="preserve"> dcterms:source "https://www.mindat.org/min-49736.html" ; </v>
      </c>
      <c r="W220" s="8" t="str">
        <f t="shared" si="75"/>
        <v xml:space="preserve">skos:definition "An L chondrite that is a breccia of petrological types 3.8 to 5."@en ; </v>
      </c>
      <c r="X220" s="8" t="str">
        <f t="shared" si="66"/>
        <v xml:space="preserve"> skos:inScheme &lt;https://mindat.org/etmat/cscheme&gt; ;  </v>
      </c>
      <c r="Y220" s="8" t="str">
        <f t="shared" si="76"/>
        <v xml:space="preserve">skos:prefLabel "L3.8-5 chondrite meteorite"@en ; rdfs:label "L3.8-5 chondrite meteorite"@en ; </v>
      </c>
      <c r="Z220" s="8" t="str">
        <f t="shared" si="77"/>
        <v xml:space="preserve"> skos:notation  "L3.8-5"@en ; </v>
      </c>
      <c r="AA220" s="8" t="str">
        <f t="shared" si="69"/>
        <v>dcterms:source "https://www.lpi.usra.edu/meteor/metbullclass.php?sea=L3.8-5";</v>
      </c>
      <c r="AB220" s="8" t="str">
        <f t="shared" si="70"/>
        <v xml:space="preserve">skos:broader &lt;etma:1:1:49648:9&gt; ; </v>
      </c>
      <c r="AC220" s="8" t="str">
        <f t="shared" ca="1" si="71"/>
        <v>dcterms:modified "2023-06-20T08:57";  .</v>
      </c>
      <c r="AD220" s="10" t="str">
        <f t="shared" ca="1" si="78"/>
        <v>&lt;etma:1:1:49736:3&gt;  rdf:type skos:Concept ;     dcterms:source "https://www.mindat.org/min-49736.html" ;   skos:definition "An L chondrite that is a breccia of petrological types 3.8 to 5."@en ;    skos:inScheme &lt;https://mindat.org/etmat/cscheme&gt; ;    skos:prefLabel "L3.8-5 chondrite meteorite"@en ; rdfs:label "L3.8-5 chondrite meteorite"@en ;    skos:notation  "L3.8-5"@en ;   dcterms:source "https://www.lpi.usra.edu/meteor/metbullclass.php?sea=L3.8-5";  skos:broader &lt;etma:1:1:49648:9&gt; ;   dcterms:modified "2023-06-20T08:57";  .</v>
      </c>
      <c r="AE220" s="8" t="s">
        <v>2591</v>
      </c>
    </row>
    <row r="221" spans="1:31" x14ac:dyDescent="0.25">
      <c r="A221" s="8">
        <v>198</v>
      </c>
      <c r="B221" s="8" t="s">
        <v>1002</v>
      </c>
      <c r="C221" s="8">
        <v>49737</v>
      </c>
      <c r="D221" s="8" t="s">
        <v>1000</v>
      </c>
      <c r="E221" s="8" t="s">
        <v>1001</v>
      </c>
      <c r="F221" s="9">
        <v>2</v>
      </c>
      <c r="G221" s="9" t="s">
        <v>508</v>
      </c>
      <c r="H221" s="1" t="s">
        <v>1003</v>
      </c>
      <c r="I221" s="8" t="str">
        <f t="shared" si="72"/>
        <v>https://www.mindat.org/min-49737.html</v>
      </c>
      <c r="J221" s="8">
        <v>49648</v>
      </c>
      <c r="K221" s="8" t="s">
        <v>590</v>
      </c>
      <c r="N221" s="9">
        <v>0</v>
      </c>
      <c r="O221" s="9" t="s">
        <v>2249</v>
      </c>
      <c r="R221" s="8" t="s">
        <v>1004</v>
      </c>
      <c r="S221" s="11">
        <f t="shared" ca="1" si="68"/>
        <v>45097.373057291668</v>
      </c>
      <c r="U221" s="8" t="str">
        <f t="shared" si="73"/>
        <v xml:space="preserve">&lt;etma:1:1:49737:2&gt;  rdf:type skos:Concept ;  </v>
      </c>
      <c r="V221" s="8" t="str">
        <f t="shared" si="74"/>
        <v xml:space="preserve"> dcterms:source "https://www.mindat.org/min-49737.html" ; </v>
      </c>
      <c r="W221" s="8" t="str">
        <f t="shared" si="75"/>
        <v xml:space="preserve">skos:definition "An L chondrite that is a breccia of petrological types 3.8 to 6."@en ; </v>
      </c>
      <c r="X221" s="8" t="str">
        <f t="shared" si="66"/>
        <v xml:space="preserve"> skos:inScheme &lt;https://mindat.org/etmat/cscheme&gt; ;  </v>
      </c>
      <c r="Y221" s="8" t="str">
        <f t="shared" si="76"/>
        <v xml:space="preserve">skos:prefLabel "L3.8-6 chondrite meteorite"@en ; rdfs:label "L3.8-6 chondrite meteorite"@en ; </v>
      </c>
      <c r="Z221" s="8" t="str">
        <f t="shared" si="77"/>
        <v xml:space="preserve"> skos:notation  "L3.8-6"@en ; </v>
      </c>
      <c r="AA221" s="8" t="str">
        <f t="shared" si="69"/>
        <v>dcterms:source "https://www.lpi.usra.edu/meteor/metbullclass.php?sea=L3.8-6";</v>
      </c>
      <c r="AB221" s="8" t="str">
        <f t="shared" si="70"/>
        <v xml:space="preserve">skos:broader &lt;etma:1:1:49648:9&gt; ; </v>
      </c>
      <c r="AC221" s="8" t="str">
        <f t="shared" ca="1" si="71"/>
        <v>dcterms:modified "2023-06-20T08:57";  .</v>
      </c>
      <c r="AD221" s="10" t="str">
        <f t="shared" ca="1" si="78"/>
        <v>&lt;etma:1:1:49737:2&gt;  rdf:type skos:Concept ;     dcterms:source "https://www.mindat.org/min-49737.html" ;   skos:definition "An L chondrite that is a breccia of petrological types 3.8 to 6."@en ;    skos:inScheme &lt;https://mindat.org/etmat/cscheme&gt; ;    skos:prefLabel "L3.8-6 chondrite meteorite"@en ; rdfs:label "L3.8-6 chondrite meteorite"@en ;    skos:notation  "L3.8-6"@en ;   dcterms:source "https://www.lpi.usra.edu/meteor/metbullclass.php?sea=L3.8-6";  skos:broader &lt;etma:1:1:49648:9&gt; ;   dcterms:modified "2023-06-20T08:57";  .</v>
      </c>
      <c r="AE221" s="8" t="s">
        <v>2591</v>
      </c>
    </row>
    <row r="222" spans="1:31" x14ac:dyDescent="0.25">
      <c r="A222" s="8">
        <v>199</v>
      </c>
      <c r="B222" s="8" t="s">
        <v>1007</v>
      </c>
      <c r="C222" s="8">
        <v>49738</v>
      </c>
      <c r="D222" s="8" t="s">
        <v>1005</v>
      </c>
      <c r="E222" s="8" t="s">
        <v>1006</v>
      </c>
      <c r="F222" s="9">
        <v>2</v>
      </c>
      <c r="G222" s="9" t="s">
        <v>508</v>
      </c>
      <c r="H222" s="1" t="s">
        <v>1008</v>
      </c>
      <c r="I222" s="8" t="str">
        <f t="shared" si="72"/>
        <v>https://www.mindat.org/min-49738.html</v>
      </c>
      <c r="J222" s="8">
        <v>49648</v>
      </c>
      <c r="K222" s="8" t="s">
        <v>590</v>
      </c>
      <c r="N222" s="9">
        <v>0</v>
      </c>
      <c r="O222" s="9" t="s">
        <v>2249</v>
      </c>
      <c r="R222" s="8" t="s">
        <v>1009</v>
      </c>
      <c r="S222" s="11">
        <f t="shared" ca="1" si="68"/>
        <v>45097.373057291668</v>
      </c>
      <c r="U222" s="8" t="str">
        <f t="shared" si="73"/>
        <v xml:space="preserve">&lt;etma:1:1:49738:1&gt;  rdf:type skos:Concept ;  </v>
      </c>
      <c r="V222" s="8" t="str">
        <f t="shared" si="74"/>
        <v xml:space="preserve"> dcterms:source "https://www.mindat.org/min-49738.html" ; </v>
      </c>
      <c r="W222" s="8" t="str">
        <f t="shared" si="75"/>
        <v xml:space="preserve">skos:definition "An L chondrite that is a breccia of petrological types 4 to 6."@en ; </v>
      </c>
      <c r="X222" s="8" t="str">
        <f t="shared" si="66"/>
        <v xml:space="preserve"> skos:inScheme &lt;https://mindat.org/etmat/cscheme&gt; ;  </v>
      </c>
      <c r="Y222" s="8" t="str">
        <f t="shared" si="76"/>
        <v xml:space="preserve">skos:prefLabel "L4-6 chondrite meteorite"@en ; rdfs:label "L4-6 chondrite meteorite"@en ; </v>
      </c>
      <c r="Z222" s="8" t="str">
        <f t="shared" si="77"/>
        <v xml:space="preserve"> skos:notation  "L4-6"@en ; </v>
      </c>
      <c r="AA222" s="8" t="str">
        <f t="shared" si="69"/>
        <v>dcterms:source "https://www.lpi.usra.edu/meteor/metbullclass.php?sea=L4-6";</v>
      </c>
      <c r="AB222" s="8" t="str">
        <f t="shared" si="70"/>
        <v xml:space="preserve">skos:broader &lt;etma:1:1:49648:9&gt; ; </v>
      </c>
      <c r="AC222" s="8" t="str">
        <f t="shared" ca="1" si="71"/>
        <v>dcterms:modified "2023-06-20T08:57";  .</v>
      </c>
      <c r="AD222" s="10" t="str">
        <f t="shared" ca="1" si="78"/>
        <v>&lt;etma:1:1:49738:1&gt;  rdf:type skos:Concept ;     dcterms:source "https://www.mindat.org/min-49738.html" ;   skos:definition "An L chondrite that is a breccia of petrological types 4 to 6."@en ;    skos:inScheme &lt;https://mindat.org/etmat/cscheme&gt; ;    skos:prefLabel "L4-6 chondrite meteorite"@en ; rdfs:label "L4-6 chondrite meteorite"@en ;    skos:notation  "L4-6"@en ;   dcterms:source "https://www.lpi.usra.edu/meteor/metbullclass.php?sea=L4-6";  skos:broader &lt;etma:1:1:49648:9&gt; ;   dcterms:modified "2023-06-20T08:57";  .</v>
      </c>
      <c r="AE222" s="8" t="s">
        <v>2591</v>
      </c>
    </row>
    <row r="223" spans="1:31" x14ac:dyDescent="0.25">
      <c r="A223" s="8">
        <v>200</v>
      </c>
      <c r="B223" s="8" t="s">
        <v>1012</v>
      </c>
      <c r="C223" s="8">
        <v>49739</v>
      </c>
      <c r="D223" s="8" t="s">
        <v>1010</v>
      </c>
      <c r="E223" s="8" t="s">
        <v>1011</v>
      </c>
      <c r="F223" s="9">
        <v>2</v>
      </c>
      <c r="G223" s="9" t="s">
        <v>508</v>
      </c>
      <c r="H223" s="1" t="s">
        <v>1013</v>
      </c>
      <c r="I223" s="8" t="str">
        <f t="shared" si="72"/>
        <v>https://www.mindat.org/min-49739.html</v>
      </c>
      <c r="J223" s="8">
        <v>49648</v>
      </c>
      <c r="K223" s="8" t="s">
        <v>590</v>
      </c>
      <c r="N223" s="9">
        <v>0</v>
      </c>
      <c r="O223" s="9" t="s">
        <v>2249</v>
      </c>
      <c r="R223" s="8" t="s">
        <v>1014</v>
      </c>
      <c r="S223" s="11">
        <f t="shared" ca="1" si="68"/>
        <v>45097.373057407407</v>
      </c>
      <c r="U223" s="8" t="str">
        <f t="shared" si="73"/>
        <v xml:space="preserve">&lt;etma:1:1:49739:0&gt;  rdf:type skos:Concept ;  </v>
      </c>
      <c r="V223" s="8" t="str">
        <f t="shared" si="74"/>
        <v xml:space="preserve"> dcterms:source "https://www.mindat.org/min-49739.html" ; </v>
      </c>
      <c r="W223" s="8" t="str">
        <f t="shared" si="75"/>
        <v xml:space="preserve">skos:definition "An L chondrite that is a breccia of petrological types 5 to 7."@en ; </v>
      </c>
      <c r="X223" s="8" t="str">
        <f t="shared" si="66"/>
        <v xml:space="preserve"> skos:inScheme &lt;https://mindat.org/etmat/cscheme&gt; ;  </v>
      </c>
      <c r="Y223" s="8" t="str">
        <f t="shared" si="76"/>
        <v xml:space="preserve">skos:prefLabel "L5-7 chondrite meteorite"@en ; rdfs:label "L5-7 chondrite meteorite"@en ; </v>
      </c>
      <c r="Z223" s="8" t="str">
        <f t="shared" si="77"/>
        <v xml:space="preserve"> skos:notation  "L5-7"@en ; </v>
      </c>
      <c r="AA223" s="8" t="str">
        <f t="shared" si="69"/>
        <v>dcterms:source "https://www.lpi.usra.edu/meteor/metbullclass.php?sea=L5-7";</v>
      </c>
      <c r="AB223" s="8" t="str">
        <f t="shared" si="70"/>
        <v xml:space="preserve">skos:broader &lt;etma:1:1:49648:9&gt; ; </v>
      </c>
      <c r="AC223" s="8" t="str">
        <f t="shared" ca="1" si="71"/>
        <v>dcterms:modified "2023-06-20T08:57";  .</v>
      </c>
      <c r="AD223" s="10" t="str">
        <f t="shared" ca="1" si="78"/>
        <v>&lt;etma:1:1:49739:0&gt;  rdf:type skos:Concept ;     dcterms:source "https://www.mindat.org/min-49739.html" ;   skos:definition "An L chondrite that is a breccia of petrological types 5 to 7."@en ;    skos:inScheme &lt;https://mindat.org/etmat/cscheme&gt; ;    skos:prefLabel "L5-7 chondrite meteorite"@en ; rdfs:label "L5-7 chondrite meteorite"@en ;    skos:notation  "L5-7"@en ;   dcterms:source "https://www.lpi.usra.edu/meteor/metbullclass.php?sea=L5-7";  skos:broader &lt;etma:1:1:49648:9&gt; ;   dcterms:modified "2023-06-20T08:57";  .</v>
      </c>
      <c r="AE223" s="8" t="s">
        <v>2591</v>
      </c>
    </row>
    <row r="224" spans="1:31" x14ac:dyDescent="0.25">
      <c r="A224" s="8">
        <v>201</v>
      </c>
      <c r="B224" s="8" t="s">
        <v>1017</v>
      </c>
      <c r="C224" s="8">
        <v>49740</v>
      </c>
      <c r="D224" s="8" t="s">
        <v>1015</v>
      </c>
      <c r="E224" s="8" t="s">
        <v>1016</v>
      </c>
      <c r="F224" s="9">
        <v>2</v>
      </c>
      <c r="G224" s="9" t="s">
        <v>508</v>
      </c>
      <c r="H224" s="1" t="s">
        <v>1018</v>
      </c>
      <c r="I224" s="8" t="str">
        <f t="shared" si="72"/>
        <v>https://www.mindat.org/min-49740.html</v>
      </c>
      <c r="J224" s="8">
        <v>49648</v>
      </c>
      <c r="K224" s="8" t="s">
        <v>590</v>
      </c>
      <c r="N224" s="9">
        <v>0</v>
      </c>
      <c r="O224" s="9" t="s">
        <v>2249</v>
      </c>
      <c r="R224" s="8" t="s">
        <v>1019</v>
      </c>
      <c r="S224" s="11">
        <f t="shared" ca="1" si="68"/>
        <v>45097.373057291668</v>
      </c>
      <c r="U224" s="8" t="str">
        <f t="shared" si="73"/>
        <v xml:space="preserve">&lt;etma:1:1:49740:6&gt;  rdf:type skos:Concept ;  </v>
      </c>
      <c r="V224" s="8" t="str">
        <f t="shared" si="74"/>
        <v xml:space="preserve"> dcterms:source "https://www.mindat.org/min-49740.html" ; </v>
      </c>
      <c r="W224" s="8" t="str">
        <f t="shared" si="75"/>
        <v xml:space="preserve">skos:definition "An L chondrite that is approximately of petrologic type 3."@en ; </v>
      </c>
      <c r="X224" s="8" t="str">
        <f t="shared" si="66"/>
        <v xml:space="preserve"> skos:inScheme &lt;https://mindat.org/etmat/cscheme&gt; ;  </v>
      </c>
      <c r="Y224" s="8" t="str">
        <f t="shared" si="76"/>
        <v xml:space="preserve">skos:prefLabel "L~3 chondrite meteorite"@en ; rdfs:label "L~3 chondrite meteorite"@en ; </v>
      </c>
      <c r="Z224" s="8" t="str">
        <f t="shared" si="77"/>
        <v xml:space="preserve"> skos:notation  "L~3"@en ; </v>
      </c>
      <c r="AA224" s="8" t="str">
        <f t="shared" si="69"/>
        <v>dcterms:source "https://www.lpi.usra.edu/meteor/metbullclass.php?sea=L~3";</v>
      </c>
      <c r="AB224" s="8" t="str">
        <f t="shared" si="70"/>
        <v xml:space="preserve">skos:broader &lt;etma:1:1:49648:9&gt; ; </v>
      </c>
      <c r="AC224" s="8" t="str">
        <f t="shared" ca="1" si="71"/>
        <v>dcterms:modified "2023-06-20T08:57";  .</v>
      </c>
      <c r="AD224" s="10" t="str">
        <f t="shared" ca="1" si="78"/>
        <v>&lt;etma:1:1:49740:6&gt;  rdf:type skos:Concept ;     dcterms:source "https://www.mindat.org/min-49740.html" ;   skos:definition "An L chondrite that is approximately of petrologic type 3."@en ;    skos:inScheme &lt;https://mindat.org/etmat/cscheme&gt; ;    skos:prefLabel "L~3 chondrite meteorite"@en ; rdfs:label "L~3 chondrite meteorite"@en ;    skos:notation  "L~3"@en ;   dcterms:source "https://www.lpi.usra.edu/meteor/metbullclass.php?sea=L~3";  skos:broader &lt;etma:1:1:49648:9&gt; ;   dcterms:modified "2023-06-20T08:57";  .</v>
      </c>
      <c r="AE224" s="8" t="s">
        <v>2591</v>
      </c>
    </row>
    <row r="225" spans="1:31" x14ac:dyDescent="0.25">
      <c r="A225" s="8">
        <v>202</v>
      </c>
      <c r="B225" s="8" t="s">
        <v>1022</v>
      </c>
      <c r="C225" s="8">
        <v>49741</v>
      </c>
      <c r="D225" s="8" t="s">
        <v>1020</v>
      </c>
      <c r="E225" s="8" t="s">
        <v>1021</v>
      </c>
      <c r="F225" s="9">
        <v>2</v>
      </c>
      <c r="G225" s="9" t="s">
        <v>508</v>
      </c>
      <c r="H225" s="1" t="s">
        <v>1023</v>
      </c>
      <c r="I225" s="8" t="str">
        <f t="shared" si="72"/>
        <v>https://www.mindat.org/min-49741.html</v>
      </c>
      <c r="J225" s="8">
        <v>49648</v>
      </c>
      <c r="K225" s="8" t="s">
        <v>590</v>
      </c>
      <c r="N225" s="9">
        <v>0</v>
      </c>
      <c r="O225" s="9" t="s">
        <v>2249</v>
      </c>
      <c r="R225" s="8" t="s">
        <v>1024</v>
      </c>
      <c r="S225" s="11">
        <f t="shared" ca="1" si="68"/>
        <v>45097.373057291668</v>
      </c>
      <c r="U225" s="8" t="str">
        <f t="shared" si="73"/>
        <v xml:space="preserve">&lt;etma:1:1:49741:5&gt;  rdf:type skos:Concept ;  </v>
      </c>
      <c r="V225" s="8" t="str">
        <f t="shared" si="74"/>
        <v xml:space="preserve"> dcterms:source "https://www.mindat.org/min-49741.html" ; </v>
      </c>
      <c r="W225" s="8" t="str">
        <f t="shared" si="75"/>
        <v xml:space="preserve">skos:definition "An L chondrite that is approximately of petrologic type 4."@en ; </v>
      </c>
      <c r="X225" s="8" t="str">
        <f t="shared" si="66"/>
        <v xml:space="preserve"> skos:inScheme &lt;https://mindat.org/etmat/cscheme&gt; ;  </v>
      </c>
      <c r="Y225" s="8" t="str">
        <f t="shared" si="76"/>
        <v xml:space="preserve">skos:prefLabel "L~4 chondrite meteorite"@en ; rdfs:label "L~4 chondrite meteorite"@en ; </v>
      </c>
      <c r="Z225" s="8" t="str">
        <f t="shared" si="77"/>
        <v xml:space="preserve"> skos:notation  "L~4"@en ; </v>
      </c>
      <c r="AA225" s="8" t="str">
        <f t="shared" si="69"/>
        <v>dcterms:source "https://www.lpi.usra.edu/meteor/metbullclass.php?sea=L~4";</v>
      </c>
      <c r="AB225" s="8" t="str">
        <f t="shared" si="70"/>
        <v xml:space="preserve">skos:broader &lt;etma:1:1:49648:9&gt; ; </v>
      </c>
      <c r="AC225" s="8" t="str">
        <f t="shared" ca="1" si="71"/>
        <v>dcterms:modified "2023-06-20T08:57";  .</v>
      </c>
      <c r="AD225" s="10" t="str">
        <f t="shared" ca="1" si="78"/>
        <v>&lt;etma:1:1:49741:5&gt;  rdf:type skos:Concept ;     dcterms:source "https://www.mindat.org/min-49741.html" ;   skos:definition "An L chondrite that is approximately of petrologic type 4."@en ;    skos:inScheme &lt;https://mindat.org/etmat/cscheme&gt; ;    skos:prefLabel "L~4 chondrite meteorite"@en ; rdfs:label "L~4 chondrite meteorite"@en ;    skos:notation  "L~4"@en ;   dcterms:source "https://www.lpi.usra.edu/meteor/metbullclass.php?sea=L~4";  skos:broader &lt;etma:1:1:49648:9&gt; ;   dcterms:modified "2023-06-20T08:57";  .</v>
      </c>
      <c r="AE225" s="8" t="s">
        <v>2591</v>
      </c>
    </row>
    <row r="226" spans="1:31" x14ac:dyDescent="0.25">
      <c r="A226" s="8">
        <v>203</v>
      </c>
      <c r="B226" s="8" t="s">
        <v>1027</v>
      </c>
      <c r="C226" s="8">
        <v>49742</v>
      </c>
      <c r="D226" s="8" t="s">
        <v>1025</v>
      </c>
      <c r="E226" s="8" t="s">
        <v>1026</v>
      </c>
      <c r="F226" s="9">
        <v>2</v>
      </c>
      <c r="G226" s="9" t="s">
        <v>508</v>
      </c>
      <c r="H226" s="1" t="s">
        <v>1028</v>
      </c>
      <c r="I226" s="8" t="str">
        <f t="shared" si="72"/>
        <v>https://www.mindat.org/min-49742.html</v>
      </c>
      <c r="J226" s="8">
        <v>49648</v>
      </c>
      <c r="K226" s="8" t="s">
        <v>590</v>
      </c>
      <c r="N226" s="9">
        <v>0</v>
      </c>
      <c r="O226" s="9" t="s">
        <v>2249</v>
      </c>
      <c r="R226" s="8" t="s">
        <v>1029</v>
      </c>
      <c r="S226" s="11">
        <f t="shared" ca="1" si="68"/>
        <v>45097.373057291668</v>
      </c>
      <c r="U226" s="8" t="str">
        <f t="shared" si="73"/>
        <v xml:space="preserve">&lt;etma:1:1:49742:4&gt;  rdf:type skos:Concept ;  </v>
      </c>
      <c r="V226" s="8" t="str">
        <f t="shared" si="74"/>
        <v xml:space="preserve"> dcterms:source "https://www.mindat.org/min-49742.html" ; </v>
      </c>
      <c r="W226" s="8" t="str">
        <f t="shared" si="75"/>
        <v xml:space="preserve">skos:definition "An L chondrite that is a breccia of components of approximate petrological types 4 to 6."@en ; </v>
      </c>
      <c r="X226" s="8" t="str">
        <f t="shared" ref="X226:X280" si="79">" skos:inScheme &lt;https://mindat.org/etmat/cscheme&gt; ;  "</f>
        <v xml:space="preserve"> skos:inScheme &lt;https://mindat.org/etmat/cscheme&gt; ;  </v>
      </c>
      <c r="Y226" s="8" t="str">
        <f t="shared" si="76"/>
        <v xml:space="preserve">skos:prefLabel "L~4-6 chondrite meteorite"@en ; rdfs:label "L~4-6 chondrite meteorite"@en ; </v>
      </c>
      <c r="Z226" s="8" t="str">
        <f t="shared" si="77"/>
        <v xml:space="preserve"> skos:notation  "L~4-6"@en ; </v>
      </c>
      <c r="AA226" s="8" t="str">
        <f t="shared" si="69"/>
        <v>dcterms:source "https://www.lpi.usra.edu/meteor/metbullclass.php?sea=L~4-6";</v>
      </c>
      <c r="AB226" s="8" t="str">
        <f t="shared" si="70"/>
        <v xml:space="preserve">skos:broader &lt;etma:1:1:49648:9&gt; ; </v>
      </c>
      <c r="AC226" s="8" t="str">
        <f t="shared" ca="1" si="71"/>
        <v>dcterms:modified "2023-06-20T08:57";  .</v>
      </c>
      <c r="AD226" s="10" t="str">
        <f t="shared" ca="1" si="78"/>
        <v>&lt;etma:1:1:49742:4&gt;  rdf:type skos:Concept ;     dcterms:source "https://www.mindat.org/min-49742.html" ;   skos:definition "An L chondrite that is a breccia of components of approximate petrological types 4 to 6."@en ;    skos:inScheme &lt;https://mindat.org/etmat/cscheme&gt; ;    skos:prefLabel "L~4-6 chondrite meteorite"@en ; rdfs:label "L~4-6 chondrite meteorite"@en ;    skos:notation  "L~4-6"@en ;   dcterms:source "https://www.lpi.usra.edu/meteor/metbullclass.php?sea=L~4-6";  skos:broader &lt;etma:1:1:49648:9&gt; ;   dcterms:modified "2023-06-20T08:57";  .</v>
      </c>
      <c r="AE226" s="8" t="s">
        <v>2591</v>
      </c>
    </row>
    <row r="227" spans="1:31" x14ac:dyDescent="0.25">
      <c r="A227" s="8">
        <v>204</v>
      </c>
      <c r="B227" s="8" t="s">
        <v>1032</v>
      </c>
      <c r="C227" s="8">
        <v>49743</v>
      </c>
      <c r="D227" s="8" t="s">
        <v>1030</v>
      </c>
      <c r="E227" s="8" t="s">
        <v>1031</v>
      </c>
      <c r="F227" s="9">
        <v>2</v>
      </c>
      <c r="G227" s="9" t="s">
        <v>508</v>
      </c>
      <c r="H227" s="1" t="s">
        <v>1033</v>
      </c>
      <c r="I227" s="8" t="str">
        <f t="shared" si="72"/>
        <v>https://www.mindat.org/min-49743.html</v>
      </c>
      <c r="J227" s="8">
        <v>49648</v>
      </c>
      <c r="K227" s="8" t="s">
        <v>590</v>
      </c>
      <c r="N227" s="9">
        <v>0</v>
      </c>
      <c r="O227" s="9" t="s">
        <v>2249</v>
      </c>
      <c r="R227" s="8" t="s">
        <v>1034</v>
      </c>
      <c r="S227" s="11">
        <f t="shared" ca="1" si="68"/>
        <v>45097.373057291668</v>
      </c>
      <c r="U227" s="8" t="str">
        <f t="shared" si="73"/>
        <v xml:space="preserve">&lt;etma:1:1:49743:3&gt;  rdf:type skos:Concept ;  </v>
      </c>
      <c r="V227" s="8" t="str">
        <f t="shared" si="74"/>
        <v xml:space="preserve"> dcterms:source "https://www.mindat.org/min-49743.html" ; </v>
      </c>
      <c r="W227" s="8" t="str">
        <f t="shared" si="75"/>
        <v xml:space="preserve">skos:definition "An L chondrite that is approximately of petrologic type 5."@en ; </v>
      </c>
      <c r="X227" s="8" t="str">
        <f t="shared" si="79"/>
        <v xml:space="preserve"> skos:inScheme &lt;https://mindat.org/etmat/cscheme&gt; ;  </v>
      </c>
      <c r="Y227" s="8" t="str">
        <f t="shared" si="76"/>
        <v xml:space="preserve">skos:prefLabel "L~5 chondrite meteorite"@en ; rdfs:label "L~5 chondrite meteorite"@en ; </v>
      </c>
      <c r="Z227" s="8" t="str">
        <f t="shared" si="77"/>
        <v xml:space="preserve"> skos:notation  "L~5"@en ; </v>
      </c>
      <c r="AA227" s="8" t="str">
        <f t="shared" si="69"/>
        <v>dcterms:source "https://www.lpi.usra.edu/meteor/metbullclass.php?sea=L~5";</v>
      </c>
      <c r="AB227" s="8" t="str">
        <f t="shared" si="70"/>
        <v xml:space="preserve">skos:broader &lt;etma:1:1:49648:9&gt; ; </v>
      </c>
      <c r="AC227" s="8" t="str">
        <f t="shared" ca="1" si="71"/>
        <v>dcterms:modified "2023-06-20T08:57";  .</v>
      </c>
      <c r="AD227" s="10" t="str">
        <f t="shared" ca="1" si="78"/>
        <v>&lt;etma:1:1:49743:3&gt;  rdf:type skos:Concept ;     dcterms:source "https://www.mindat.org/min-49743.html" ;   skos:definition "An L chondrite that is approximately of petrologic type 5."@en ;    skos:inScheme &lt;https://mindat.org/etmat/cscheme&gt; ;    skos:prefLabel "L~5 chondrite meteorite"@en ; rdfs:label "L~5 chondrite meteorite"@en ;    skos:notation  "L~5"@en ;   dcterms:source "https://www.lpi.usra.edu/meteor/metbullclass.php?sea=L~5";  skos:broader &lt;etma:1:1:49648:9&gt; ;   dcterms:modified "2023-06-20T08:57";  .</v>
      </c>
      <c r="AE227" s="8" t="s">
        <v>2591</v>
      </c>
    </row>
    <row r="228" spans="1:31" x14ac:dyDescent="0.25">
      <c r="A228" s="8">
        <v>205</v>
      </c>
      <c r="B228" s="8" t="s">
        <v>1037</v>
      </c>
      <c r="C228" s="8">
        <v>49744</v>
      </c>
      <c r="D228" s="8" t="s">
        <v>1035</v>
      </c>
      <c r="E228" s="8" t="s">
        <v>1036</v>
      </c>
      <c r="F228" s="9">
        <v>2</v>
      </c>
      <c r="G228" s="9" t="s">
        <v>508</v>
      </c>
      <c r="H228" s="1" t="s">
        <v>1038</v>
      </c>
      <c r="I228" s="8" t="str">
        <f t="shared" si="72"/>
        <v>https://www.mindat.org/min-49744.html</v>
      </c>
      <c r="J228" s="8">
        <v>49648</v>
      </c>
      <c r="K228" s="8" t="s">
        <v>590</v>
      </c>
      <c r="N228" s="9">
        <v>0</v>
      </c>
      <c r="O228" s="9" t="s">
        <v>2249</v>
      </c>
      <c r="R228" s="8" t="s">
        <v>1039</v>
      </c>
      <c r="S228" s="11">
        <f t="shared" ca="1" si="68"/>
        <v>45097.373057291668</v>
      </c>
      <c r="U228" s="8" t="str">
        <f t="shared" si="73"/>
        <v xml:space="preserve">&lt;etma:1:1:49744:2&gt;  rdf:type skos:Concept ;  </v>
      </c>
      <c r="V228" s="8" t="str">
        <f t="shared" si="74"/>
        <v xml:space="preserve"> dcterms:source "https://www.mindat.org/min-49744.html" ; </v>
      </c>
      <c r="W228" s="8" t="str">
        <f t="shared" si="75"/>
        <v xml:space="preserve">skos:definition "An L chondrite that is approximately of petrologic type 6."@en ; </v>
      </c>
      <c r="X228" s="8" t="str">
        <f t="shared" si="79"/>
        <v xml:space="preserve"> skos:inScheme &lt;https://mindat.org/etmat/cscheme&gt; ;  </v>
      </c>
      <c r="Y228" s="8" t="str">
        <f t="shared" si="76"/>
        <v xml:space="preserve">skos:prefLabel "L~6 chondrite meteorite"@en ; rdfs:label "L~6 chondrite meteorite"@en ; </v>
      </c>
      <c r="Z228" s="8" t="str">
        <f t="shared" si="77"/>
        <v xml:space="preserve"> skos:notation  "L~6"@en ; </v>
      </c>
      <c r="AA228" s="8" t="str">
        <f t="shared" si="69"/>
        <v>dcterms:source "https://www.lpi.usra.edu/meteor/metbullclass.php?sea=L~6";</v>
      </c>
      <c r="AB228" s="8" t="str">
        <f t="shared" si="70"/>
        <v xml:space="preserve">skos:broader &lt;etma:1:1:49648:9&gt; ; </v>
      </c>
      <c r="AC228" s="8" t="str">
        <f t="shared" ca="1" si="71"/>
        <v>dcterms:modified "2023-06-20T08:57";  .</v>
      </c>
      <c r="AD228" s="10" t="str">
        <f t="shared" ca="1" si="78"/>
        <v>&lt;etma:1:1:49744:2&gt;  rdf:type skos:Concept ;     dcterms:source "https://www.mindat.org/min-49744.html" ;   skos:definition "An L chondrite that is approximately of petrologic type 6."@en ;    skos:inScheme &lt;https://mindat.org/etmat/cscheme&gt; ;    skos:prefLabel "L~6 chondrite meteorite"@en ; rdfs:label "L~6 chondrite meteorite"@en ;    skos:notation  "L~6"@en ;   dcterms:source "https://www.lpi.usra.edu/meteor/metbullclass.php?sea=L~6";  skos:broader &lt;etma:1:1:49648:9&gt; ;   dcterms:modified "2023-06-20T08:57";  .</v>
      </c>
      <c r="AE228" s="8" t="s">
        <v>2591</v>
      </c>
    </row>
    <row r="229" spans="1:31" x14ac:dyDescent="0.25">
      <c r="A229" s="8">
        <v>206</v>
      </c>
      <c r="B229" s="8" t="s">
        <v>1042</v>
      </c>
      <c r="C229" s="8">
        <v>49745</v>
      </c>
      <c r="D229" s="8" t="s">
        <v>1040</v>
      </c>
      <c r="E229" s="8" t="s">
        <v>1041</v>
      </c>
      <c r="F229" s="9">
        <v>7</v>
      </c>
      <c r="G229" s="9" t="s">
        <v>14</v>
      </c>
      <c r="H229" s="1" t="s">
        <v>2561</v>
      </c>
      <c r="I229" s="8" t="str">
        <f t="shared" si="72"/>
        <v>https://www.mindat.org/min-49745.html</v>
      </c>
      <c r="J229" s="8">
        <v>49581</v>
      </c>
      <c r="K229" s="8" t="s">
        <v>305</v>
      </c>
      <c r="N229" s="9">
        <v>1</v>
      </c>
      <c r="O229" s="9" t="s">
        <v>2249</v>
      </c>
      <c r="R229" s="8" t="s">
        <v>1044</v>
      </c>
      <c r="S229" s="11">
        <f t="shared" ca="1" si="68"/>
        <v>45097.373057291668</v>
      </c>
      <c r="U229" s="8" t="str">
        <f t="shared" si="73"/>
        <v xml:space="preserve">&lt;etma:1:1:49745:1&gt;  rdf:type skos:Concept ;  </v>
      </c>
      <c r="V229" s="8" t="str">
        <f t="shared" si="74"/>
        <v xml:space="preserve"> dcterms:source "https://www.mindat.org/min-49745.html" ; </v>
      </c>
      <c r="W229" s="8" t="str">
        <f t="shared" si="75"/>
        <v xml:space="preserve">skos:definition "The low-iron, low metal (LL) chemical group of ordinary chondrites, distinguished by their low siderophile element content, fairly large chondrules (~0.9 mm), and oxygen isotope compositions that are further above the terrestrial fractionation line than those of other ordinary chondrites."@en ; </v>
      </c>
      <c r="X229" s="8" t="str">
        <f t="shared" si="79"/>
        <v xml:space="preserve"> skos:inScheme &lt;https://mindat.org/etmat/cscheme&gt; ;  </v>
      </c>
      <c r="Y229" s="8" t="str">
        <f t="shared" si="76"/>
        <v xml:space="preserve">skos:prefLabel "LL chondrite meteorite"@en ; rdfs:label "LL chondrite meteorite"@en ; </v>
      </c>
      <c r="Z229" s="8" t="str">
        <f t="shared" si="77"/>
        <v xml:space="preserve"> skos:notation  "LL"@en ; </v>
      </c>
      <c r="AA229" s="8" t="str">
        <f t="shared" si="69"/>
        <v>dcterms:source "https://www.lpi.usra.edu/meteor/metbullclass.php?sea=LL";</v>
      </c>
      <c r="AB229" s="8" t="str">
        <f t="shared" si="70"/>
        <v xml:space="preserve">skos:broader &lt;etma:1:1:49581:5&gt; ; </v>
      </c>
      <c r="AC229" s="8" t="str">
        <f t="shared" ca="1" si="71"/>
        <v>dcterms:modified "2023-06-20T08:57";  .</v>
      </c>
      <c r="AD229" s="10" t="str">
        <f t="shared" ca="1" si="78"/>
        <v>&lt;etma:1:1:49745:1&gt;  rdf:type skos:Concept ;     dcterms:source "https://www.mindat.org/min-49745.html" ;   skos:definition "The low-iron, low metal (LL) chemical group of ordinary chondrites, distinguished by their low siderophile element content, fairly large chondrules (~0.9 mm), and oxygen isotope compositions that are further above the terrestrial fractionation line than those of other ordinary chondrites."@en ;    skos:inScheme &lt;https://mindat.org/etmat/cscheme&gt; ;    skos:prefLabel "LL chondrite meteorite"@en ; rdfs:label "LL chondrite meteorite"@en ;    skos:notation  "LL"@en ;   dcterms:source "https://www.lpi.usra.edu/meteor/metbullclass.php?sea=LL";  skos:broader &lt;etma:1:1:49581:5&gt; ;   dcterms:modified "2023-06-20T08:57";  .</v>
      </c>
      <c r="AE229" s="8" t="s">
        <v>2591</v>
      </c>
    </row>
    <row r="230" spans="1:31" x14ac:dyDescent="0.25">
      <c r="A230" s="8">
        <v>207</v>
      </c>
      <c r="B230" s="8" t="s">
        <v>1047</v>
      </c>
      <c r="C230" s="8">
        <v>49746</v>
      </c>
      <c r="D230" s="8" t="s">
        <v>1045</v>
      </c>
      <c r="E230" s="8" t="s">
        <v>1046</v>
      </c>
      <c r="F230" s="9">
        <v>7</v>
      </c>
      <c r="G230" s="9" t="s">
        <v>14</v>
      </c>
      <c r="H230" s="1" t="s">
        <v>1048</v>
      </c>
      <c r="I230" s="8" t="str">
        <f t="shared" si="72"/>
        <v>https://www.mindat.org/min-49746.html</v>
      </c>
      <c r="J230" s="8">
        <v>49745</v>
      </c>
      <c r="K230" s="8" t="s">
        <v>1040</v>
      </c>
      <c r="L230" s="9">
        <v>49842</v>
      </c>
      <c r="M230" s="8" t="s">
        <v>2400</v>
      </c>
      <c r="N230" s="9">
        <v>1</v>
      </c>
      <c r="O230" s="9" t="s">
        <v>2249</v>
      </c>
      <c r="R230" s="8" t="s">
        <v>1049</v>
      </c>
      <c r="S230" s="11">
        <f t="shared" ca="1" si="68"/>
        <v>45097.373057291668</v>
      </c>
      <c r="U230" s="8" t="str">
        <f t="shared" si="73"/>
        <v xml:space="preserve">&lt;etma:1:1:49746:0&gt;  rdf:type skos:Concept ;  </v>
      </c>
      <c r="V230" s="8" t="str">
        <f t="shared" si="74"/>
        <v xml:space="preserve"> dcterms:source "https://www.mindat.org/min-49746.html" ; </v>
      </c>
      <c r="W230" s="8" t="str">
        <f t="shared" si="75"/>
        <v xml:space="preserve">skos:definition "An LL chondrite that is of petrologic type 3."@en ; </v>
      </c>
      <c r="X230" s="8" t="str">
        <f t="shared" si="79"/>
        <v xml:space="preserve"> skos:inScheme &lt;https://mindat.org/etmat/cscheme&gt; ;  </v>
      </c>
      <c r="Y230" s="8" t="str">
        <f t="shared" si="76"/>
        <v xml:space="preserve">skos:prefLabel "LL3 chondrite meteorite"@en ; rdfs:label "LL3 chondrite meteorite"@en ; </v>
      </c>
      <c r="Z230" s="8" t="str">
        <f t="shared" si="77"/>
        <v xml:space="preserve"> skos:notation  "LL3"@en ; </v>
      </c>
      <c r="AA230" s="8" t="str">
        <f t="shared" si="69"/>
        <v>dcterms:source "https://www.lpi.usra.edu/meteor/metbullclass.php?sea=LL3";</v>
      </c>
      <c r="AB230" s="8" t="str">
        <f t="shared" si="70"/>
        <v xml:space="preserve">skos:broader &lt;etma:1:1:49745:1&gt;, &lt;etma:1:1:49842:3&gt; ; </v>
      </c>
      <c r="AC230" s="8" t="str">
        <f t="shared" ca="1" si="71"/>
        <v>dcterms:modified "2023-06-20T08:57";  .</v>
      </c>
      <c r="AD230" s="10" t="str">
        <f t="shared" ca="1" si="78"/>
        <v>&lt;etma:1:1:49746:0&gt;  rdf:type skos:Concept ;     dcterms:source "https://www.mindat.org/min-49746.html" ;   skos:definition "An LL chondrite that is of petrologic type 3."@en ;    skos:inScheme &lt;https://mindat.org/etmat/cscheme&gt; ;    skos:prefLabel "LL3 chondrite meteorite"@en ; rdfs:label "LL3 chondrite meteorite"@en ;    skos:notation  "LL3"@en ;   dcterms:source "https://www.lpi.usra.edu/meteor/metbullclass.php?sea=LL3";  skos:broader &lt;etma:1:1:49745:1&gt;, &lt;etma:1:1:49842:3&gt; ;   dcterms:modified "2023-06-20T08:57";  .</v>
      </c>
      <c r="AE230" s="8" t="s">
        <v>2591</v>
      </c>
    </row>
    <row r="231" spans="1:31" x14ac:dyDescent="0.25">
      <c r="A231" s="8">
        <v>208</v>
      </c>
      <c r="B231" s="8" t="s">
        <v>1052</v>
      </c>
      <c r="C231" s="8">
        <v>49750</v>
      </c>
      <c r="D231" s="8" t="s">
        <v>1050</v>
      </c>
      <c r="E231" s="8" t="s">
        <v>1051</v>
      </c>
      <c r="F231" s="9">
        <v>7</v>
      </c>
      <c r="G231" s="9" t="s">
        <v>14</v>
      </c>
      <c r="H231" s="1" t="s">
        <v>1053</v>
      </c>
      <c r="I231" s="8" t="str">
        <f t="shared" si="72"/>
        <v>https://www.mindat.org/min-49750.html</v>
      </c>
      <c r="J231" s="8">
        <v>49746</v>
      </c>
      <c r="K231" s="8" t="s">
        <v>1045</v>
      </c>
      <c r="L231" s="9">
        <v>49768</v>
      </c>
      <c r="M231" s="8" t="s">
        <v>1130</v>
      </c>
      <c r="N231" s="9">
        <v>0</v>
      </c>
      <c r="O231" s="9" t="s">
        <v>2249</v>
      </c>
      <c r="R231" s="8" t="s">
        <v>1054</v>
      </c>
      <c r="S231" s="11">
        <f t="shared" ca="1" si="68"/>
        <v>45097.373057407407</v>
      </c>
      <c r="U231" s="8" t="str">
        <f t="shared" si="73"/>
        <v xml:space="preserve">&lt;etma:1:1:49750:3&gt;  rdf:type skos:Concept ;  </v>
      </c>
      <c r="V231" s="8" t="str">
        <f t="shared" si="74"/>
        <v xml:space="preserve"> dcterms:source "https://www.mindat.org/min-49750.html" ; </v>
      </c>
      <c r="W231" s="8" t="str">
        <f t="shared" si="75"/>
        <v xml:space="preserve">skos:definition "An LL chondrite that is either petrological type 3 or 4."@en ; </v>
      </c>
      <c r="X231" s="8" t="str">
        <f t="shared" si="79"/>
        <v xml:space="preserve"> skos:inScheme &lt;https://mindat.org/etmat/cscheme&gt; ;  </v>
      </c>
      <c r="Y231" s="8" t="str">
        <f t="shared" si="76"/>
        <v xml:space="preserve">skos:prefLabel "LL3/4 chondrite meteorite"@en ; rdfs:label "LL3/4 chondrite meteorite"@en ; </v>
      </c>
      <c r="Z231" s="8" t="str">
        <f t="shared" si="77"/>
        <v xml:space="preserve"> skos:notation  "LL3/4"@en ; </v>
      </c>
      <c r="AA231" s="8" t="str">
        <f t="shared" si="69"/>
        <v>dcterms:source "https://www.lpi.usra.edu/meteor/metbullclass.php?sea=LL3/4";</v>
      </c>
      <c r="AB231" s="8" t="str">
        <f t="shared" si="70"/>
        <v xml:space="preserve">skos:broader &lt;etma:1:1:49746:0&gt;, &lt;etma:1:1:49768:2&gt; ; </v>
      </c>
      <c r="AC231" s="8" t="str">
        <f t="shared" ca="1" si="71"/>
        <v>dcterms:modified "2023-06-20T08:57";  .</v>
      </c>
      <c r="AD231" s="10" t="str">
        <f t="shared" ca="1" si="78"/>
        <v>&lt;etma:1:1:49750:3&gt;  rdf:type skos:Concept ;     dcterms:source "https://www.mindat.org/min-49750.html" ;   skos:definition "An LL chondrite that is either petrological type 3 or 4."@en ;    skos:inScheme &lt;https://mindat.org/etmat/cscheme&gt; ;    skos:prefLabel "LL3/4 chondrite meteorite"@en ; rdfs:label "LL3/4 chondrite meteorite"@en ;    skos:notation  "LL3/4"@en ;   dcterms:source "https://www.lpi.usra.edu/meteor/metbullclass.php?sea=LL3/4";  skos:broader &lt;etma:1:1:49746:0&gt;, &lt;etma:1:1:49768:2&gt; ;   dcterms:modified "2023-06-20T08:57";  .</v>
      </c>
      <c r="AE231" s="8" t="s">
        <v>2591</v>
      </c>
    </row>
    <row r="232" spans="1:31" x14ac:dyDescent="0.25">
      <c r="A232" s="8">
        <v>209</v>
      </c>
      <c r="B232" s="8" t="s">
        <v>1057</v>
      </c>
      <c r="C232" s="8">
        <v>49751</v>
      </c>
      <c r="D232" s="8" t="s">
        <v>1055</v>
      </c>
      <c r="E232" s="8" t="s">
        <v>1056</v>
      </c>
      <c r="F232" s="9">
        <v>7</v>
      </c>
      <c r="G232" s="9" t="s">
        <v>14</v>
      </c>
      <c r="H232" s="1" t="s">
        <v>1058</v>
      </c>
      <c r="I232" s="8" t="str">
        <f t="shared" si="72"/>
        <v>https://www.mindat.org/min-49751.html</v>
      </c>
      <c r="J232" s="8">
        <v>49746</v>
      </c>
      <c r="K232" s="8" t="s">
        <v>1045</v>
      </c>
      <c r="N232" s="9">
        <v>0</v>
      </c>
      <c r="O232" s="9" t="s">
        <v>2249</v>
      </c>
      <c r="R232" s="8" t="s">
        <v>1059</v>
      </c>
      <c r="S232" s="11">
        <v>43039.474537037036</v>
      </c>
      <c r="U232" s="8" t="str">
        <f t="shared" si="73"/>
        <v xml:space="preserve">&lt;etma:1:1:49751:2&gt;  rdf:type skos:Concept ;  </v>
      </c>
      <c r="V232" s="8" t="str">
        <f t="shared" si="74"/>
        <v xml:space="preserve"> dcterms:source "https://www.mindat.org/min-49751.html" ; </v>
      </c>
      <c r="W232" s="8" t="str">
        <f t="shared" si="75"/>
        <v xml:space="preserve">skos:definition "An LL chondrite that is petrologic type 3.0."@en ; </v>
      </c>
      <c r="X232" s="8" t="str">
        <f t="shared" si="79"/>
        <v xml:space="preserve"> skos:inScheme &lt;https://mindat.org/etmat/cscheme&gt; ;  </v>
      </c>
      <c r="Y232" s="8" t="str">
        <f t="shared" si="76"/>
        <v xml:space="preserve">skos:prefLabel "LL3.0 chondrite meteorite"@en ; rdfs:label "LL3.0 chondrite meteorite"@en ; </v>
      </c>
      <c r="Z232" s="8" t="str">
        <f t="shared" si="77"/>
        <v xml:space="preserve"> skos:notation  "LL3.0"@en ; </v>
      </c>
      <c r="AA232" s="8" t="str">
        <f t="shared" si="69"/>
        <v>dcterms:source "https://www.lpi.usra.edu/meteor/metbullclass.php?sea=LL3.0";</v>
      </c>
      <c r="AB232" s="8" t="str">
        <f t="shared" si="70"/>
        <v xml:space="preserve">skos:broader &lt;etma:1:1:49746:0&gt; ; </v>
      </c>
      <c r="AC232" s="8" t="str">
        <f t="shared" si="71"/>
        <v>dcterms:modified "2017-10-31T11:23";  .</v>
      </c>
      <c r="AD232" s="10" t="str">
        <f t="shared" si="78"/>
        <v>&lt;etma:1:1:49751:2&gt;  rdf:type skos:Concept ;     dcterms:source "https://www.mindat.org/min-49751.html" ;   skos:definition "An LL chondrite that is petrologic type 3.0."@en ;    skos:inScheme &lt;https://mindat.org/etmat/cscheme&gt; ;    skos:prefLabel "LL3.0 chondrite meteorite"@en ; rdfs:label "LL3.0 chondrite meteorite"@en ;    skos:notation  "LL3.0"@en ;   dcterms:source "https://www.lpi.usra.edu/meteor/metbullclass.php?sea=LL3.0";  skos:broader &lt;etma:1:1:49746:0&gt; ;   dcterms:modified "2017-10-31T11:23";  .</v>
      </c>
      <c r="AE232" s="8" t="s">
        <v>2591</v>
      </c>
    </row>
    <row r="233" spans="1:31" x14ac:dyDescent="0.25">
      <c r="A233" s="8">
        <v>210</v>
      </c>
      <c r="B233" s="8" t="s">
        <v>1062</v>
      </c>
      <c r="C233" s="8">
        <v>49752</v>
      </c>
      <c r="D233" s="8" t="s">
        <v>1060</v>
      </c>
      <c r="E233" s="8" t="s">
        <v>1061</v>
      </c>
      <c r="F233" s="9">
        <v>7</v>
      </c>
      <c r="G233" s="9" t="s">
        <v>14</v>
      </c>
      <c r="H233" s="1" t="s">
        <v>1063</v>
      </c>
      <c r="I233" s="8" t="str">
        <f t="shared" si="72"/>
        <v>https://www.mindat.org/min-49752.html</v>
      </c>
      <c r="J233" s="8">
        <v>49746</v>
      </c>
      <c r="K233" s="8" t="s">
        <v>1045</v>
      </c>
      <c r="N233" s="9">
        <v>0</v>
      </c>
      <c r="O233" s="9" t="s">
        <v>2249</v>
      </c>
      <c r="R233" s="8" t="s">
        <v>1064</v>
      </c>
      <c r="S233" s="11">
        <v>43039.690127314818</v>
      </c>
      <c r="U233" s="8" t="str">
        <f t="shared" si="73"/>
        <v xml:space="preserve">&lt;etma:1:1:49752:1&gt;  rdf:type skos:Concept ;  </v>
      </c>
      <c r="V233" s="8" t="str">
        <f t="shared" si="74"/>
        <v xml:space="preserve"> dcterms:source "https://www.mindat.org/min-49752.html" ; </v>
      </c>
      <c r="W233" s="8" t="str">
        <f t="shared" si="75"/>
        <v xml:space="preserve">skos:definition "An ordinary chondrite from the LL group that is petrologic type 3.00"@en ; </v>
      </c>
      <c r="X233" s="8" t="str">
        <f t="shared" si="79"/>
        <v xml:space="preserve"> skos:inScheme &lt;https://mindat.org/etmat/cscheme&gt; ;  </v>
      </c>
      <c r="Y233" s="8" t="str">
        <f t="shared" si="76"/>
        <v xml:space="preserve">skos:prefLabel "LL3.00 chondrite meteorite"@en ; rdfs:label "LL3.00 chondrite meteorite"@en ; </v>
      </c>
      <c r="Z233" s="8" t="str">
        <f t="shared" si="77"/>
        <v xml:space="preserve"> skos:notation  "LL3.00"@en ; </v>
      </c>
      <c r="AA233" s="8" t="str">
        <f t="shared" si="69"/>
        <v>dcterms:source "https://www.lpi.usra.edu/meteor/metbullclass.php?sea=LL3.00";</v>
      </c>
      <c r="AB233" s="8" t="str">
        <f t="shared" si="70"/>
        <v xml:space="preserve">skos:broader &lt;etma:1:1:49746:0&gt; ; </v>
      </c>
      <c r="AC233" s="8" t="str">
        <f t="shared" si="71"/>
        <v>dcterms:modified "2017-10-31T16:33";  .</v>
      </c>
      <c r="AD233" s="10" t="str">
        <f t="shared" si="78"/>
        <v>&lt;etma:1:1:49752:1&gt;  rdf:type skos:Concept ;     dcterms:source "https://www.mindat.org/min-49752.html" ;   skos:definition "An ordinary chondrite from the LL group that is petrologic type 3.00"@en ;    skos:inScheme &lt;https://mindat.org/etmat/cscheme&gt; ;    skos:prefLabel "LL3.00 chondrite meteorite"@en ; rdfs:label "LL3.00 chondrite meteorite"@en ;    skos:notation  "LL3.00"@en ;   dcterms:source "https://www.lpi.usra.edu/meteor/metbullclass.php?sea=LL3.00";  skos:broader &lt;etma:1:1:49746:0&gt; ;   dcterms:modified "2017-10-31T16:33";  .</v>
      </c>
      <c r="AE233" s="8" t="s">
        <v>2591</v>
      </c>
    </row>
    <row r="234" spans="1:31" x14ac:dyDescent="0.25">
      <c r="A234" s="8">
        <v>211</v>
      </c>
      <c r="B234" s="8" t="s">
        <v>1067</v>
      </c>
      <c r="C234" s="8">
        <v>49753</v>
      </c>
      <c r="D234" s="8" t="s">
        <v>1065</v>
      </c>
      <c r="E234" s="8" t="s">
        <v>1066</v>
      </c>
      <c r="F234" s="9">
        <v>7</v>
      </c>
      <c r="G234" s="9" t="s">
        <v>14</v>
      </c>
      <c r="H234" s="1" t="s">
        <v>1068</v>
      </c>
      <c r="I234" s="8" t="str">
        <f t="shared" si="72"/>
        <v>https://www.mindat.org/min-49753.html</v>
      </c>
      <c r="J234" s="8">
        <v>49746</v>
      </c>
      <c r="K234" s="8" t="s">
        <v>1045</v>
      </c>
      <c r="N234" s="9">
        <v>0</v>
      </c>
      <c r="O234" s="9" t="s">
        <v>2249</v>
      </c>
      <c r="R234" s="8" t="s">
        <v>1069</v>
      </c>
      <c r="S234" s="11">
        <v>43039.690752314818</v>
      </c>
      <c r="U234" s="8" t="str">
        <f t="shared" si="73"/>
        <v xml:space="preserve">&lt;etma:1:1:49753:0&gt;  rdf:type skos:Concept ;  </v>
      </c>
      <c r="V234" s="8" t="str">
        <f t="shared" si="74"/>
        <v xml:space="preserve"> dcterms:source "https://www.mindat.org/min-49753.html" ; </v>
      </c>
      <c r="W234" s="8" t="str">
        <f t="shared" si="75"/>
        <v xml:space="preserve">skos:definition "An ordinary chondrite from the LL group that is petrologic type 3.05"@en ; </v>
      </c>
      <c r="X234" s="8" t="str">
        <f t="shared" si="79"/>
        <v xml:space="preserve"> skos:inScheme &lt;https://mindat.org/etmat/cscheme&gt; ;  </v>
      </c>
      <c r="Y234" s="8" t="str">
        <f t="shared" si="76"/>
        <v xml:space="preserve">skos:prefLabel "LL3.05 chondrite meteorite"@en ; rdfs:label "LL3.05 chondrite meteorite"@en ; </v>
      </c>
      <c r="Z234" s="8" t="str">
        <f t="shared" si="77"/>
        <v xml:space="preserve"> skos:notation  "LL3.05"@en ; </v>
      </c>
      <c r="AA234" s="8" t="str">
        <f t="shared" si="69"/>
        <v>dcterms:source "https://www.lpi.usra.edu/meteor/metbullclass.php?sea=LL3.05";</v>
      </c>
      <c r="AB234" s="8" t="str">
        <f t="shared" si="70"/>
        <v xml:space="preserve">skos:broader &lt;etma:1:1:49746:0&gt; ; </v>
      </c>
      <c r="AC234" s="8" t="str">
        <f t="shared" si="71"/>
        <v>dcterms:modified "2017-10-31T16:34";  .</v>
      </c>
      <c r="AD234" s="10" t="str">
        <f t="shared" si="78"/>
        <v>&lt;etma:1:1:49753:0&gt;  rdf:type skos:Concept ;     dcterms:source "https://www.mindat.org/min-49753.html" ;   skos:definition "An ordinary chondrite from the LL group that is petrologic type 3.05"@en ;    skos:inScheme &lt;https://mindat.org/etmat/cscheme&gt; ;    skos:prefLabel "LL3.05 chondrite meteorite"@en ; rdfs:label "LL3.05 chondrite meteorite"@en ;    skos:notation  "LL3.05"@en ;   dcterms:source "https://www.lpi.usra.edu/meteor/metbullclass.php?sea=LL3.05";  skos:broader &lt;etma:1:1:49746:0&gt; ;   dcterms:modified "2017-10-31T16:34";  .</v>
      </c>
      <c r="AE234" s="8" t="s">
        <v>2591</v>
      </c>
    </row>
    <row r="235" spans="1:31" x14ac:dyDescent="0.25">
      <c r="A235" s="8">
        <v>212</v>
      </c>
      <c r="B235" s="8" t="s">
        <v>1072</v>
      </c>
      <c r="C235" s="8">
        <v>49754</v>
      </c>
      <c r="D235" s="8" t="s">
        <v>1070</v>
      </c>
      <c r="E235" s="8" t="s">
        <v>1071</v>
      </c>
      <c r="F235" s="9">
        <v>7</v>
      </c>
      <c r="G235" s="9" t="s">
        <v>14</v>
      </c>
      <c r="H235" s="1" t="s">
        <v>1073</v>
      </c>
      <c r="I235" s="8" t="str">
        <f t="shared" si="72"/>
        <v>https://www.mindat.org/min-49754.html</v>
      </c>
      <c r="J235" s="8">
        <v>49746</v>
      </c>
      <c r="K235" s="8" t="s">
        <v>1045</v>
      </c>
      <c r="N235" s="9">
        <v>0</v>
      </c>
      <c r="O235" s="9" t="s">
        <v>2249</v>
      </c>
      <c r="R235" s="8" t="s">
        <v>1074</v>
      </c>
      <c r="S235" s="11">
        <f ca="1">NOW()</f>
        <v>45097.373057291668</v>
      </c>
      <c r="U235" s="8" t="str">
        <f t="shared" si="73"/>
        <v xml:space="preserve">&lt;etma:1:1:49754:9&gt;  rdf:type skos:Concept ;  </v>
      </c>
      <c r="V235" s="8" t="str">
        <f t="shared" si="74"/>
        <v xml:space="preserve"> dcterms:source "https://www.mindat.org/min-49754.html" ; </v>
      </c>
      <c r="W235" s="8" t="str">
        <f t="shared" si="75"/>
        <v xml:space="preserve">skos:definition "An LL chondrite that is petrologic type 3.1."@en ; </v>
      </c>
      <c r="X235" s="8" t="str">
        <f t="shared" si="79"/>
        <v xml:space="preserve"> skos:inScheme &lt;https://mindat.org/etmat/cscheme&gt; ;  </v>
      </c>
      <c r="Y235" s="8" t="str">
        <f t="shared" si="76"/>
        <v xml:space="preserve">skos:prefLabel "LL3.1 chondrite meteorite"@en ; rdfs:label "LL3.1 chondrite meteorite"@en ; </v>
      </c>
      <c r="Z235" s="8" t="str">
        <f t="shared" si="77"/>
        <v xml:space="preserve"> skos:notation  "LL3.1"@en ; </v>
      </c>
      <c r="AA235" s="8" t="str">
        <f t="shared" si="69"/>
        <v>dcterms:source "https://www.lpi.usra.edu/meteor/metbullclass.php?sea=LL3.1";</v>
      </c>
      <c r="AB235" s="8" t="str">
        <f t="shared" si="70"/>
        <v xml:space="preserve">skos:broader &lt;etma:1:1:49746:0&gt; ; </v>
      </c>
      <c r="AC235" s="8" t="str">
        <f t="shared" ca="1" si="71"/>
        <v>dcterms:modified "2023-06-20T08:57";  .</v>
      </c>
      <c r="AD235" s="10" t="str">
        <f t="shared" ca="1" si="78"/>
        <v>&lt;etma:1:1:49754:9&gt;  rdf:type skos:Concept ;     dcterms:source "https://www.mindat.org/min-49754.html" ;   skos:definition "An LL chondrite that is petrologic type 3.1."@en ;    skos:inScheme &lt;https://mindat.org/etmat/cscheme&gt; ;    skos:prefLabel "LL3.1 chondrite meteorite"@en ; rdfs:label "LL3.1 chondrite meteorite"@en ;    skos:notation  "LL3.1"@en ;   dcterms:source "https://www.lpi.usra.edu/meteor/metbullclass.php?sea=LL3.1";  skos:broader &lt;etma:1:1:49746:0&gt; ;   dcterms:modified "2023-06-20T08:57";  .</v>
      </c>
      <c r="AE235" s="8" t="s">
        <v>2591</v>
      </c>
    </row>
    <row r="236" spans="1:31" x14ac:dyDescent="0.25">
      <c r="A236" s="8">
        <v>213</v>
      </c>
      <c r="B236" s="8" t="s">
        <v>1077</v>
      </c>
      <c r="C236" s="8">
        <v>49755</v>
      </c>
      <c r="D236" s="8" t="s">
        <v>1075</v>
      </c>
      <c r="E236" s="8" t="s">
        <v>1076</v>
      </c>
      <c r="F236" s="9">
        <v>7</v>
      </c>
      <c r="G236" s="9" t="s">
        <v>14</v>
      </c>
      <c r="H236" s="1" t="s">
        <v>1078</v>
      </c>
      <c r="I236" s="8" t="str">
        <f t="shared" si="72"/>
        <v>https://www.mindat.org/min-49755.html</v>
      </c>
      <c r="J236" s="8">
        <v>49746</v>
      </c>
      <c r="K236" s="8" t="s">
        <v>1045</v>
      </c>
      <c r="N236" s="9">
        <v>0</v>
      </c>
      <c r="O236" s="9" t="s">
        <v>2249</v>
      </c>
      <c r="R236" s="8" t="s">
        <v>1079</v>
      </c>
      <c r="S236" s="11">
        <v>43039.691203703704</v>
      </c>
      <c r="U236" s="8" t="str">
        <f t="shared" si="73"/>
        <v xml:space="preserve">&lt;etma:1:1:49755:8&gt;  rdf:type skos:Concept ;  </v>
      </c>
      <c r="V236" s="8" t="str">
        <f t="shared" si="74"/>
        <v xml:space="preserve"> dcterms:source "https://www.mindat.org/min-49755.html" ; </v>
      </c>
      <c r="W236" s="8" t="str">
        <f t="shared" si="75"/>
        <v xml:space="preserve">skos:definition "An ordinary chondrite from the LL group that is petrologic type 3.10"@en ; </v>
      </c>
      <c r="X236" s="8" t="str">
        <f t="shared" si="79"/>
        <v xml:space="preserve"> skos:inScheme &lt;https://mindat.org/etmat/cscheme&gt; ;  </v>
      </c>
      <c r="Y236" s="8" t="str">
        <f t="shared" si="76"/>
        <v xml:space="preserve">skos:prefLabel "LL3.10 chondrite meteorite"@en ; rdfs:label "LL3.10 chondrite meteorite"@en ; </v>
      </c>
      <c r="Z236" s="8" t="str">
        <f t="shared" si="77"/>
        <v xml:space="preserve"> skos:notation  "LL3.10"@en ; </v>
      </c>
      <c r="AA236" s="8" t="str">
        <f t="shared" si="69"/>
        <v>dcterms:source "https://www.lpi.usra.edu/meteor/metbullclass.php?sea=LL3.10";</v>
      </c>
      <c r="AB236" s="8" t="str">
        <f t="shared" si="70"/>
        <v xml:space="preserve">skos:broader &lt;etma:1:1:49746:0&gt; ; </v>
      </c>
      <c r="AC236" s="8" t="str">
        <f t="shared" si="71"/>
        <v>dcterms:modified "2017-10-31T16:35";  .</v>
      </c>
      <c r="AD236" s="10" t="str">
        <f t="shared" si="78"/>
        <v>&lt;etma:1:1:49755:8&gt;  rdf:type skos:Concept ;     dcterms:source "https://www.mindat.org/min-49755.html" ;   skos:definition "An ordinary chondrite from the LL group that is petrologic type 3.10"@en ;    skos:inScheme &lt;https://mindat.org/etmat/cscheme&gt; ;    skos:prefLabel "LL3.10 chondrite meteorite"@en ; rdfs:label "LL3.10 chondrite meteorite"@en ;    skos:notation  "LL3.10"@en ;   dcterms:source "https://www.lpi.usra.edu/meteor/metbullclass.php?sea=LL3.10";  skos:broader &lt;etma:1:1:49746:0&gt; ;   dcterms:modified "2017-10-31T16:35";  .</v>
      </c>
      <c r="AE236" s="8" t="s">
        <v>2591</v>
      </c>
    </row>
    <row r="237" spans="1:31" x14ac:dyDescent="0.25">
      <c r="A237" s="8">
        <v>214</v>
      </c>
      <c r="B237" s="8" t="s">
        <v>1082</v>
      </c>
      <c r="C237" s="8">
        <v>49756</v>
      </c>
      <c r="D237" s="8" t="s">
        <v>1080</v>
      </c>
      <c r="E237" s="8" t="s">
        <v>1081</v>
      </c>
      <c r="F237" s="9">
        <v>7</v>
      </c>
      <c r="G237" s="9" t="s">
        <v>14</v>
      </c>
      <c r="H237" s="1" t="s">
        <v>1083</v>
      </c>
      <c r="I237" s="8" t="str">
        <f t="shared" si="72"/>
        <v>https://www.mindat.org/min-49756.html</v>
      </c>
      <c r="J237" s="8">
        <v>49754</v>
      </c>
      <c r="K237" s="8" t="s">
        <v>1070</v>
      </c>
      <c r="N237" s="9">
        <v>0</v>
      </c>
      <c r="O237" s="9" t="s">
        <v>2249</v>
      </c>
      <c r="R237" s="8" t="s">
        <v>1084</v>
      </c>
      <c r="S237" s="11">
        <v>43039.688472222224</v>
      </c>
      <c r="U237" s="8" t="str">
        <f t="shared" si="73"/>
        <v xml:space="preserve">&lt;etma:1:1:49756:7&gt;  rdf:type skos:Concept ;  </v>
      </c>
      <c r="V237" s="8" t="str">
        <f t="shared" si="74"/>
        <v xml:space="preserve"> dcterms:source "https://www.mindat.org/min-49756.html" ; </v>
      </c>
      <c r="W237" s="8" t="str">
        <f t="shared" si="75"/>
        <v xml:space="preserve">skos:definition "An ordinary chondrite from the LL group that is of petrologic type 3.15"@en ; </v>
      </c>
      <c r="X237" s="8" t="str">
        <f t="shared" si="79"/>
        <v xml:space="preserve"> skos:inScheme &lt;https://mindat.org/etmat/cscheme&gt; ;  </v>
      </c>
      <c r="Y237" s="8" t="str">
        <f t="shared" si="76"/>
        <v xml:space="preserve">skos:prefLabel "LL3.15 chondrite meteorite"@en ; rdfs:label "LL3.15 chondrite meteorite"@en ; </v>
      </c>
      <c r="Z237" s="8" t="str">
        <f t="shared" si="77"/>
        <v xml:space="preserve"> skos:notation  "LL3.15"@en ; </v>
      </c>
      <c r="AA237" s="8" t="str">
        <f t="shared" si="69"/>
        <v>dcterms:source "https://www.lpi.usra.edu/meteor/metbullclass.php?sea=LL3.15";</v>
      </c>
      <c r="AB237" s="8" t="str">
        <f t="shared" si="70"/>
        <v xml:space="preserve">skos:broader &lt;etma:1:1:49754:9&gt; ; </v>
      </c>
      <c r="AC237" s="8" t="str">
        <f t="shared" si="71"/>
        <v>dcterms:modified "2017-10-31T16:31";  .</v>
      </c>
      <c r="AD237" s="10" t="str">
        <f t="shared" si="78"/>
        <v>&lt;etma:1:1:49756:7&gt;  rdf:type skos:Concept ;     dcterms:source "https://www.mindat.org/min-49756.html" ;   skos:definition "An ordinary chondrite from the LL group that is of petrologic type 3.15"@en ;    skos:inScheme &lt;https://mindat.org/etmat/cscheme&gt; ;    skos:prefLabel "LL3.15 chondrite meteorite"@en ; rdfs:label "LL3.15 chondrite meteorite"@en ;    skos:notation  "LL3.15"@en ;   dcterms:source "https://www.lpi.usra.edu/meteor/metbullclass.php?sea=LL3.15";  skos:broader &lt;etma:1:1:49754:9&gt; ;   dcterms:modified "2017-10-31T16:31";  .</v>
      </c>
      <c r="AE237" s="8" t="s">
        <v>2591</v>
      </c>
    </row>
    <row r="238" spans="1:31" x14ac:dyDescent="0.25">
      <c r="A238" s="8">
        <v>215</v>
      </c>
      <c r="B238" s="8" t="s">
        <v>1087</v>
      </c>
      <c r="C238" s="8">
        <v>49757</v>
      </c>
      <c r="D238" s="8" t="s">
        <v>1085</v>
      </c>
      <c r="E238" s="8" t="s">
        <v>1086</v>
      </c>
      <c r="F238" s="9">
        <v>7</v>
      </c>
      <c r="G238" s="9" t="s">
        <v>14</v>
      </c>
      <c r="H238" s="1" t="s">
        <v>1088</v>
      </c>
      <c r="I238" s="8" t="str">
        <f t="shared" si="72"/>
        <v>https://www.mindat.org/min-49757.html</v>
      </c>
      <c r="J238" s="8">
        <v>49746</v>
      </c>
      <c r="K238" s="8" t="s">
        <v>1045</v>
      </c>
      <c r="N238" s="9">
        <v>0</v>
      </c>
      <c r="O238" s="9" t="s">
        <v>2249</v>
      </c>
      <c r="R238" s="8" t="s">
        <v>1089</v>
      </c>
      <c r="S238" s="11">
        <f t="shared" ref="S238:S258" ca="1" si="80">NOW()</f>
        <v>45097.373057291668</v>
      </c>
      <c r="U238" s="8" t="str">
        <f t="shared" si="73"/>
        <v xml:space="preserve">&lt;etma:1:1:49757:6&gt;  rdf:type skos:Concept ;  </v>
      </c>
      <c r="V238" s="8" t="str">
        <f t="shared" si="74"/>
        <v xml:space="preserve"> dcterms:source "https://www.mindat.org/min-49757.html" ; </v>
      </c>
      <c r="W238" s="8" t="str">
        <f t="shared" si="75"/>
        <v xml:space="preserve">skos:definition "An LL chondrite that is petrologic type 3.2."@en ; </v>
      </c>
      <c r="X238" s="8" t="str">
        <f t="shared" si="79"/>
        <v xml:space="preserve"> skos:inScheme &lt;https://mindat.org/etmat/cscheme&gt; ;  </v>
      </c>
      <c r="Y238" s="8" t="str">
        <f t="shared" si="76"/>
        <v xml:space="preserve">skos:prefLabel "LL3.2 chondrite meteorite"@en ; rdfs:label "LL3.2 chondrite meteorite"@en ; </v>
      </c>
      <c r="Z238" s="8" t="str">
        <f t="shared" si="77"/>
        <v xml:space="preserve"> skos:notation  "LL3.2"@en ; </v>
      </c>
      <c r="AA238" s="8" t="str">
        <f t="shared" si="69"/>
        <v>dcterms:source "https://www.lpi.usra.edu/meteor/metbullclass.php?sea=LL3.2";</v>
      </c>
      <c r="AB238" s="8" t="str">
        <f t="shared" si="70"/>
        <v xml:space="preserve">skos:broader &lt;etma:1:1:49746:0&gt; ; </v>
      </c>
      <c r="AC238" s="8" t="str">
        <f t="shared" ca="1" si="71"/>
        <v>dcterms:modified "2023-06-20T08:57";  .</v>
      </c>
      <c r="AD238" s="10" t="str">
        <f t="shared" ca="1" si="78"/>
        <v>&lt;etma:1:1:49757:6&gt;  rdf:type skos:Concept ;     dcterms:source "https://www.mindat.org/min-49757.html" ;   skos:definition "An LL chondrite that is petrologic type 3.2."@en ;    skos:inScheme &lt;https://mindat.org/etmat/cscheme&gt; ;    skos:prefLabel "LL3.2 chondrite meteorite"@en ; rdfs:label "LL3.2 chondrite meteorite"@en ;    skos:notation  "LL3.2"@en ;   dcterms:source "https://www.lpi.usra.edu/meteor/metbullclass.php?sea=LL3.2";  skos:broader &lt;etma:1:1:49746:0&gt; ;   dcterms:modified "2023-06-20T08:57";  .</v>
      </c>
      <c r="AE238" s="8" t="s">
        <v>2591</v>
      </c>
    </row>
    <row r="239" spans="1:31" x14ac:dyDescent="0.25">
      <c r="A239" s="8">
        <v>216</v>
      </c>
      <c r="B239" s="8" t="s">
        <v>1092</v>
      </c>
      <c r="C239" s="8">
        <v>49758</v>
      </c>
      <c r="D239" s="8" t="s">
        <v>1090</v>
      </c>
      <c r="E239" s="8" t="s">
        <v>1091</v>
      </c>
      <c r="F239" s="9">
        <v>7</v>
      </c>
      <c r="G239" s="9" t="s">
        <v>14</v>
      </c>
      <c r="H239" s="1" t="s">
        <v>1093</v>
      </c>
      <c r="I239" s="8" t="str">
        <f t="shared" si="72"/>
        <v>https://www.mindat.org/min-49758.html</v>
      </c>
      <c r="J239" s="8">
        <v>49746</v>
      </c>
      <c r="K239" s="8" t="s">
        <v>1045</v>
      </c>
      <c r="N239" s="9">
        <v>0</v>
      </c>
      <c r="O239" s="9" t="s">
        <v>2249</v>
      </c>
      <c r="R239" s="8" t="s">
        <v>1094</v>
      </c>
      <c r="S239" s="11">
        <f t="shared" ca="1" si="80"/>
        <v>45097.373057291668</v>
      </c>
      <c r="U239" s="8" t="str">
        <f t="shared" si="73"/>
        <v xml:space="preserve">&lt;etma:1:1:49758:5&gt;  rdf:type skos:Concept ;  </v>
      </c>
      <c r="V239" s="8" t="str">
        <f t="shared" si="74"/>
        <v xml:space="preserve"> dcterms:source "https://www.mindat.org/min-49758.html" ; </v>
      </c>
      <c r="W239" s="8" t="str">
        <f t="shared" si="75"/>
        <v xml:space="preserve">skos:definition "An LL chondrite that is petrologic type 3.3."@en ; </v>
      </c>
      <c r="X239" s="8" t="str">
        <f t="shared" si="79"/>
        <v xml:space="preserve"> skos:inScheme &lt;https://mindat.org/etmat/cscheme&gt; ;  </v>
      </c>
      <c r="Y239" s="8" t="str">
        <f t="shared" si="76"/>
        <v xml:space="preserve">skos:prefLabel "LL3.3 chondrite meteorite"@en ; rdfs:label "LL3.3 chondrite meteorite"@en ; </v>
      </c>
      <c r="Z239" s="8" t="str">
        <f t="shared" si="77"/>
        <v xml:space="preserve"> skos:notation  "LL3.3"@en ; </v>
      </c>
      <c r="AA239" s="8" t="str">
        <f t="shared" si="69"/>
        <v>dcterms:source "https://www.lpi.usra.edu/meteor/metbullclass.php?sea=LL3.3";</v>
      </c>
      <c r="AB239" s="8" t="str">
        <f t="shared" si="70"/>
        <v xml:space="preserve">skos:broader &lt;etma:1:1:49746:0&gt; ; </v>
      </c>
      <c r="AC239" s="8" t="str">
        <f t="shared" ca="1" si="71"/>
        <v>dcterms:modified "2023-06-20T08:57";  .</v>
      </c>
      <c r="AD239" s="10" t="str">
        <f t="shared" ca="1" si="78"/>
        <v>&lt;etma:1:1:49758:5&gt;  rdf:type skos:Concept ;     dcterms:source "https://www.mindat.org/min-49758.html" ;   skos:definition "An LL chondrite that is petrologic type 3.3."@en ;    skos:inScheme &lt;https://mindat.org/etmat/cscheme&gt; ;    skos:prefLabel "LL3.3 chondrite meteorite"@en ; rdfs:label "LL3.3 chondrite meteorite"@en ;    skos:notation  "LL3.3"@en ;   dcterms:source "https://www.lpi.usra.edu/meteor/metbullclass.php?sea=LL3.3";  skos:broader &lt;etma:1:1:49746:0&gt; ;   dcterms:modified "2023-06-20T08:57";  .</v>
      </c>
      <c r="AE239" s="8" t="s">
        <v>2591</v>
      </c>
    </row>
    <row r="240" spans="1:31" x14ac:dyDescent="0.25">
      <c r="A240" s="8">
        <v>217</v>
      </c>
      <c r="B240" s="8" t="s">
        <v>1097</v>
      </c>
      <c r="C240" s="8">
        <v>49760</v>
      </c>
      <c r="D240" s="8" t="s">
        <v>1095</v>
      </c>
      <c r="E240" s="8" t="s">
        <v>1096</v>
      </c>
      <c r="F240" s="9">
        <v>7</v>
      </c>
      <c r="G240" s="9" t="s">
        <v>14</v>
      </c>
      <c r="H240" s="1" t="s">
        <v>1098</v>
      </c>
      <c r="I240" s="8" t="str">
        <f t="shared" si="72"/>
        <v>https://www.mindat.org/min-49760.html</v>
      </c>
      <c r="J240" s="8">
        <v>49746</v>
      </c>
      <c r="K240" s="8" t="s">
        <v>1045</v>
      </c>
      <c r="N240" s="9">
        <v>0</v>
      </c>
      <c r="O240" s="9" t="s">
        <v>2249</v>
      </c>
      <c r="R240" s="8" t="s">
        <v>1099</v>
      </c>
      <c r="S240" s="11">
        <f t="shared" ca="1" si="80"/>
        <v>45097.373057291668</v>
      </c>
      <c r="U240" s="8" t="str">
        <f t="shared" si="73"/>
        <v xml:space="preserve">&lt;etma:1:1:49760:0&gt;  rdf:type skos:Concept ;  </v>
      </c>
      <c r="V240" s="8" t="str">
        <f t="shared" si="74"/>
        <v xml:space="preserve"> dcterms:source "https://www.mindat.org/min-49760.html" ; </v>
      </c>
      <c r="W240" s="8" t="str">
        <f t="shared" si="75"/>
        <v xml:space="preserve">skos:definition "An LL chondrite that is petrologic type 3.5."@en ; </v>
      </c>
      <c r="X240" s="8" t="str">
        <f t="shared" si="79"/>
        <v xml:space="preserve"> skos:inScheme &lt;https://mindat.org/etmat/cscheme&gt; ;  </v>
      </c>
      <c r="Y240" s="8" t="str">
        <f t="shared" si="76"/>
        <v xml:space="preserve">skos:prefLabel "LL3.5 chondrite meteorite"@en ; rdfs:label "LL3.5 chondrite meteorite"@en ; </v>
      </c>
      <c r="Z240" s="8" t="str">
        <f t="shared" si="77"/>
        <v xml:space="preserve"> skos:notation  "LL3.5"@en ; </v>
      </c>
      <c r="AA240" s="8" t="str">
        <f t="shared" si="69"/>
        <v>dcterms:source "https://www.lpi.usra.edu/meteor/metbullclass.php?sea=LL3.5";</v>
      </c>
      <c r="AB240" s="8" t="str">
        <f t="shared" si="70"/>
        <v xml:space="preserve">skos:broader &lt;etma:1:1:49746:0&gt; ; </v>
      </c>
      <c r="AC240" s="8" t="str">
        <f t="shared" ca="1" si="71"/>
        <v>dcterms:modified "2023-06-20T08:57";  .</v>
      </c>
      <c r="AD240" s="10" t="str">
        <f t="shared" ca="1" si="78"/>
        <v>&lt;etma:1:1:49760:0&gt;  rdf:type skos:Concept ;     dcterms:source "https://www.mindat.org/min-49760.html" ;   skos:definition "An LL chondrite that is petrologic type 3.5."@en ;    skos:inScheme &lt;https://mindat.org/etmat/cscheme&gt; ;    skos:prefLabel "LL3.5 chondrite meteorite"@en ; rdfs:label "LL3.5 chondrite meteorite"@en ;    skos:notation  "LL3.5"@en ;   dcterms:source "https://www.lpi.usra.edu/meteor/metbullclass.php?sea=LL3.5";  skos:broader &lt;etma:1:1:49746:0&gt; ;   dcterms:modified "2023-06-20T08:57";  .</v>
      </c>
      <c r="AE240" s="8" t="s">
        <v>2591</v>
      </c>
    </row>
    <row r="241" spans="1:31" x14ac:dyDescent="0.25">
      <c r="A241" s="8">
        <v>218</v>
      </c>
      <c r="B241" s="8" t="s">
        <v>1102</v>
      </c>
      <c r="C241" s="8">
        <v>49761</v>
      </c>
      <c r="D241" s="8" t="s">
        <v>1100</v>
      </c>
      <c r="E241" s="8" t="s">
        <v>1101</v>
      </c>
      <c r="F241" s="9">
        <v>7</v>
      </c>
      <c r="G241" s="9" t="s">
        <v>14</v>
      </c>
      <c r="H241" s="1" t="s">
        <v>1103</v>
      </c>
      <c r="I241" s="8" t="str">
        <f t="shared" si="72"/>
        <v>https://www.mindat.org/min-49761.html</v>
      </c>
      <c r="J241" s="8">
        <v>49746</v>
      </c>
      <c r="K241" s="8" t="s">
        <v>1045</v>
      </c>
      <c r="N241" s="9">
        <v>0</v>
      </c>
      <c r="O241" s="9" t="s">
        <v>2249</v>
      </c>
      <c r="R241" s="8" t="s">
        <v>1104</v>
      </c>
      <c r="S241" s="11">
        <f t="shared" ca="1" si="80"/>
        <v>45097.373057291668</v>
      </c>
      <c r="U241" s="8" t="str">
        <f t="shared" si="73"/>
        <v xml:space="preserve">&lt;etma:1:1:49761:9&gt;  rdf:type skos:Concept ;  </v>
      </c>
      <c r="V241" s="8" t="str">
        <f t="shared" si="74"/>
        <v xml:space="preserve"> dcterms:source "https://www.mindat.org/min-49761.html" ; </v>
      </c>
      <c r="W241" s="8" t="str">
        <f t="shared" si="75"/>
        <v xml:space="preserve">skos:definition "An LL chondrite that is petrologic type 3.6."@en ; </v>
      </c>
      <c r="X241" s="8" t="str">
        <f t="shared" si="79"/>
        <v xml:space="preserve"> skos:inScheme &lt;https://mindat.org/etmat/cscheme&gt; ;  </v>
      </c>
      <c r="Y241" s="8" t="str">
        <f t="shared" si="76"/>
        <v xml:space="preserve">skos:prefLabel "LL3.6 chondrite meteorite"@en ; rdfs:label "LL3.6 chondrite meteorite"@en ; </v>
      </c>
      <c r="Z241" s="8" t="str">
        <f t="shared" si="77"/>
        <v xml:space="preserve"> skos:notation  "LL3.6"@en ; </v>
      </c>
      <c r="AA241" s="8" t="str">
        <f t="shared" si="69"/>
        <v>dcterms:source "https://www.lpi.usra.edu/meteor/metbullclass.php?sea=LL3.6";</v>
      </c>
      <c r="AB241" s="8" t="str">
        <f t="shared" si="70"/>
        <v xml:space="preserve">skos:broader &lt;etma:1:1:49746:0&gt; ; </v>
      </c>
      <c r="AC241" s="8" t="str">
        <f t="shared" ca="1" si="71"/>
        <v>dcterms:modified "2023-06-20T08:57";  .</v>
      </c>
      <c r="AD241" s="10" t="str">
        <f t="shared" ca="1" si="78"/>
        <v>&lt;etma:1:1:49761:9&gt;  rdf:type skos:Concept ;     dcterms:source "https://www.mindat.org/min-49761.html" ;   skos:definition "An LL chondrite that is petrologic type 3.6."@en ;    skos:inScheme &lt;https://mindat.org/etmat/cscheme&gt; ;    skos:prefLabel "LL3.6 chondrite meteorite"@en ; rdfs:label "LL3.6 chondrite meteorite"@en ;    skos:notation  "LL3.6"@en ;   dcterms:source "https://www.lpi.usra.edu/meteor/metbullclass.php?sea=LL3.6";  skos:broader &lt;etma:1:1:49746:0&gt; ;   dcterms:modified "2023-06-20T08:57";  .</v>
      </c>
      <c r="AE241" s="8" t="s">
        <v>2591</v>
      </c>
    </row>
    <row r="242" spans="1:31" x14ac:dyDescent="0.25">
      <c r="A242" s="8">
        <v>219</v>
      </c>
      <c r="B242" s="8" t="s">
        <v>1107</v>
      </c>
      <c r="C242" s="8">
        <v>49762</v>
      </c>
      <c r="D242" s="8" t="s">
        <v>1105</v>
      </c>
      <c r="E242" s="8" t="s">
        <v>1106</v>
      </c>
      <c r="F242" s="9">
        <v>7</v>
      </c>
      <c r="G242" s="9" t="s">
        <v>14</v>
      </c>
      <c r="H242" s="1" t="s">
        <v>1108</v>
      </c>
      <c r="I242" s="8" t="str">
        <f t="shared" si="72"/>
        <v>https://www.mindat.org/min-49762.html</v>
      </c>
      <c r="J242" s="8">
        <v>49761</v>
      </c>
      <c r="K242" s="8" t="s">
        <v>1100</v>
      </c>
      <c r="L242" s="9">
        <v>49763</v>
      </c>
      <c r="M242" s="8" t="s">
        <v>1110</v>
      </c>
      <c r="N242" s="9">
        <v>0</v>
      </c>
      <c r="O242" s="9" t="s">
        <v>2249</v>
      </c>
      <c r="R242" s="8" t="s">
        <v>1109</v>
      </c>
      <c r="S242" s="11">
        <f t="shared" ca="1" si="80"/>
        <v>45097.373057291668</v>
      </c>
      <c r="U242" s="8" t="str">
        <f t="shared" si="73"/>
        <v xml:space="preserve">&lt;etma:1:1:49762:8&gt;  rdf:type skos:Concept ;  </v>
      </c>
      <c r="V242" s="8" t="str">
        <f t="shared" si="74"/>
        <v xml:space="preserve"> dcterms:source "https://www.mindat.org/min-49762.html" ; </v>
      </c>
      <c r="W242" s="8" t="str">
        <f t="shared" si="75"/>
        <v xml:space="preserve">skos:definition "An LL chondrite that is either petrological type 3.6 or 3.7."@en ; </v>
      </c>
      <c r="X242" s="8" t="str">
        <f t="shared" si="79"/>
        <v xml:space="preserve"> skos:inScheme &lt;https://mindat.org/etmat/cscheme&gt; ;  </v>
      </c>
      <c r="Y242" s="8" t="str">
        <f t="shared" si="76"/>
        <v xml:space="preserve">skos:prefLabel "LL3.6/3.7 chondrite meteorite"@en ; rdfs:label "LL3.6/3.7 chondrite meteorite"@en ; </v>
      </c>
      <c r="Z242" s="8" t="str">
        <f t="shared" si="77"/>
        <v xml:space="preserve"> skos:notation  "LL3.6/3.7"@en ; </v>
      </c>
      <c r="AA242" s="8" t="str">
        <f t="shared" si="69"/>
        <v>dcterms:source "https://www.lpi.usra.edu/meteor/metbullclass.php?sea=LL3.6/3.7";</v>
      </c>
      <c r="AB242" s="8" t="str">
        <f t="shared" si="70"/>
        <v xml:space="preserve">skos:broader &lt;etma:1:1:49761:9&gt;, &lt;etma:1:1:49763:7&gt; ; </v>
      </c>
      <c r="AC242" s="8" t="str">
        <f t="shared" ca="1" si="71"/>
        <v>dcterms:modified "2023-06-20T08:57";  .</v>
      </c>
      <c r="AD242" s="10" t="str">
        <f t="shared" ca="1" si="78"/>
        <v>&lt;etma:1:1:49762:8&gt;  rdf:type skos:Concept ;     dcterms:source "https://www.mindat.org/min-49762.html" ;   skos:definition "An LL chondrite that is either petrological type 3.6 or 3.7."@en ;    skos:inScheme &lt;https://mindat.org/etmat/cscheme&gt; ;    skos:prefLabel "LL3.6/3.7 chondrite meteorite"@en ; rdfs:label "LL3.6/3.7 chondrite meteorite"@en ;    skos:notation  "LL3.6/3.7"@en ;   dcterms:source "https://www.lpi.usra.edu/meteor/metbullclass.php?sea=LL3.6/3.7";  skos:broader &lt;etma:1:1:49761:9&gt;, &lt;etma:1:1:49763:7&gt; ;   dcterms:modified "2023-06-20T08:57";  .</v>
      </c>
      <c r="AE242" s="8" t="s">
        <v>2591</v>
      </c>
    </row>
    <row r="243" spans="1:31" x14ac:dyDescent="0.25">
      <c r="A243" s="8">
        <v>220</v>
      </c>
      <c r="B243" s="8" t="s">
        <v>1112</v>
      </c>
      <c r="C243" s="8">
        <v>49763</v>
      </c>
      <c r="D243" s="8" t="s">
        <v>1110</v>
      </c>
      <c r="E243" s="8" t="s">
        <v>1111</v>
      </c>
      <c r="F243" s="9">
        <v>7</v>
      </c>
      <c r="G243" s="9" t="s">
        <v>14</v>
      </c>
      <c r="H243" s="1" t="s">
        <v>1113</v>
      </c>
      <c r="I243" s="8" t="str">
        <f t="shared" si="72"/>
        <v>https://www.mindat.org/min-49763.html</v>
      </c>
      <c r="J243" s="8">
        <v>49746</v>
      </c>
      <c r="K243" s="8" t="s">
        <v>1045</v>
      </c>
      <c r="N243" s="9">
        <v>0</v>
      </c>
      <c r="O243" s="9" t="s">
        <v>2249</v>
      </c>
      <c r="R243" s="8" t="s">
        <v>1114</v>
      </c>
      <c r="S243" s="11">
        <f t="shared" ca="1" si="80"/>
        <v>45097.373057291668</v>
      </c>
      <c r="U243" s="8" t="str">
        <f t="shared" si="73"/>
        <v xml:space="preserve">&lt;etma:1:1:49763:7&gt;  rdf:type skos:Concept ;  </v>
      </c>
      <c r="V243" s="8" t="str">
        <f t="shared" si="74"/>
        <v xml:space="preserve"> dcterms:source "https://www.mindat.org/min-49763.html" ; </v>
      </c>
      <c r="W243" s="8" t="str">
        <f t="shared" si="75"/>
        <v xml:space="preserve">skos:definition "An LL chondrite that is petrologic type 3.7."@en ; </v>
      </c>
      <c r="X243" s="8" t="str">
        <f t="shared" si="79"/>
        <v xml:space="preserve"> skos:inScheme &lt;https://mindat.org/etmat/cscheme&gt; ;  </v>
      </c>
      <c r="Y243" s="8" t="str">
        <f t="shared" si="76"/>
        <v xml:space="preserve">skos:prefLabel "LL3.7 chondrite meteorite"@en ; rdfs:label "LL3.7 chondrite meteorite"@en ; </v>
      </c>
      <c r="Z243" s="8" t="str">
        <f t="shared" si="77"/>
        <v xml:space="preserve"> skos:notation  "LL3.7"@en ; </v>
      </c>
      <c r="AA243" s="8" t="str">
        <f t="shared" si="69"/>
        <v>dcterms:source "https://www.lpi.usra.edu/meteor/metbullclass.php?sea=LL3.7";</v>
      </c>
      <c r="AB243" s="8" t="str">
        <f t="shared" si="70"/>
        <v xml:space="preserve">skos:broader &lt;etma:1:1:49746:0&gt; ; </v>
      </c>
      <c r="AC243" s="8" t="str">
        <f t="shared" ca="1" si="71"/>
        <v>dcterms:modified "2023-06-20T08:57";  .</v>
      </c>
      <c r="AD243" s="10" t="str">
        <f t="shared" ca="1" si="78"/>
        <v>&lt;etma:1:1:49763:7&gt;  rdf:type skos:Concept ;     dcterms:source "https://www.mindat.org/min-49763.html" ;   skos:definition "An LL chondrite that is petrologic type 3.7."@en ;    skos:inScheme &lt;https://mindat.org/etmat/cscheme&gt; ;    skos:prefLabel "LL3.7 chondrite meteorite"@en ; rdfs:label "LL3.7 chondrite meteorite"@en ;    skos:notation  "LL3.7"@en ;   dcterms:source "https://www.lpi.usra.edu/meteor/metbullclass.php?sea=LL3.7";  skos:broader &lt;etma:1:1:49746:0&gt; ;   dcterms:modified "2023-06-20T08:57";  .</v>
      </c>
      <c r="AE243" s="8" t="s">
        <v>2591</v>
      </c>
    </row>
    <row r="244" spans="1:31" x14ac:dyDescent="0.25">
      <c r="A244" s="8">
        <v>221</v>
      </c>
      <c r="B244" s="8" t="s">
        <v>1117</v>
      </c>
      <c r="C244" s="8">
        <v>49764</v>
      </c>
      <c r="D244" s="8" t="s">
        <v>1115</v>
      </c>
      <c r="E244" s="8" t="s">
        <v>1116</v>
      </c>
      <c r="F244" s="9">
        <v>7</v>
      </c>
      <c r="G244" s="9" t="s">
        <v>14</v>
      </c>
      <c r="H244" s="1" t="s">
        <v>1118</v>
      </c>
      <c r="I244" s="8" t="str">
        <f t="shared" si="72"/>
        <v>https://www.mindat.org/min-49764.html</v>
      </c>
      <c r="J244" s="8">
        <v>49746</v>
      </c>
      <c r="K244" s="8" t="s">
        <v>1045</v>
      </c>
      <c r="N244" s="9">
        <v>0</v>
      </c>
      <c r="O244" s="9" t="s">
        <v>2249</v>
      </c>
      <c r="R244" s="8" t="s">
        <v>1119</v>
      </c>
      <c r="S244" s="11">
        <f t="shared" ca="1" si="80"/>
        <v>45097.373057407407</v>
      </c>
      <c r="U244" s="8" t="str">
        <f t="shared" si="73"/>
        <v xml:space="preserve">&lt;etma:1:1:49764:6&gt;  rdf:type skos:Concept ;  </v>
      </c>
      <c r="V244" s="8" t="str">
        <f t="shared" si="74"/>
        <v xml:space="preserve"> dcterms:source "https://www.mindat.org/min-49764.html" ; </v>
      </c>
      <c r="W244" s="8" t="str">
        <f t="shared" si="75"/>
        <v xml:space="preserve">skos:definition "An LL chondrite that is petrologic type 3.8."@en ; </v>
      </c>
      <c r="X244" s="8" t="str">
        <f t="shared" si="79"/>
        <v xml:space="preserve"> skos:inScheme &lt;https://mindat.org/etmat/cscheme&gt; ;  </v>
      </c>
      <c r="Y244" s="8" t="str">
        <f t="shared" si="76"/>
        <v xml:space="preserve">skos:prefLabel "LL3.8 chondrite meteorite"@en ; rdfs:label "LL3.8 chondrite meteorite"@en ; </v>
      </c>
      <c r="Z244" s="8" t="str">
        <f t="shared" si="77"/>
        <v xml:space="preserve"> skos:notation  "LL3.8"@en ; </v>
      </c>
      <c r="AA244" s="8" t="str">
        <f t="shared" si="69"/>
        <v>dcterms:source "https://www.lpi.usra.edu/meteor/metbullclass.php?sea=LL3.8";</v>
      </c>
      <c r="AB244" s="8" t="str">
        <f t="shared" si="70"/>
        <v xml:space="preserve">skos:broader &lt;etma:1:1:49746:0&gt; ; </v>
      </c>
      <c r="AC244" s="8" t="str">
        <f t="shared" ca="1" si="71"/>
        <v>dcterms:modified "2023-06-20T08:57";  .</v>
      </c>
      <c r="AD244" s="10" t="str">
        <f t="shared" ca="1" si="78"/>
        <v>&lt;etma:1:1:49764:6&gt;  rdf:type skos:Concept ;     dcterms:source "https://www.mindat.org/min-49764.html" ;   skos:definition "An LL chondrite that is petrologic type 3.8."@en ;    skos:inScheme &lt;https://mindat.org/etmat/cscheme&gt; ;    skos:prefLabel "LL3.8 chondrite meteorite"@en ; rdfs:label "LL3.8 chondrite meteorite"@en ;    skos:notation  "LL3.8"@en ;   dcterms:source "https://www.lpi.usra.edu/meteor/metbullclass.php?sea=LL3.8";  skos:broader &lt;etma:1:1:49746:0&gt; ;   dcterms:modified "2023-06-20T08:57";  .</v>
      </c>
      <c r="AE244" s="8" t="s">
        <v>2591</v>
      </c>
    </row>
    <row r="245" spans="1:31" x14ac:dyDescent="0.25">
      <c r="A245" s="8">
        <v>222</v>
      </c>
      <c r="B245" s="8" t="s">
        <v>1122</v>
      </c>
      <c r="C245" s="8">
        <v>49765</v>
      </c>
      <c r="D245" s="8" t="s">
        <v>1120</v>
      </c>
      <c r="E245" s="8" t="s">
        <v>1121</v>
      </c>
      <c r="F245" s="9">
        <v>7</v>
      </c>
      <c r="G245" s="9" t="s">
        <v>14</v>
      </c>
      <c r="H245" s="1" t="s">
        <v>1123</v>
      </c>
      <c r="I245" s="8" t="str">
        <f t="shared" si="72"/>
        <v>https://www.mindat.org/min-49765.html</v>
      </c>
      <c r="J245" s="8">
        <v>49746</v>
      </c>
      <c r="K245" s="8" t="s">
        <v>1045</v>
      </c>
      <c r="N245" s="9">
        <v>0</v>
      </c>
      <c r="O245" s="9" t="s">
        <v>2249</v>
      </c>
      <c r="R245" s="8" t="s">
        <v>1124</v>
      </c>
      <c r="S245" s="11">
        <f t="shared" ca="1" si="80"/>
        <v>45097.373057291668</v>
      </c>
      <c r="U245" s="8" t="str">
        <f t="shared" si="73"/>
        <v xml:space="preserve">&lt;etma:1:1:49765:5&gt;  rdf:type skos:Concept ;  </v>
      </c>
      <c r="V245" s="8" t="str">
        <f t="shared" si="74"/>
        <v xml:space="preserve"> dcterms:source "https://www.mindat.org/min-49765.html" ; </v>
      </c>
      <c r="W245" s="8" t="str">
        <f t="shared" si="75"/>
        <v xml:space="preserve">skos:definition "An LL chondrite that is petrologic type 3.9."@en ; </v>
      </c>
      <c r="X245" s="8" t="str">
        <f t="shared" si="79"/>
        <v xml:space="preserve"> skos:inScheme &lt;https://mindat.org/etmat/cscheme&gt; ;  </v>
      </c>
      <c r="Y245" s="8" t="str">
        <f t="shared" si="76"/>
        <v xml:space="preserve">skos:prefLabel "LL3.9 chondrite meteorite"@en ; rdfs:label "LL3.9 chondrite meteorite"@en ; </v>
      </c>
      <c r="Z245" s="8" t="str">
        <f t="shared" si="77"/>
        <v xml:space="preserve"> skos:notation  "LL3.9"@en ; </v>
      </c>
      <c r="AA245" s="8" t="str">
        <f t="shared" si="69"/>
        <v>dcterms:source "https://www.lpi.usra.edu/meteor/metbullclass.php?sea=LL3.9";</v>
      </c>
      <c r="AB245" s="8" t="str">
        <f t="shared" si="70"/>
        <v xml:space="preserve">skos:broader &lt;etma:1:1:49746:0&gt; ; </v>
      </c>
      <c r="AC245" s="8" t="str">
        <f t="shared" ca="1" si="71"/>
        <v>dcterms:modified "2023-06-20T08:57";  .</v>
      </c>
      <c r="AD245" s="10" t="str">
        <f t="shared" ca="1" si="78"/>
        <v>&lt;etma:1:1:49765:5&gt;  rdf:type skos:Concept ;     dcterms:source "https://www.mindat.org/min-49765.html" ;   skos:definition "An LL chondrite that is petrologic type 3.9."@en ;    skos:inScheme &lt;https://mindat.org/etmat/cscheme&gt; ;    skos:prefLabel "LL3.9 chondrite meteorite"@en ; rdfs:label "LL3.9 chondrite meteorite"@en ;    skos:notation  "LL3.9"@en ;   dcterms:source "https://www.lpi.usra.edu/meteor/metbullclass.php?sea=LL3.9";  skos:broader &lt;etma:1:1:49746:0&gt; ;   dcterms:modified "2023-06-20T08:57";  .</v>
      </c>
      <c r="AE245" s="8" t="s">
        <v>2591</v>
      </c>
    </row>
    <row r="246" spans="1:31" x14ac:dyDescent="0.25">
      <c r="A246" s="8">
        <v>223</v>
      </c>
      <c r="B246" s="8" t="s">
        <v>1127</v>
      </c>
      <c r="C246" s="8">
        <v>49767</v>
      </c>
      <c r="D246" s="8" t="s">
        <v>1125</v>
      </c>
      <c r="E246" s="8" t="s">
        <v>1126</v>
      </c>
      <c r="F246" s="9">
        <v>7</v>
      </c>
      <c r="G246" s="9" t="s">
        <v>14</v>
      </c>
      <c r="H246" s="1" t="s">
        <v>1128</v>
      </c>
      <c r="I246" s="8" t="str">
        <f t="shared" si="72"/>
        <v>https://www.mindat.org/min-49767.html</v>
      </c>
      <c r="J246" s="8">
        <v>49746</v>
      </c>
      <c r="K246" s="8" t="s">
        <v>1045</v>
      </c>
      <c r="L246" s="9">
        <v>49768</v>
      </c>
      <c r="M246" s="8" t="s">
        <v>1130</v>
      </c>
      <c r="N246" s="9">
        <v>0</v>
      </c>
      <c r="O246" s="9" t="s">
        <v>2249</v>
      </c>
      <c r="R246" s="8" t="s">
        <v>1129</v>
      </c>
      <c r="S246" s="11">
        <f t="shared" ca="1" si="80"/>
        <v>45097.373057291668</v>
      </c>
      <c r="U246" s="8" t="str">
        <f t="shared" si="73"/>
        <v xml:space="preserve">&lt;etma:1:1:49767:3&gt;  rdf:type skos:Concept ;  </v>
      </c>
      <c r="V246" s="8" t="str">
        <f t="shared" si="74"/>
        <v xml:space="preserve"> dcterms:source "https://www.mindat.org/min-49767.html" ; </v>
      </c>
      <c r="W246" s="8" t="str">
        <f t="shared" si="75"/>
        <v xml:space="preserve">skos:definition "An LL chondrite that is either petrological type 3.9 or 4."@en ; </v>
      </c>
      <c r="X246" s="8" t="str">
        <f t="shared" si="79"/>
        <v xml:space="preserve"> skos:inScheme &lt;https://mindat.org/etmat/cscheme&gt; ;  </v>
      </c>
      <c r="Y246" s="8" t="str">
        <f t="shared" si="76"/>
        <v xml:space="preserve">skos:prefLabel "LL3.9/4 chondrite meteorite"@en ; rdfs:label "LL3.9/4 chondrite meteorite"@en ; </v>
      </c>
      <c r="Z246" s="8" t="str">
        <f t="shared" si="77"/>
        <v xml:space="preserve"> skos:notation  "LL3.9/4"@en ; </v>
      </c>
      <c r="AA246" s="8" t="str">
        <f t="shared" si="69"/>
        <v>dcterms:source "https://www.lpi.usra.edu/meteor/metbullclass.php?sea=LL3.9/4";</v>
      </c>
      <c r="AB246" s="8" t="str">
        <f t="shared" si="70"/>
        <v xml:space="preserve">skos:broader &lt;etma:1:1:49746:0&gt;, &lt;etma:1:1:49768:2&gt; ; </v>
      </c>
      <c r="AC246" s="8" t="str">
        <f t="shared" ca="1" si="71"/>
        <v>dcterms:modified "2023-06-20T08:57";  .</v>
      </c>
      <c r="AD246" s="10" t="str">
        <f t="shared" ca="1" si="78"/>
        <v>&lt;etma:1:1:49767:3&gt;  rdf:type skos:Concept ;     dcterms:source "https://www.mindat.org/min-49767.html" ;   skos:definition "An LL chondrite that is either petrological type 3.9 or 4."@en ;    skos:inScheme &lt;https://mindat.org/etmat/cscheme&gt; ;    skos:prefLabel "LL3.9/4 chondrite meteorite"@en ; rdfs:label "LL3.9/4 chondrite meteorite"@en ;    skos:notation  "LL3.9/4"@en ;   dcterms:source "https://www.lpi.usra.edu/meteor/metbullclass.php?sea=LL3.9/4";  skos:broader &lt;etma:1:1:49746:0&gt;, &lt;etma:1:1:49768:2&gt; ;   dcterms:modified "2023-06-20T08:57";  .</v>
      </c>
      <c r="AE246" s="8" t="s">
        <v>2591</v>
      </c>
    </row>
    <row r="247" spans="1:31" x14ac:dyDescent="0.25">
      <c r="A247" s="8">
        <v>224</v>
      </c>
      <c r="B247" s="8" t="s">
        <v>1132</v>
      </c>
      <c r="C247" s="8">
        <v>49768</v>
      </c>
      <c r="D247" s="8" t="s">
        <v>1130</v>
      </c>
      <c r="E247" s="8" t="s">
        <v>1131</v>
      </c>
      <c r="F247" s="9">
        <v>7</v>
      </c>
      <c r="G247" s="9" t="s">
        <v>14</v>
      </c>
      <c r="H247" s="1" t="s">
        <v>1133</v>
      </c>
      <c r="I247" s="8" t="str">
        <f t="shared" si="72"/>
        <v>https://www.mindat.org/min-49768.html</v>
      </c>
      <c r="J247" s="8">
        <v>49745</v>
      </c>
      <c r="K247" s="8" t="s">
        <v>1040</v>
      </c>
      <c r="L247" s="9">
        <v>49843</v>
      </c>
      <c r="M247" s="8" t="s">
        <v>2404</v>
      </c>
      <c r="N247" s="9">
        <v>1</v>
      </c>
      <c r="O247" s="9" t="s">
        <v>2249</v>
      </c>
      <c r="R247" s="8" t="s">
        <v>1134</v>
      </c>
      <c r="S247" s="11">
        <f t="shared" ca="1" si="80"/>
        <v>45097.373057291668</v>
      </c>
      <c r="U247" s="8" t="str">
        <f t="shared" si="73"/>
        <v xml:space="preserve">&lt;etma:1:1:49768:2&gt;  rdf:type skos:Concept ;  </v>
      </c>
      <c r="V247" s="8" t="str">
        <f t="shared" si="74"/>
        <v xml:space="preserve"> dcterms:source "https://www.mindat.org/min-49768.html" ; </v>
      </c>
      <c r="W247" s="8" t="str">
        <f t="shared" si="75"/>
        <v xml:space="preserve">skos:definition "An LL chondrite that is of petrologic type 4."@en ; </v>
      </c>
      <c r="X247" s="8" t="str">
        <f t="shared" si="79"/>
        <v xml:space="preserve"> skos:inScheme &lt;https://mindat.org/etmat/cscheme&gt; ;  </v>
      </c>
      <c r="Y247" s="8" t="str">
        <f t="shared" si="76"/>
        <v xml:space="preserve">skos:prefLabel "LL4 chondrite meteorite"@en ; rdfs:label "LL4 chondrite meteorite"@en ; </v>
      </c>
      <c r="Z247" s="8" t="str">
        <f t="shared" si="77"/>
        <v xml:space="preserve"> skos:notation  "LL4"@en ; </v>
      </c>
      <c r="AA247" s="8" t="str">
        <f t="shared" si="69"/>
        <v>dcterms:source "https://www.lpi.usra.edu/meteor/metbullclass.php?sea=LL4";</v>
      </c>
      <c r="AB247" s="8" t="str">
        <f t="shared" si="70"/>
        <v xml:space="preserve">skos:broader &lt;etma:1:1:49745:1&gt;, &lt;etma:1:1:49843:2&gt; ; </v>
      </c>
      <c r="AC247" s="8" t="str">
        <f t="shared" ca="1" si="71"/>
        <v>dcterms:modified "2023-06-20T08:57";  .</v>
      </c>
      <c r="AD247" s="10" t="str">
        <f t="shared" ca="1" si="78"/>
        <v>&lt;etma:1:1:49768:2&gt;  rdf:type skos:Concept ;     dcterms:source "https://www.mindat.org/min-49768.html" ;   skos:definition "An LL chondrite that is of petrologic type 4."@en ;    skos:inScheme &lt;https://mindat.org/etmat/cscheme&gt; ;    skos:prefLabel "LL4 chondrite meteorite"@en ; rdfs:label "LL4 chondrite meteorite"@en ;    skos:notation  "LL4"@en ;   dcterms:source "https://www.lpi.usra.edu/meteor/metbullclass.php?sea=LL4";  skos:broader &lt;etma:1:1:49745:1&gt;, &lt;etma:1:1:49843:2&gt; ;   dcterms:modified "2023-06-20T08:57";  .</v>
      </c>
      <c r="AE247" s="8" t="s">
        <v>2591</v>
      </c>
    </row>
    <row r="248" spans="1:31" x14ac:dyDescent="0.25">
      <c r="A248" s="8">
        <v>225</v>
      </c>
      <c r="B248" s="8" t="s">
        <v>1137</v>
      </c>
      <c r="C248" s="8">
        <v>49769</v>
      </c>
      <c r="D248" s="8" t="s">
        <v>1135</v>
      </c>
      <c r="E248" s="8" t="s">
        <v>1136</v>
      </c>
      <c r="F248" s="9">
        <v>7</v>
      </c>
      <c r="G248" s="9" t="s">
        <v>14</v>
      </c>
      <c r="H248" s="1" t="s">
        <v>1138</v>
      </c>
      <c r="I248" s="8" t="str">
        <f t="shared" si="72"/>
        <v>https://www.mindat.org/min-49769.html</v>
      </c>
      <c r="J248" s="8">
        <v>49768</v>
      </c>
      <c r="K248" s="8" t="s">
        <v>1130</v>
      </c>
      <c r="L248" s="9">
        <v>49772</v>
      </c>
      <c r="M248" s="8" t="s">
        <v>1145</v>
      </c>
      <c r="N248" s="9">
        <v>0</v>
      </c>
      <c r="O248" s="9" t="s">
        <v>2249</v>
      </c>
      <c r="R248" s="8" t="s">
        <v>1139</v>
      </c>
      <c r="S248" s="11">
        <f t="shared" ca="1" si="80"/>
        <v>45097.373057291668</v>
      </c>
      <c r="U248" s="8" t="str">
        <f t="shared" si="73"/>
        <v xml:space="preserve">&lt;etma:1:1:49769:1&gt;  rdf:type skos:Concept ;  </v>
      </c>
      <c r="V248" s="8" t="str">
        <f t="shared" si="74"/>
        <v xml:space="preserve"> dcterms:source "https://www.mindat.org/min-49769.html" ; </v>
      </c>
      <c r="W248" s="8" t="str">
        <f t="shared" si="75"/>
        <v xml:space="preserve">skos:definition "An LL chondrite that is either petrological type 4 or 5."@en ; </v>
      </c>
      <c r="X248" s="8" t="str">
        <f t="shared" si="79"/>
        <v xml:space="preserve"> skos:inScheme &lt;https://mindat.org/etmat/cscheme&gt; ;  </v>
      </c>
      <c r="Y248" s="8" t="str">
        <f t="shared" si="76"/>
        <v xml:space="preserve">skos:prefLabel "LL4/5 chondrite meteorite"@en ; rdfs:label "LL4/5 chondrite meteorite"@en ; </v>
      </c>
      <c r="Z248" s="8" t="str">
        <f t="shared" si="77"/>
        <v xml:space="preserve"> skos:notation  "LL4/5"@en ; </v>
      </c>
      <c r="AA248" s="8" t="str">
        <f t="shared" si="69"/>
        <v>dcterms:source "https://www.lpi.usra.edu/meteor/metbullclass.php?sea=LL4/5";</v>
      </c>
      <c r="AB248" s="8" t="str">
        <f t="shared" si="70"/>
        <v xml:space="preserve">skos:broader &lt;etma:1:1:49768:2&gt;, &lt;etma:1:1:49772:5&gt; ; </v>
      </c>
      <c r="AC248" s="8" t="str">
        <f t="shared" ca="1" si="71"/>
        <v>dcterms:modified "2023-06-20T08:57";  .</v>
      </c>
      <c r="AD248" s="10" t="str">
        <f t="shared" ca="1" si="78"/>
        <v>&lt;etma:1:1:49769:1&gt;  rdf:type skos:Concept ;     dcterms:source "https://www.mindat.org/min-49769.html" ;   skos:definition "An LL chondrite that is either petrological type 4 or 5."@en ;    skos:inScheme &lt;https://mindat.org/etmat/cscheme&gt; ;    skos:prefLabel "LL4/5 chondrite meteorite"@en ; rdfs:label "LL4/5 chondrite meteorite"@en ;    skos:notation  "LL4/5"@en ;   dcterms:source "https://www.lpi.usra.edu/meteor/metbullclass.php?sea=LL4/5";  skos:broader &lt;etma:1:1:49768:2&gt;, &lt;etma:1:1:49772:5&gt; ;   dcterms:modified "2023-06-20T08:57";  .</v>
      </c>
      <c r="AE248" s="8" t="s">
        <v>2591</v>
      </c>
    </row>
    <row r="249" spans="1:31" x14ac:dyDescent="0.25">
      <c r="A249" s="8">
        <v>226</v>
      </c>
      <c r="B249" s="8" t="s">
        <v>1142</v>
      </c>
      <c r="C249" s="8">
        <v>49770</v>
      </c>
      <c r="D249" s="8" t="s">
        <v>1140</v>
      </c>
      <c r="E249" s="8" t="s">
        <v>1141</v>
      </c>
      <c r="F249" s="9">
        <v>7</v>
      </c>
      <c r="G249" s="9" t="s">
        <v>14</v>
      </c>
      <c r="H249" s="1" t="s">
        <v>1143</v>
      </c>
      <c r="I249" s="8" t="str">
        <f t="shared" si="72"/>
        <v>https://www.mindat.org/min-49770.html</v>
      </c>
      <c r="J249" s="8">
        <v>49768</v>
      </c>
      <c r="K249" s="8" t="s">
        <v>1130</v>
      </c>
      <c r="N249" s="9">
        <v>0</v>
      </c>
      <c r="O249" s="9" t="s">
        <v>2249</v>
      </c>
      <c r="R249" s="8" t="s">
        <v>1144</v>
      </c>
      <c r="S249" s="11">
        <f t="shared" ca="1" si="80"/>
        <v>45097.373057291668</v>
      </c>
      <c r="U249" s="8" t="str">
        <f t="shared" si="73"/>
        <v xml:space="preserve">&lt;etma:1:1:49770:7&gt;  rdf:type skos:Concept ;  </v>
      </c>
      <c r="V249" s="8" t="str">
        <f t="shared" si="74"/>
        <v xml:space="preserve"> dcterms:source "https://www.mindat.org/min-49770.html" ; </v>
      </c>
      <c r="W249" s="8" t="str">
        <f t="shared" si="75"/>
        <v xml:space="preserve">skos:definition "An LL4 chondrite that is a breccia with melted material forming the matrix."@en ; </v>
      </c>
      <c r="X249" s="8" t="str">
        <f t="shared" si="79"/>
        <v xml:space="preserve"> skos:inScheme &lt;https://mindat.org/etmat/cscheme&gt; ;  </v>
      </c>
      <c r="Y249" s="8" t="str">
        <f t="shared" si="76"/>
        <v xml:space="preserve">skos:prefLabel "LL4-melt breccia chondrite meteorite"@en ; rdfs:label "LL4-melt breccia chondrite meteorite"@en ; </v>
      </c>
      <c r="Z249" s="8" t="str">
        <f t="shared" si="77"/>
        <v xml:space="preserve"> skos:notation  "LL4-melt breccia"@en ; </v>
      </c>
      <c r="AA249" s="8" t="str">
        <f t="shared" si="69"/>
        <v>dcterms:source "https://www.lpi.usra.edu/meteor/metbullclass.php?sea=LL4-melt%20breccia";</v>
      </c>
      <c r="AB249" s="8" t="str">
        <f t="shared" si="70"/>
        <v xml:space="preserve">skos:broader &lt;etma:1:1:49768:2&gt; ; </v>
      </c>
      <c r="AC249" s="8" t="str">
        <f t="shared" ca="1" si="71"/>
        <v>dcterms:modified "2023-06-20T08:57";  .</v>
      </c>
      <c r="AD249" s="10" t="str">
        <f t="shared" ca="1" si="78"/>
        <v>&lt;etma:1:1:49770:7&gt;  rdf:type skos:Concept ;     dcterms:source "https://www.mindat.org/min-49770.html" ;   skos:definition "An LL4 chondrite that is a breccia with melted material forming the matrix."@en ;    skos:inScheme &lt;https://mindat.org/etmat/cscheme&gt; ;    skos:prefLabel "LL4-melt breccia chondrite meteorite"@en ; rdfs:label "LL4-melt breccia chondrite meteorite"@en ;    skos:notation  "LL4-melt breccia"@en ;   dcterms:source "https://www.lpi.usra.edu/meteor/metbullclass.php?sea=LL4-melt%20breccia";  skos:broader &lt;etma:1:1:49768:2&gt; ;   dcterms:modified "2023-06-20T08:57";  .</v>
      </c>
      <c r="AE249" s="8" t="s">
        <v>2591</v>
      </c>
    </row>
    <row r="250" spans="1:31" x14ac:dyDescent="0.25">
      <c r="A250" s="8">
        <v>227</v>
      </c>
      <c r="B250" s="8" t="s">
        <v>1147</v>
      </c>
      <c r="C250" s="8">
        <v>49772</v>
      </c>
      <c r="D250" s="8" t="s">
        <v>1145</v>
      </c>
      <c r="E250" s="8" t="s">
        <v>1146</v>
      </c>
      <c r="F250" s="9">
        <v>7</v>
      </c>
      <c r="G250" s="9" t="s">
        <v>14</v>
      </c>
      <c r="H250" s="1" t="s">
        <v>1148</v>
      </c>
      <c r="I250" s="8" t="str">
        <f t="shared" si="72"/>
        <v>https://www.mindat.org/min-49772.html</v>
      </c>
      <c r="J250" s="8">
        <v>49745</v>
      </c>
      <c r="K250" s="8" t="s">
        <v>1040</v>
      </c>
      <c r="L250" s="9">
        <v>49844</v>
      </c>
      <c r="M250" s="8" t="s">
        <v>2278</v>
      </c>
      <c r="N250" s="9">
        <v>1</v>
      </c>
      <c r="O250" s="9" t="s">
        <v>2249</v>
      </c>
      <c r="R250" s="8" t="s">
        <v>1149</v>
      </c>
      <c r="S250" s="11">
        <f t="shared" ca="1" si="80"/>
        <v>45097.373057291668</v>
      </c>
      <c r="U250" s="8" t="str">
        <f t="shared" si="73"/>
        <v xml:space="preserve">&lt;etma:1:1:49772:5&gt;  rdf:type skos:Concept ;  </v>
      </c>
      <c r="V250" s="8" t="str">
        <f t="shared" si="74"/>
        <v xml:space="preserve"> dcterms:source "https://www.mindat.org/min-49772.html" ; </v>
      </c>
      <c r="W250" s="8" t="str">
        <f t="shared" si="75"/>
        <v xml:space="preserve">skos:definition "An LL chondrite that is of petrologic type 5."@en ; </v>
      </c>
      <c r="X250" s="8" t="str">
        <f t="shared" si="79"/>
        <v xml:space="preserve"> skos:inScheme &lt;https://mindat.org/etmat/cscheme&gt; ;  </v>
      </c>
      <c r="Y250" s="8" t="str">
        <f t="shared" si="76"/>
        <v xml:space="preserve">skos:prefLabel "LL5 chondrite meteorite"@en ; rdfs:label "LL5 chondrite meteorite"@en ; </v>
      </c>
      <c r="Z250" s="8" t="str">
        <f t="shared" si="77"/>
        <v xml:space="preserve"> skos:notation  "LL5"@en ; </v>
      </c>
      <c r="AA250" s="8" t="str">
        <f t="shared" si="69"/>
        <v>dcterms:source "https://www.lpi.usra.edu/meteor/metbullclass.php?sea=LL5";</v>
      </c>
      <c r="AB250" s="8" t="str">
        <f t="shared" si="70"/>
        <v xml:space="preserve">skos:broader &lt;etma:1:1:49745:1&gt;, &lt;etma:1:1:49844:1&gt; ; </v>
      </c>
      <c r="AC250" s="8" t="str">
        <f t="shared" ca="1" si="71"/>
        <v>dcterms:modified "2023-06-20T08:57";  .</v>
      </c>
      <c r="AD250" s="10" t="str">
        <f t="shared" ca="1" si="78"/>
        <v>&lt;etma:1:1:49772:5&gt;  rdf:type skos:Concept ;     dcterms:source "https://www.mindat.org/min-49772.html" ;   skos:definition "An LL chondrite that is of petrologic type 5."@en ;    skos:inScheme &lt;https://mindat.org/etmat/cscheme&gt; ;    skos:prefLabel "LL5 chondrite meteorite"@en ; rdfs:label "LL5 chondrite meteorite"@en ;    skos:notation  "LL5"@en ;   dcterms:source "https://www.lpi.usra.edu/meteor/metbullclass.php?sea=LL5";  skos:broader &lt;etma:1:1:49745:1&gt;, &lt;etma:1:1:49844:1&gt; ;   dcterms:modified "2023-06-20T08:57";  .</v>
      </c>
      <c r="AE250" s="8" t="s">
        <v>2591</v>
      </c>
    </row>
    <row r="251" spans="1:31" x14ac:dyDescent="0.25">
      <c r="A251" s="8">
        <v>228</v>
      </c>
      <c r="B251" s="8" t="s">
        <v>1152</v>
      </c>
      <c r="C251" s="8">
        <v>49773</v>
      </c>
      <c r="D251" s="8" t="s">
        <v>1150</v>
      </c>
      <c r="E251" s="8" t="s">
        <v>1151</v>
      </c>
      <c r="F251" s="9">
        <v>7</v>
      </c>
      <c r="G251" s="9" t="s">
        <v>14</v>
      </c>
      <c r="H251" s="1" t="s">
        <v>1153</v>
      </c>
      <c r="I251" s="8" t="str">
        <f t="shared" si="72"/>
        <v>https://www.mindat.org/min-49773.html</v>
      </c>
      <c r="J251" s="8">
        <v>49772</v>
      </c>
      <c r="K251" s="8" t="s">
        <v>1145</v>
      </c>
      <c r="L251" s="9">
        <v>49776</v>
      </c>
      <c r="M251" s="8" t="s">
        <v>1160</v>
      </c>
      <c r="N251" s="9">
        <v>0</v>
      </c>
      <c r="O251" s="9" t="s">
        <v>2249</v>
      </c>
      <c r="R251" s="8" t="s">
        <v>1154</v>
      </c>
      <c r="S251" s="11">
        <f t="shared" ca="1" si="80"/>
        <v>45097.373057291668</v>
      </c>
      <c r="U251" s="8" t="str">
        <f t="shared" si="73"/>
        <v xml:space="preserve">&lt;etma:1:1:49773:4&gt;  rdf:type skos:Concept ;  </v>
      </c>
      <c r="V251" s="8" t="str">
        <f t="shared" si="74"/>
        <v xml:space="preserve"> dcterms:source "https://www.mindat.org/min-49773.html" ; </v>
      </c>
      <c r="W251" s="8" t="str">
        <f t="shared" si="75"/>
        <v xml:space="preserve">skos:definition "An LL chondrite that is either petrological type 5 or 6."@en ; </v>
      </c>
      <c r="X251" s="8" t="str">
        <f t="shared" si="79"/>
        <v xml:space="preserve"> skos:inScheme &lt;https://mindat.org/etmat/cscheme&gt; ;  </v>
      </c>
      <c r="Y251" s="8" t="str">
        <f t="shared" si="76"/>
        <v xml:space="preserve">skos:prefLabel "LL5/6 chondrite meteorite"@en ; rdfs:label "LL5/6 chondrite meteorite"@en ; </v>
      </c>
      <c r="Z251" s="8" t="str">
        <f t="shared" si="77"/>
        <v xml:space="preserve"> skos:notation  "LL5/6"@en ; </v>
      </c>
      <c r="AA251" s="8" t="str">
        <f t="shared" si="69"/>
        <v>dcterms:source "https://www.lpi.usra.edu/meteor/metbullclass.php?sea=LL5/6";</v>
      </c>
      <c r="AB251" s="8" t="str">
        <f t="shared" si="70"/>
        <v xml:space="preserve">skos:broader &lt;etma:1:1:49772:5&gt;, &lt;etma:1:1:49776:1&gt; ; </v>
      </c>
      <c r="AC251" s="8" t="str">
        <f t="shared" ca="1" si="71"/>
        <v>dcterms:modified "2023-06-20T08:57";  .</v>
      </c>
      <c r="AD251" s="10" t="str">
        <f t="shared" ca="1" si="78"/>
        <v>&lt;etma:1:1:49773:4&gt;  rdf:type skos:Concept ;     dcterms:source "https://www.mindat.org/min-49773.html" ;   skos:definition "An LL chondrite that is either petrological type 5 or 6."@en ;    skos:inScheme &lt;https://mindat.org/etmat/cscheme&gt; ;    skos:prefLabel "LL5/6 chondrite meteorite"@en ; rdfs:label "LL5/6 chondrite meteorite"@en ;    skos:notation  "LL5/6"@en ;   dcterms:source "https://www.lpi.usra.edu/meteor/metbullclass.php?sea=LL5/6";  skos:broader &lt;etma:1:1:49772:5&gt;, &lt;etma:1:1:49776:1&gt; ;   dcterms:modified "2023-06-20T08:57";  .</v>
      </c>
      <c r="AE251" s="8" t="s">
        <v>2591</v>
      </c>
    </row>
    <row r="252" spans="1:31" x14ac:dyDescent="0.25">
      <c r="A252" s="8">
        <v>229</v>
      </c>
      <c r="B252" s="8" t="s">
        <v>1157</v>
      </c>
      <c r="C252" s="8">
        <v>49774</v>
      </c>
      <c r="D252" s="8" t="s">
        <v>1155</v>
      </c>
      <c r="E252" s="8" t="s">
        <v>1156</v>
      </c>
      <c r="F252" s="9">
        <v>7</v>
      </c>
      <c r="G252" s="9" t="s">
        <v>14</v>
      </c>
      <c r="H252" s="1" t="s">
        <v>1158</v>
      </c>
      <c r="I252" s="8" t="str">
        <f t="shared" si="72"/>
        <v>https://www.mindat.org/min-49774.html</v>
      </c>
      <c r="J252" s="8">
        <v>49772</v>
      </c>
      <c r="K252" s="8" t="s">
        <v>1145</v>
      </c>
      <c r="N252" s="9">
        <v>0</v>
      </c>
      <c r="O252" s="9" t="s">
        <v>2249</v>
      </c>
      <c r="R252" s="8" t="s">
        <v>1159</v>
      </c>
      <c r="S252" s="11">
        <f t="shared" ca="1" si="80"/>
        <v>45097.373057407407</v>
      </c>
      <c r="U252" s="8" t="str">
        <f t="shared" si="73"/>
        <v xml:space="preserve">&lt;etma:1:1:49774:3&gt;  rdf:type skos:Concept ;  </v>
      </c>
      <c r="V252" s="8" t="str">
        <f t="shared" si="74"/>
        <v xml:space="preserve"> dcterms:source "https://www.mindat.org/min-49774.html" ; </v>
      </c>
      <c r="W252" s="8" t="str">
        <f t="shared" si="75"/>
        <v xml:space="preserve">skos:definition "An LL5 chondrite that is a breccia with melted material forming the matrix."@en ; </v>
      </c>
      <c r="X252" s="8" t="str">
        <f t="shared" si="79"/>
        <v xml:space="preserve"> skos:inScheme &lt;https://mindat.org/etmat/cscheme&gt; ;  </v>
      </c>
      <c r="Y252" s="8" t="str">
        <f t="shared" si="76"/>
        <v xml:space="preserve">skos:prefLabel "LL5-melt breccia chondrite meteorite"@en ; rdfs:label "LL5-melt breccia chondrite meteorite"@en ; </v>
      </c>
      <c r="Z252" s="8" t="str">
        <f t="shared" si="77"/>
        <v xml:space="preserve"> skos:notation  "LL5-melt breccia"@en ; </v>
      </c>
      <c r="AA252" s="8" t="str">
        <f t="shared" si="69"/>
        <v>dcterms:source "https://www.lpi.usra.edu/meteor/metbullclass.php?sea=LL5-melt%20breccia";</v>
      </c>
      <c r="AB252" s="8" t="str">
        <f t="shared" si="70"/>
        <v xml:space="preserve">skos:broader &lt;etma:1:1:49772:5&gt; ; </v>
      </c>
      <c r="AC252" s="8" t="str">
        <f t="shared" ca="1" si="71"/>
        <v>dcterms:modified "2023-06-20T08:57";  .</v>
      </c>
      <c r="AD252" s="10" t="str">
        <f t="shared" ca="1" si="78"/>
        <v>&lt;etma:1:1:49774:3&gt;  rdf:type skos:Concept ;     dcterms:source "https://www.mindat.org/min-49774.html" ;   skos:definition "An LL5 chondrite that is a breccia with melted material forming the matrix."@en ;    skos:inScheme &lt;https://mindat.org/etmat/cscheme&gt; ;    skos:prefLabel "LL5-melt breccia chondrite meteorite"@en ; rdfs:label "LL5-melt breccia chondrite meteorite"@en ;    skos:notation  "LL5-melt breccia"@en ;   dcterms:source "https://www.lpi.usra.edu/meteor/metbullclass.php?sea=LL5-melt%20breccia";  skos:broader &lt;etma:1:1:49772:5&gt; ;   dcterms:modified "2023-06-20T08:57";  .</v>
      </c>
      <c r="AE252" s="8" t="s">
        <v>2591</v>
      </c>
    </row>
    <row r="253" spans="1:31" x14ac:dyDescent="0.25">
      <c r="A253" s="8">
        <v>230</v>
      </c>
      <c r="B253" s="8" t="s">
        <v>1162</v>
      </c>
      <c r="C253" s="8">
        <v>49776</v>
      </c>
      <c r="D253" s="8" t="s">
        <v>1160</v>
      </c>
      <c r="E253" s="8" t="s">
        <v>1161</v>
      </c>
      <c r="F253" s="9">
        <v>7</v>
      </c>
      <c r="G253" s="9" t="s">
        <v>14</v>
      </c>
      <c r="H253" s="1" t="s">
        <v>1163</v>
      </c>
      <c r="I253" s="8" t="str">
        <f t="shared" si="72"/>
        <v>https://www.mindat.org/min-49776.html</v>
      </c>
      <c r="J253" s="8">
        <v>49745</v>
      </c>
      <c r="K253" s="8" t="s">
        <v>1040</v>
      </c>
      <c r="L253" s="9">
        <v>49845</v>
      </c>
      <c r="M253" s="8" t="s">
        <v>2411</v>
      </c>
      <c r="N253" s="9">
        <v>1</v>
      </c>
      <c r="O253" s="9" t="s">
        <v>2249</v>
      </c>
      <c r="R253" s="8" t="s">
        <v>1164</v>
      </c>
      <c r="S253" s="11">
        <f t="shared" ca="1" si="80"/>
        <v>45097.373057291668</v>
      </c>
      <c r="U253" s="8" t="str">
        <f t="shared" si="73"/>
        <v xml:space="preserve">&lt;etma:1:1:49776:1&gt;  rdf:type skos:Concept ;  </v>
      </c>
      <c r="V253" s="8" t="str">
        <f t="shared" si="74"/>
        <v xml:space="preserve"> dcterms:source "https://www.mindat.org/min-49776.html" ; </v>
      </c>
      <c r="W253" s="8" t="str">
        <f t="shared" si="75"/>
        <v xml:space="preserve">skos:definition "An LL chondrite that is of petrologic type 6."@en ; </v>
      </c>
      <c r="X253" s="8" t="str">
        <f t="shared" si="79"/>
        <v xml:space="preserve"> skos:inScheme &lt;https://mindat.org/etmat/cscheme&gt; ;  </v>
      </c>
      <c r="Y253" s="8" t="str">
        <f t="shared" si="76"/>
        <v xml:space="preserve">skos:prefLabel "LL6 chondrite meteorite"@en ; rdfs:label "LL6 chondrite meteorite"@en ; </v>
      </c>
      <c r="Z253" s="8" t="str">
        <f t="shared" si="77"/>
        <v xml:space="preserve"> skos:notation  "LL6"@en ; </v>
      </c>
      <c r="AA253" s="8" t="str">
        <f t="shared" si="69"/>
        <v>dcterms:source "https://www.lpi.usra.edu/meteor/metbullclass.php?sea=LL6";</v>
      </c>
      <c r="AB253" s="8" t="str">
        <f t="shared" si="70"/>
        <v xml:space="preserve">skos:broader &lt;etma:1:1:49745:1&gt;, &lt;etma:1:1:49845:0&gt; ; </v>
      </c>
      <c r="AC253" s="8" t="str">
        <f t="shared" ca="1" si="71"/>
        <v>dcterms:modified "2023-06-20T08:57";  .</v>
      </c>
      <c r="AD253" s="10" t="str">
        <f t="shared" ca="1" si="78"/>
        <v>&lt;etma:1:1:49776:1&gt;  rdf:type skos:Concept ;     dcterms:source "https://www.mindat.org/min-49776.html" ;   skos:definition "An LL chondrite that is of petrologic type 6."@en ;    skos:inScheme &lt;https://mindat.org/etmat/cscheme&gt; ;    skos:prefLabel "LL6 chondrite meteorite"@en ; rdfs:label "LL6 chondrite meteorite"@en ;    skos:notation  "LL6"@en ;   dcterms:source "https://www.lpi.usra.edu/meteor/metbullclass.php?sea=LL6";  skos:broader &lt;etma:1:1:49745:1&gt;, &lt;etma:1:1:49845:0&gt; ;   dcterms:modified "2023-06-20T08:57";  .</v>
      </c>
      <c r="AE253" s="8" t="s">
        <v>2591</v>
      </c>
    </row>
    <row r="254" spans="1:31" x14ac:dyDescent="0.25">
      <c r="A254" s="8">
        <v>231</v>
      </c>
      <c r="B254" s="8" t="s">
        <v>1167</v>
      </c>
      <c r="C254" s="8">
        <v>49777</v>
      </c>
      <c r="D254" s="8" t="s">
        <v>1165</v>
      </c>
      <c r="E254" s="8" t="s">
        <v>1166</v>
      </c>
      <c r="F254" s="9">
        <v>7</v>
      </c>
      <c r="G254" s="9" t="s">
        <v>14</v>
      </c>
      <c r="H254" s="1" t="s">
        <v>1168</v>
      </c>
      <c r="I254" s="8" t="str">
        <f t="shared" si="72"/>
        <v>https://www.mindat.org/min-49777.html</v>
      </c>
      <c r="J254" s="8">
        <v>49745</v>
      </c>
      <c r="K254" s="8" t="s">
        <v>1040</v>
      </c>
      <c r="N254" s="9">
        <v>0</v>
      </c>
      <c r="O254" s="9" t="s">
        <v>2249</v>
      </c>
      <c r="R254" s="8" t="s">
        <v>1169</v>
      </c>
      <c r="S254" s="11">
        <f t="shared" ca="1" si="80"/>
        <v>45097.373057291668</v>
      </c>
      <c r="U254" s="8" t="str">
        <f t="shared" si="73"/>
        <v xml:space="preserve">&lt;etma:1:1:49777:0&gt;  rdf:type skos:Concept ;  </v>
      </c>
      <c r="V254" s="8" t="str">
        <f t="shared" si="74"/>
        <v xml:space="preserve"> dcterms:source "https://www.mindat.org/min-49777.html" ; </v>
      </c>
      <c r="W254" s="8" t="str">
        <f t="shared" si="75"/>
        <v xml:space="preserve">skos:definition "An LL chondrite that is of petrological type 6 and has anomalous properties."@en ; </v>
      </c>
      <c r="X254" s="8" t="str">
        <f t="shared" si="79"/>
        <v xml:space="preserve"> skos:inScheme &lt;https://mindat.org/etmat/cscheme&gt; ;  </v>
      </c>
      <c r="Y254" s="8" t="str">
        <f t="shared" si="76"/>
        <v xml:space="preserve">skos:prefLabel "LL6-an chondrite meteorite"@en ; rdfs:label "LL6-an chondrite meteorite"@en ; </v>
      </c>
      <c r="Z254" s="8" t="str">
        <f t="shared" si="77"/>
        <v xml:space="preserve"> skos:notation  "LL6-an"@en ; </v>
      </c>
      <c r="AA254" s="8" t="str">
        <f t="shared" si="69"/>
        <v>dcterms:source "https://www.lpi.usra.edu/meteor/metbullclass.php?sea=LL6-an";</v>
      </c>
      <c r="AB254" s="8" t="str">
        <f t="shared" si="70"/>
        <v xml:space="preserve">skos:broader &lt;etma:1:1:49745:1&gt; ; </v>
      </c>
      <c r="AC254" s="8" t="str">
        <f t="shared" ca="1" si="71"/>
        <v>dcterms:modified "2023-06-20T08:57";  .</v>
      </c>
      <c r="AD254" s="10" t="str">
        <f t="shared" ca="1" si="78"/>
        <v>&lt;etma:1:1:49777:0&gt;  rdf:type skos:Concept ;     dcterms:source "https://www.mindat.org/min-49777.html" ;   skos:definition "An LL chondrite that is of petrological type 6 and has anomalous properties."@en ;    skos:inScheme &lt;https://mindat.org/etmat/cscheme&gt; ;    skos:prefLabel "LL6-an chondrite meteorite"@en ; rdfs:label "LL6-an chondrite meteorite"@en ;    skos:notation  "LL6-an"@en ;   dcterms:source "https://www.lpi.usra.edu/meteor/metbullclass.php?sea=LL6-an";  skos:broader &lt;etma:1:1:49745:1&gt; ;   dcterms:modified "2023-06-20T08:57";  .</v>
      </c>
      <c r="AE254" s="8" t="s">
        <v>2591</v>
      </c>
    </row>
    <row r="255" spans="1:31" x14ac:dyDescent="0.25">
      <c r="A255" s="8">
        <v>232</v>
      </c>
      <c r="B255" s="8" t="s">
        <v>1172</v>
      </c>
      <c r="C255" s="8">
        <v>49778</v>
      </c>
      <c r="D255" s="8" t="s">
        <v>1170</v>
      </c>
      <c r="E255" s="8" t="s">
        <v>1171</v>
      </c>
      <c r="F255" s="9">
        <v>7</v>
      </c>
      <c r="G255" s="9" t="s">
        <v>14</v>
      </c>
      <c r="H255" s="1" t="s">
        <v>1173</v>
      </c>
      <c r="I255" s="8" t="str">
        <f t="shared" si="72"/>
        <v>https://www.mindat.org/min-49778.html</v>
      </c>
      <c r="J255" s="8">
        <v>49745</v>
      </c>
      <c r="K255" s="8" t="s">
        <v>1040</v>
      </c>
      <c r="N255" s="9">
        <v>0</v>
      </c>
      <c r="O255" s="9" t="s">
        <v>2249</v>
      </c>
      <c r="R255" s="8" t="s">
        <v>1174</v>
      </c>
      <c r="S255" s="11">
        <f t="shared" ca="1" si="80"/>
        <v>45097.373057291668</v>
      </c>
      <c r="U255" s="8" t="str">
        <f t="shared" si="73"/>
        <v xml:space="preserve">&lt;etma:1:1:49778:9&gt;  rdf:type skos:Concept ;  </v>
      </c>
      <c r="V255" s="8" t="str">
        <f t="shared" si="74"/>
        <v xml:space="preserve"> dcterms:source "https://www.mindat.org/min-49778.html" ; </v>
      </c>
      <c r="W255" s="8" t="str">
        <f t="shared" si="75"/>
        <v xml:space="preserve">skos:definition "An LL6 chondrite that is a breccia with melted material forming the matrix."@en ; </v>
      </c>
      <c r="X255" s="8" t="str">
        <f t="shared" si="79"/>
        <v xml:space="preserve"> skos:inScheme &lt;https://mindat.org/etmat/cscheme&gt; ;  </v>
      </c>
      <c r="Y255" s="8" t="str">
        <f t="shared" si="76"/>
        <v xml:space="preserve">skos:prefLabel "LL6-melt breccia chondrite meteorite"@en ; rdfs:label "LL6-melt breccia chondrite meteorite"@en ; </v>
      </c>
      <c r="Z255" s="8" t="str">
        <f t="shared" si="77"/>
        <v xml:space="preserve"> skos:notation  "LL6-melt breccia"@en ; </v>
      </c>
      <c r="AA255" s="8" t="str">
        <f t="shared" si="69"/>
        <v>dcterms:source "https://www.lpi.usra.edu/meteor/metbullclass.php?sea=LL6-melt%20breccia";</v>
      </c>
      <c r="AB255" s="8" t="str">
        <f t="shared" si="70"/>
        <v xml:space="preserve">skos:broader &lt;etma:1:1:49745:1&gt; ; </v>
      </c>
      <c r="AC255" s="8" t="str">
        <f t="shared" ca="1" si="71"/>
        <v>dcterms:modified "2023-06-20T08:57";  .</v>
      </c>
      <c r="AD255" s="10" t="str">
        <f t="shared" ca="1" si="78"/>
        <v>&lt;etma:1:1:49778:9&gt;  rdf:type skos:Concept ;     dcterms:source "https://www.mindat.org/min-49778.html" ;   skos:definition "An LL6 chondrite that is a breccia with melted material forming the matrix."@en ;    skos:inScheme &lt;https://mindat.org/etmat/cscheme&gt; ;    skos:prefLabel "LL6-melt breccia chondrite meteorite"@en ; rdfs:label "LL6-melt breccia chondrite meteorite"@en ;    skos:notation  "LL6-melt breccia"@en ;   dcterms:source "https://www.lpi.usra.edu/meteor/metbullclass.php?sea=LL6-melt%20breccia";  skos:broader &lt;etma:1:1:49745:1&gt; ;   dcterms:modified "2023-06-20T08:57";  .</v>
      </c>
      <c r="AE255" s="8" t="s">
        <v>2591</v>
      </c>
    </row>
    <row r="256" spans="1:31" x14ac:dyDescent="0.25">
      <c r="A256" s="8">
        <v>233</v>
      </c>
      <c r="B256" s="8" t="s">
        <v>1177</v>
      </c>
      <c r="C256" s="8">
        <v>49779</v>
      </c>
      <c r="D256" s="8" t="s">
        <v>1175</v>
      </c>
      <c r="E256" s="8" t="s">
        <v>1176</v>
      </c>
      <c r="F256" s="9">
        <v>7</v>
      </c>
      <c r="G256" s="9" t="s">
        <v>14</v>
      </c>
      <c r="H256" s="1" t="s">
        <v>1178</v>
      </c>
      <c r="I256" s="8" t="str">
        <f t="shared" si="72"/>
        <v>https://www.mindat.org/min-49779.html</v>
      </c>
      <c r="J256" s="8">
        <v>49745</v>
      </c>
      <c r="K256" s="8" t="s">
        <v>1040</v>
      </c>
      <c r="N256" s="9">
        <v>0</v>
      </c>
      <c r="O256" s="9" t="s">
        <v>2249</v>
      </c>
      <c r="R256" s="8" t="s">
        <v>1179</v>
      </c>
      <c r="S256" s="11">
        <f t="shared" ca="1" si="80"/>
        <v>45097.373057291668</v>
      </c>
      <c r="U256" s="8" t="str">
        <f t="shared" si="73"/>
        <v xml:space="preserve">&lt;etma:1:1:49779:8&gt;  rdf:type skos:Concept ;  </v>
      </c>
      <c r="V256" s="8" t="str">
        <f t="shared" si="74"/>
        <v xml:space="preserve"> dcterms:source "https://www.mindat.org/min-49779.html" ; </v>
      </c>
      <c r="W256" s="8" t="str">
        <f t="shared" si="75"/>
        <v xml:space="preserve">skos:definition "An LL chondrite that is either petrological type 6 or 7."@en ; </v>
      </c>
      <c r="X256" s="8" t="str">
        <f t="shared" si="79"/>
        <v xml:space="preserve"> skos:inScheme &lt;https://mindat.org/etmat/cscheme&gt; ;  </v>
      </c>
      <c r="Y256" s="8" t="str">
        <f t="shared" si="76"/>
        <v xml:space="preserve">skos:prefLabel "LL6/7 chondrite meteorite"@en ; rdfs:label "LL6/7 chondrite meteorite"@en ; </v>
      </c>
      <c r="Z256" s="8" t="str">
        <f t="shared" si="77"/>
        <v xml:space="preserve"> skos:notation  "LL6/7"@en ; </v>
      </c>
      <c r="AA256" s="8" t="str">
        <f t="shared" si="69"/>
        <v>dcterms:source "https://www.lpi.usra.edu/meteor/metbullclass.php?sea=LL6/7";</v>
      </c>
      <c r="AB256" s="8" t="str">
        <f t="shared" si="70"/>
        <v xml:space="preserve">skos:broader &lt;etma:1:1:49745:1&gt; ; </v>
      </c>
      <c r="AC256" s="8" t="str">
        <f t="shared" ca="1" si="71"/>
        <v>dcterms:modified "2023-06-20T08:57";  .</v>
      </c>
      <c r="AD256" s="10" t="str">
        <f t="shared" ca="1" si="78"/>
        <v>&lt;etma:1:1:49779:8&gt;  rdf:type skos:Concept ;     dcterms:source "https://www.mindat.org/min-49779.html" ;   skos:definition "An LL chondrite that is either petrological type 6 or 7."@en ;    skos:inScheme &lt;https://mindat.org/etmat/cscheme&gt; ;    skos:prefLabel "LL6/7 chondrite meteorite"@en ; rdfs:label "LL6/7 chondrite meteorite"@en ;    skos:notation  "LL6/7"@en ;   dcterms:source "https://www.lpi.usra.edu/meteor/metbullclass.php?sea=LL6/7";  skos:broader &lt;etma:1:1:49745:1&gt; ;   dcterms:modified "2023-06-20T08:57";  .</v>
      </c>
      <c r="AE256" s="8" t="s">
        <v>2591</v>
      </c>
    </row>
    <row r="257" spans="1:31" x14ac:dyDescent="0.25">
      <c r="A257" s="8">
        <v>234</v>
      </c>
      <c r="B257" s="8" t="s">
        <v>1182</v>
      </c>
      <c r="C257" s="8">
        <v>49780</v>
      </c>
      <c r="D257" s="8" t="s">
        <v>1180</v>
      </c>
      <c r="E257" s="8" t="s">
        <v>1181</v>
      </c>
      <c r="F257" s="9">
        <v>7</v>
      </c>
      <c r="G257" s="9" t="s">
        <v>14</v>
      </c>
      <c r="H257" s="1" t="s">
        <v>1183</v>
      </c>
      <c r="I257" s="8" t="str">
        <f t="shared" si="72"/>
        <v>https://www.mindat.org/min-49780.html</v>
      </c>
      <c r="J257" s="8">
        <v>49745</v>
      </c>
      <c r="K257" s="8" t="s">
        <v>1040</v>
      </c>
      <c r="N257" s="9">
        <v>0</v>
      </c>
      <c r="O257" s="9" t="s">
        <v>2249</v>
      </c>
      <c r="R257" s="8" t="s">
        <v>1184</v>
      </c>
      <c r="S257" s="11">
        <f t="shared" ca="1" si="80"/>
        <v>45097.373057291668</v>
      </c>
      <c r="U257" s="8" t="str">
        <f t="shared" si="73"/>
        <v xml:space="preserve">&lt;etma:1:1:49780:4&gt;  rdf:type skos:Concept ;  </v>
      </c>
      <c r="V257" s="8" t="str">
        <f t="shared" si="74"/>
        <v xml:space="preserve"> dcterms:source "https://www.mindat.org/min-49780.html" ; </v>
      </c>
      <c r="W257" s="8" t="str">
        <f t="shared" si="75"/>
        <v xml:space="preserve">skos:definition "An LL chondrite that has experienced impact melting and for which the petrologic type has not been determined."@en ; </v>
      </c>
      <c r="X257" s="8" t="str">
        <f t="shared" si="79"/>
        <v xml:space="preserve"> skos:inScheme &lt;https://mindat.org/etmat/cscheme&gt; ;  </v>
      </c>
      <c r="Y257" s="8" t="str">
        <f t="shared" si="76"/>
        <v xml:space="preserve">skos:prefLabel "LL-imp melt chondrite meteorite"@en ; rdfs:label "LL-imp melt chondrite meteorite"@en ; </v>
      </c>
      <c r="Z257" s="8" t="str">
        <f t="shared" si="77"/>
        <v xml:space="preserve"> skos:notation  "LL-imp melt"@en ; </v>
      </c>
      <c r="AA257" s="8" t="str">
        <f t="shared" si="69"/>
        <v>dcterms:source "https://www.lpi.usra.edu/meteor/metbullclass.php?sea=LL-imp%20melt";</v>
      </c>
      <c r="AB257" s="8" t="str">
        <f t="shared" si="70"/>
        <v xml:space="preserve">skos:broader &lt;etma:1:1:49745:1&gt; ; </v>
      </c>
      <c r="AC257" s="8" t="str">
        <f t="shared" ca="1" si="71"/>
        <v>dcterms:modified "2023-06-20T08:57";  .</v>
      </c>
      <c r="AD257" s="10" t="str">
        <f t="shared" ca="1" si="78"/>
        <v>&lt;etma:1:1:49780:4&gt;  rdf:type skos:Concept ;     dcterms:source "https://www.mindat.org/min-49780.html" ;   skos:definition "An LL chondrite that has experienced impact melting and for which the petrologic type has not been determined."@en ;    skos:inScheme &lt;https://mindat.org/etmat/cscheme&gt; ;    skos:prefLabel "LL-imp melt chondrite meteorite"@en ; rdfs:label "LL-imp melt chondrite meteorite"@en ;    skos:notation  "LL-imp melt"@en ;   dcterms:source "https://www.lpi.usra.edu/meteor/metbullclass.php?sea=LL-imp%20melt";  skos:broader &lt;etma:1:1:49745:1&gt; ;   dcterms:modified "2023-06-20T08:57";  .</v>
      </c>
      <c r="AE257" s="8" t="s">
        <v>2591</v>
      </c>
    </row>
    <row r="258" spans="1:31" x14ac:dyDescent="0.25">
      <c r="A258" s="8">
        <v>235</v>
      </c>
      <c r="B258" s="8" t="s">
        <v>1187</v>
      </c>
      <c r="C258" s="8">
        <v>49781</v>
      </c>
      <c r="D258" s="8" t="s">
        <v>1185</v>
      </c>
      <c r="E258" s="8" t="s">
        <v>1186</v>
      </c>
      <c r="F258" s="9">
        <v>7</v>
      </c>
      <c r="G258" s="9" t="s">
        <v>14</v>
      </c>
      <c r="H258" s="1" t="s">
        <v>1188</v>
      </c>
      <c r="I258" s="8" t="str">
        <f t="shared" si="72"/>
        <v>https://www.mindat.org/min-49781.html</v>
      </c>
      <c r="J258" s="8">
        <v>49745</v>
      </c>
      <c r="K258" s="8" t="s">
        <v>1040</v>
      </c>
      <c r="N258" s="9">
        <v>0</v>
      </c>
      <c r="O258" s="9" t="s">
        <v>2249</v>
      </c>
      <c r="R258" s="8" t="s">
        <v>1189</v>
      </c>
      <c r="S258" s="11">
        <f t="shared" ca="1" si="80"/>
        <v>45097.373057291668</v>
      </c>
      <c r="U258" s="8" t="str">
        <f t="shared" si="73"/>
        <v xml:space="preserve">&lt;etma:1:1:49781:3&gt;  rdf:type skos:Concept ;  </v>
      </c>
      <c r="V258" s="8" t="str">
        <f t="shared" si="74"/>
        <v xml:space="preserve"> dcterms:source "https://www.mindat.org/min-49781.html" ; </v>
      </c>
      <c r="W258" s="8" t="str">
        <f t="shared" si="75"/>
        <v xml:space="preserve">skos:definition "An LL chondrite that is a breccia with melted material forming the matrix and for which the petrologic type has not been determined."@en ; </v>
      </c>
      <c r="X258" s="8" t="str">
        <f t="shared" si="79"/>
        <v xml:space="preserve"> skos:inScheme &lt;https://mindat.org/etmat/cscheme&gt; ;  </v>
      </c>
      <c r="Y258" s="8" t="str">
        <f t="shared" si="76"/>
        <v xml:space="preserve">skos:prefLabel "LL-melt breccia chondrite meteorite"@en ; rdfs:label "LL-melt breccia chondrite meteorite"@en ; </v>
      </c>
      <c r="Z258" s="8" t="str">
        <f t="shared" si="77"/>
        <v xml:space="preserve"> skos:notation  "LL-melt breccia"@en ; </v>
      </c>
      <c r="AA258" s="8" t="str">
        <f t="shared" si="69"/>
        <v>dcterms:source "https://www.lpi.usra.edu/meteor/metbullclass.php?sea=LL-melt%20breccia";</v>
      </c>
      <c r="AB258" s="8" t="str">
        <f t="shared" si="70"/>
        <v xml:space="preserve">skos:broader &lt;etma:1:1:49745:1&gt; ; </v>
      </c>
      <c r="AC258" s="8" t="str">
        <f t="shared" ca="1" si="71"/>
        <v>dcterms:modified "2023-06-20T08:57";  .</v>
      </c>
      <c r="AD258" s="10" t="str">
        <f t="shared" ca="1" si="78"/>
        <v>&lt;etma:1:1:49781:3&gt;  rdf:type skos:Concept ;     dcterms:source "https://www.mindat.org/min-49781.html" ;   skos:definition "An LL chondrite that is a breccia with melted material forming the matrix and for which the petrologic type has not been determined."@en ;    skos:inScheme &lt;https://mindat.org/etmat/cscheme&gt; ;    skos:prefLabel "LL-melt breccia chondrite meteorite"@en ; rdfs:label "LL-melt breccia chondrite meteorite"@en ;    skos:notation  "LL-melt breccia"@en ;   dcterms:source "https://www.lpi.usra.edu/meteor/metbullclass.php?sea=LL-melt%20breccia";  skos:broader &lt;etma:1:1:49745:1&gt; ;   dcterms:modified "2023-06-20T08:57";  .</v>
      </c>
      <c r="AE258" s="8" t="s">
        <v>2591</v>
      </c>
    </row>
    <row r="259" spans="1:31" x14ac:dyDescent="0.25">
      <c r="A259" s="8">
        <v>236</v>
      </c>
      <c r="B259" s="8" t="s">
        <v>1192</v>
      </c>
      <c r="C259" s="8">
        <v>49782</v>
      </c>
      <c r="D259" s="8" t="s">
        <v>1190</v>
      </c>
      <c r="E259" s="8" t="s">
        <v>1191</v>
      </c>
      <c r="F259" s="9">
        <v>7</v>
      </c>
      <c r="G259" s="9" t="s">
        <v>14</v>
      </c>
      <c r="H259" s="1" t="s">
        <v>918</v>
      </c>
      <c r="I259" s="8" t="str">
        <f t="shared" si="72"/>
        <v>https://www.mindat.org/min-49782.html</v>
      </c>
      <c r="J259" s="8">
        <v>49745</v>
      </c>
      <c r="K259" s="8" t="s">
        <v>1040</v>
      </c>
      <c r="N259" s="9">
        <v>0</v>
      </c>
      <c r="O259" s="9" t="s">
        <v>2249</v>
      </c>
      <c r="R259" s="8" t="s">
        <v>1193</v>
      </c>
      <c r="S259" s="11">
        <v>43039.394375000003</v>
      </c>
      <c r="U259" s="8" t="str">
        <f t="shared" si="73"/>
        <v xml:space="preserve">&lt;etma:1:1:49782:2&gt;  rdf:type skos:Concept ;  </v>
      </c>
      <c r="V259" s="8" t="str">
        <f t="shared" si="74"/>
        <v xml:space="preserve"> dcterms:source "https://www.mindat.org/min-49782.html" ; </v>
      </c>
      <c r="W259" s="8" t="str">
        <f t="shared" si="75"/>
        <v xml:space="preserve">skos:definition "An L chondrite that has experienced secondary melting."@en ; </v>
      </c>
      <c r="X259" s="8" t="str">
        <f t="shared" si="79"/>
        <v xml:space="preserve"> skos:inScheme &lt;https://mindat.org/etmat/cscheme&gt; ;  </v>
      </c>
      <c r="Y259" s="8" t="str">
        <f t="shared" si="76"/>
        <v xml:space="preserve">skos:prefLabel "LL-melt rock chondrite meteorite"@en ; rdfs:label "LL-melt rock chondrite meteorite"@en ; </v>
      </c>
      <c r="Z259" s="8" t="str">
        <f t="shared" si="77"/>
        <v xml:space="preserve"> skos:notation  "LL-melt rock"@en ; </v>
      </c>
      <c r="AA259" s="8" t="str">
        <f t="shared" ref="AA259:AA322" si="81">IF(NOT(ISBLANK(R259)), "dcterms:source ""https://www.lpi.usra.edu/meteor/metbullclass.php?sea=" &amp; SUBSTITUTE(R259," ","%20") &amp; """;","")</f>
        <v>dcterms:source "https://www.lpi.usra.edu/meteor/metbullclass.php?sea=LL-melt%20rock";</v>
      </c>
      <c r="AB259" s="8" t="str">
        <f t="shared" ref="AB259:AB322" si="82">"skos:broader &lt;etma:"&amp;K259&amp;"&gt;" &amp; IF(ISBLANK(M259),"", ", &lt;etma:"&amp;M259&amp;"&gt;") &amp; " ; "</f>
        <v xml:space="preserve">skos:broader &lt;etma:1:1:49745:1&gt; ; </v>
      </c>
      <c r="AC259" s="8" t="str">
        <f t="shared" ref="AC259:AC322" si="83">"dcterms:modified """&amp;  TEXT(S259,"YYYY-MM-DDTHH:MM") &amp;""";  ."</f>
        <v>dcterms:modified "2017-10-31T09:27";  .</v>
      </c>
      <c r="AD259" s="10" t="str">
        <f t="shared" si="78"/>
        <v>&lt;etma:1:1:49782:2&gt;  rdf:type skos:Concept ;     dcterms:source "https://www.mindat.org/min-49782.html" ;   skos:definition "An L chondrite that has experienced secondary melting."@en ;    skos:inScheme &lt;https://mindat.org/etmat/cscheme&gt; ;    skos:prefLabel "LL-melt rock chondrite meteorite"@en ; rdfs:label "LL-melt rock chondrite meteorite"@en ;    skos:notation  "LL-melt rock"@en ;   dcterms:source "https://www.lpi.usra.edu/meteor/metbullclass.php?sea=LL-melt%20rock";  skos:broader &lt;etma:1:1:49745:1&gt; ;   dcterms:modified "2017-10-31T09:27";  .</v>
      </c>
      <c r="AE259" s="8" t="s">
        <v>2591</v>
      </c>
    </row>
    <row r="260" spans="1:31" x14ac:dyDescent="0.25">
      <c r="A260" s="8">
        <v>237</v>
      </c>
      <c r="B260" s="8" t="s">
        <v>1196</v>
      </c>
      <c r="C260" s="8">
        <v>49783</v>
      </c>
      <c r="D260" s="8" t="s">
        <v>1194</v>
      </c>
      <c r="E260" s="8" t="s">
        <v>1195</v>
      </c>
      <c r="F260" s="9">
        <v>2</v>
      </c>
      <c r="G260" s="9" t="s">
        <v>508</v>
      </c>
      <c r="H260" s="1" t="s">
        <v>1197</v>
      </c>
      <c r="I260" s="8" t="str">
        <f t="shared" si="72"/>
        <v>https://www.mindat.org/min-49783.html</v>
      </c>
      <c r="J260" s="8">
        <v>49745</v>
      </c>
      <c r="K260" s="8" t="s">
        <v>1040</v>
      </c>
      <c r="N260" s="9">
        <v>0</v>
      </c>
      <c r="O260" s="9" t="s">
        <v>2249</v>
      </c>
      <c r="R260" s="8" t="s">
        <v>1198</v>
      </c>
      <c r="S260" s="11">
        <f t="shared" ref="S260:S277" ca="1" si="84">NOW()</f>
        <v>45097.373057291668</v>
      </c>
      <c r="U260" s="8" t="str">
        <f t="shared" si="73"/>
        <v xml:space="preserve">&lt;etma:1:1:49783:1&gt;  rdf:type skos:Concept ;  </v>
      </c>
      <c r="V260" s="8" t="str">
        <f t="shared" si="74"/>
        <v xml:space="preserve"> dcterms:source "https://www.mindat.org/min-49783.html" ; </v>
      </c>
      <c r="W260" s="8" t="str">
        <f t="shared" si="75"/>
        <v xml:space="preserve">skos:definition "An LL chondrite that is a breccia of petrological types 3 to 5."@en ; </v>
      </c>
      <c r="X260" s="8" t="str">
        <f t="shared" si="79"/>
        <v xml:space="preserve"> skos:inScheme &lt;https://mindat.org/etmat/cscheme&gt; ;  </v>
      </c>
      <c r="Y260" s="8" t="str">
        <f t="shared" si="76"/>
        <v xml:space="preserve">skos:prefLabel "LL3-5 chondrite meteorite"@en ; rdfs:label "LL3-5 chondrite meteorite"@en ; </v>
      </c>
      <c r="Z260" s="8" t="str">
        <f t="shared" si="77"/>
        <v xml:space="preserve"> skos:notation  "LL3-5"@en ; </v>
      </c>
      <c r="AA260" s="8" t="str">
        <f t="shared" si="81"/>
        <v>dcterms:source "https://www.lpi.usra.edu/meteor/metbullclass.php?sea=LL3-5";</v>
      </c>
      <c r="AB260" s="8" t="str">
        <f t="shared" si="82"/>
        <v xml:space="preserve">skos:broader &lt;etma:1:1:49745:1&gt; ; </v>
      </c>
      <c r="AC260" s="8" t="str">
        <f t="shared" ca="1" si="83"/>
        <v>dcterms:modified "2023-06-20T08:57";  .</v>
      </c>
      <c r="AD260" s="10" t="str">
        <f t="shared" ca="1" si="78"/>
        <v>&lt;etma:1:1:49783:1&gt;  rdf:type skos:Concept ;     dcterms:source "https://www.mindat.org/min-49783.html" ;   skos:definition "An LL chondrite that is a breccia of petrological types 3 to 5."@en ;    skos:inScheme &lt;https://mindat.org/etmat/cscheme&gt; ;    skos:prefLabel "LL3-5 chondrite meteorite"@en ; rdfs:label "LL3-5 chondrite meteorite"@en ;    skos:notation  "LL3-5"@en ;   dcterms:source "https://www.lpi.usra.edu/meteor/metbullclass.php?sea=LL3-5";  skos:broader &lt;etma:1:1:49745:1&gt; ;   dcterms:modified "2023-06-20T08:57";  .</v>
      </c>
      <c r="AE260" s="8" t="s">
        <v>2591</v>
      </c>
    </row>
    <row r="261" spans="1:31" x14ac:dyDescent="0.25">
      <c r="A261" s="8">
        <v>238</v>
      </c>
      <c r="B261" s="8" t="s">
        <v>1201</v>
      </c>
      <c r="C261" s="8">
        <v>49784</v>
      </c>
      <c r="D261" s="8" t="s">
        <v>1199</v>
      </c>
      <c r="E261" s="8" t="s">
        <v>1200</v>
      </c>
      <c r="F261" s="9">
        <v>2</v>
      </c>
      <c r="G261" s="9" t="s">
        <v>508</v>
      </c>
      <c r="H261" s="1" t="s">
        <v>1202</v>
      </c>
      <c r="I261" s="8" t="str">
        <f t="shared" si="72"/>
        <v>https://www.mindat.org/min-49784.html</v>
      </c>
      <c r="J261" s="8">
        <v>49745</v>
      </c>
      <c r="K261" s="8" t="s">
        <v>1040</v>
      </c>
      <c r="N261" s="9">
        <v>0</v>
      </c>
      <c r="O261" s="9" t="s">
        <v>2249</v>
      </c>
      <c r="R261" s="8" t="s">
        <v>1203</v>
      </c>
      <c r="S261" s="11">
        <f t="shared" ca="1" si="84"/>
        <v>45097.373057407407</v>
      </c>
      <c r="U261" s="8" t="str">
        <f t="shared" si="73"/>
        <v xml:space="preserve">&lt;etma:1:1:49784:0&gt;  rdf:type skos:Concept ;  </v>
      </c>
      <c r="V261" s="8" t="str">
        <f t="shared" si="74"/>
        <v xml:space="preserve"> dcterms:source "https://www.mindat.org/min-49784.html" ; </v>
      </c>
      <c r="W261" s="8" t="str">
        <f t="shared" si="75"/>
        <v xml:space="preserve">skos:definition "An LL chondrite that is a breccia of petrological types 3 to 6."@en ; </v>
      </c>
      <c r="X261" s="8" t="str">
        <f t="shared" si="79"/>
        <v xml:space="preserve"> skos:inScheme &lt;https://mindat.org/etmat/cscheme&gt; ;  </v>
      </c>
      <c r="Y261" s="8" t="str">
        <f t="shared" si="76"/>
        <v xml:space="preserve">skos:prefLabel "LL3-6 chondrite meteorite"@en ; rdfs:label "LL3-6 chondrite meteorite"@en ; </v>
      </c>
      <c r="Z261" s="8" t="str">
        <f t="shared" si="77"/>
        <v xml:space="preserve"> skos:notation  "LL3-6"@en ; </v>
      </c>
      <c r="AA261" s="8" t="str">
        <f t="shared" si="81"/>
        <v>dcterms:source "https://www.lpi.usra.edu/meteor/metbullclass.php?sea=LL3-6";</v>
      </c>
      <c r="AB261" s="8" t="str">
        <f t="shared" si="82"/>
        <v xml:space="preserve">skos:broader &lt;etma:1:1:49745:1&gt; ; </v>
      </c>
      <c r="AC261" s="8" t="str">
        <f t="shared" ca="1" si="83"/>
        <v>dcterms:modified "2023-06-20T08:57";  .</v>
      </c>
      <c r="AD261" s="10" t="str">
        <f t="shared" ca="1" si="78"/>
        <v>&lt;etma:1:1:49784:0&gt;  rdf:type skos:Concept ;     dcterms:source "https://www.mindat.org/min-49784.html" ;   skos:definition "An LL chondrite that is a breccia of petrological types 3 to 6."@en ;    skos:inScheme &lt;https://mindat.org/etmat/cscheme&gt; ;    skos:prefLabel "LL3-6 chondrite meteorite"@en ; rdfs:label "LL3-6 chondrite meteorite"@en ;    skos:notation  "LL3-6"@en ;   dcterms:source "https://www.lpi.usra.edu/meteor/metbullclass.php?sea=LL3-6";  skos:broader &lt;etma:1:1:49745:1&gt; ;   dcterms:modified "2023-06-20T08:57";  .</v>
      </c>
      <c r="AE261" s="8" t="s">
        <v>2591</v>
      </c>
    </row>
    <row r="262" spans="1:31" x14ac:dyDescent="0.25">
      <c r="A262" s="8">
        <v>239</v>
      </c>
      <c r="B262" s="8" t="s">
        <v>1206</v>
      </c>
      <c r="C262" s="8">
        <v>49785</v>
      </c>
      <c r="D262" s="8" t="s">
        <v>1204</v>
      </c>
      <c r="E262" s="8" t="s">
        <v>1205</v>
      </c>
      <c r="F262" s="9">
        <v>2</v>
      </c>
      <c r="G262" s="9" t="s">
        <v>508</v>
      </c>
      <c r="H262" s="1" t="s">
        <v>1207</v>
      </c>
      <c r="I262" s="8" t="str">
        <f t="shared" si="72"/>
        <v>https://www.mindat.org/min-49785.html</v>
      </c>
      <c r="J262" s="8">
        <v>49745</v>
      </c>
      <c r="K262" s="8" t="s">
        <v>1040</v>
      </c>
      <c r="N262" s="9">
        <v>0</v>
      </c>
      <c r="O262" s="9" t="s">
        <v>2249</v>
      </c>
      <c r="R262" s="8" t="s">
        <v>1208</v>
      </c>
      <c r="S262" s="11">
        <f t="shared" ca="1" si="84"/>
        <v>45097.373057291668</v>
      </c>
      <c r="U262" s="8" t="str">
        <f t="shared" si="73"/>
        <v xml:space="preserve">&lt;etma:1:1:49785:9&gt;  rdf:type skos:Concept ;  </v>
      </c>
      <c r="V262" s="8" t="str">
        <f t="shared" si="74"/>
        <v xml:space="preserve"> dcterms:source "https://www.mindat.org/min-49785.html" ; </v>
      </c>
      <c r="W262" s="8" t="str">
        <f t="shared" si="75"/>
        <v xml:space="preserve">skos:definition "An LL chondrite that is a breccia of petrological types 3.7 to 6."@en ; </v>
      </c>
      <c r="X262" s="8" t="str">
        <f t="shared" si="79"/>
        <v xml:space="preserve"> skos:inScheme &lt;https://mindat.org/etmat/cscheme&gt; ;  </v>
      </c>
      <c r="Y262" s="8" t="str">
        <f t="shared" si="76"/>
        <v xml:space="preserve">skos:prefLabel "LL3.7-6 chondrite meteorite"@en ; rdfs:label "LL3.7-6 chondrite meteorite"@en ; </v>
      </c>
      <c r="Z262" s="8" t="str">
        <f t="shared" si="77"/>
        <v xml:space="preserve"> skos:notation  "LL3.7-6"@en ; </v>
      </c>
      <c r="AA262" s="8" t="str">
        <f t="shared" si="81"/>
        <v>dcterms:source "https://www.lpi.usra.edu/meteor/metbullclass.php?sea=LL3.7-6";</v>
      </c>
      <c r="AB262" s="8" t="str">
        <f t="shared" si="82"/>
        <v xml:space="preserve">skos:broader &lt;etma:1:1:49745:1&gt; ; </v>
      </c>
      <c r="AC262" s="8" t="str">
        <f t="shared" ca="1" si="83"/>
        <v>dcterms:modified "2023-06-20T08:57";  .</v>
      </c>
      <c r="AD262" s="10" t="str">
        <f t="shared" ca="1" si="78"/>
        <v>&lt;etma:1:1:49785:9&gt;  rdf:type skos:Concept ;     dcterms:source "https://www.mindat.org/min-49785.html" ;   skos:definition "An LL chondrite that is a breccia of petrological types 3.7 to 6."@en ;    skos:inScheme &lt;https://mindat.org/etmat/cscheme&gt; ;    skos:prefLabel "LL3.7-6 chondrite meteorite"@en ; rdfs:label "LL3.7-6 chondrite meteorite"@en ;    skos:notation  "LL3.7-6"@en ;   dcterms:source "https://www.lpi.usra.edu/meteor/metbullclass.php?sea=LL3.7-6";  skos:broader &lt;etma:1:1:49745:1&gt; ;   dcterms:modified "2023-06-20T08:57";  .</v>
      </c>
      <c r="AE262" s="8" t="s">
        <v>2591</v>
      </c>
    </row>
    <row r="263" spans="1:31" x14ac:dyDescent="0.25">
      <c r="A263" s="8">
        <v>240</v>
      </c>
      <c r="B263" s="8" t="s">
        <v>1211</v>
      </c>
      <c r="C263" s="8">
        <v>49786</v>
      </c>
      <c r="D263" s="8" t="s">
        <v>1209</v>
      </c>
      <c r="E263" s="8" t="s">
        <v>1210</v>
      </c>
      <c r="F263" s="9">
        <v>2</v>
      </c>
      <c r="G263" s="9" t="s">
        <v>508</v>
      </c>
      <c r="H263" s="1" t="s">
        <v>1212</v>
      </c>
      <c r="I263" s="8" t="str">
        <f t="shared" si="72"/>
        <v>https://www.mindat.org/min-49786.html</v>
      </c>
      <c r="J263" s="8">
        <v>49745</v>
      </c>
      <c r="K263" s="8" t="s">
        <v>1040</v>
      </c>
      <c r="N263" s="9">
        <v>0</v>
      </c>
      <c r="O263" s="9" t="s">
        <v>2249</v>
      </c>
      <c r="R263" s="8" t="s">
        <v>1213</v>
      </c>
      <c r="S263" s="11">
        <f t="shared" ca="1" si="84"/>
        <v>45097.373057291668</v>
      </c>
      <c r="U263" s="8" t="str">
        <f t="shared" si="73"/>
        <v xml:space="preserve">&lt;etma:1:1:49786:8&gt;  rdf:type skos:Concept ;  </v>
      </c>
      <c r="V263" s="8" t="str">
        <f t="shared" si="74"/>
        <v xml:space="preserve"> dcterms:source "https://www.mindat.org/min-49786.html" ; </v>
      </c>
      <c r="W263" s="8" t="str">
        <f t="shared" si="75"/>
        <v xml:space="preserve">skos:definition "An LL chondrite that is a breccia of petrological types 3.8 to 4."@en ; </v>
      </c>
      <c r="X263" s="8" t="str">
        <f t="shared" si="79"/>
        <v xml:space="preserve"> skos:inScheme &lt;https://mindat.org/etmat/cscheme&gt; ;  </v>
      </c>
      <c r="Y263" s="8" t="str">
        <f t="shared" si="76"/>
        <v xml:space="preserve">skos:prefLabel "LL3.8-4 chondrite meteorite"@en ; rdfs:label "LL3.8-4 chondrite meteorite"@en ; </v>
      </c>
      <c r="Z263" s="8" t="str">
        <f t="shared" si="77"/>
        <v xml:space="preserve"> skos:notation  "LL3.8-4"@en ; </v>
      </c>
      <c r="AA263" s="8" t="str">
        <f t="shared" si="81"/>
        <v>dcterms:source "https://www.lpi.usra.edu/meteor/metbullclass.php?sea=LL3.8-4";</v>
      </c>
      <c r="AB263" s="8" t="str">
        <f t="shared" si="82"/>
        <v xml:space="preserve">skos:broader &lt;etma:1:1:49745:1&gt; ; </v>
      </c>
      <c r="AC263" s="8" t="str">
        <f t="shared" ca="1" si="83"/>
        <v>dcterms:modified "2023-06-20T08:57";  .</v>
      </c>
      <c r="AD263" s="10" t="str">
        <f t="shared" ca="1" si="78"/>
        <v>&lt;etma:1:1:49786:8&gt;  rdf:type skos:Concept ;     dcterms:source "https://www.mindat.org/min-49786.html" ;   skos:definition "An LL chondrite that is a breccia of petrological types 3.8 to 4."@en ;    skos:inScheme &lt;https://mindat.org/etmat/cscheme&gt; ;    skos:prefLabel "LL3.8-4 chondrite meteorite"@en ; rdfs:label "LL3.8-4 chondrite meteorite"@en ;    skos:notation  "LL3.8-4"@en ;   dcterms:source "https://www.lpi.usra.edu/meteor/metbullclass.php?sea=LL3.8-4";  skos:broader &lt;etma:1:1:49745:1&gt; ;   dcterms:modified "2023-06-20T08:57";  .</v>
      </c>
      <c r="AE263" s="8" t="s">
        <v>2591</v>
      </c>
    </row>
    <row r="264" spans="1:31" x14ac:dyDescent="0.25">
      <c r="A264" s="8">
        <v>241</v>
      </c>
      <c r="B264" s="8" t="s">
        <v>1216</v>
      </c>
      <c r="C264" s="8">
        <v>49787</v>
      </c>
      <c r="D264" s="8" t="s">
        <v>1214</v>
      </c>
      <c r="E264" s="8" t="s">
        <v>1215</v>
      </c>
      <c r="F264" s="9">
        <v>2</v>
      </c>
      <c r="G264" s="9" t="s">
        <v>508</v>
      </c>
      <c r="H264" s="1" t="s">
        <v>1217</v>
      </c>
      <c r="I264" s="8" t="str">
        <f t="shared" si="72"/>
        <v>https://www.mindat.org/min-49787.html</v>
      </c>
      <c r="J264" s="8">
        <v>49745</v>
      </c>
      <c r="K264" s="8" t="s">
        <v>1040</v>
      </c>
      <c r="N264" s="9">
        <v>0</v>
      </c>
      <c r="O264" s="9" t="s">
        <v>2249</v>
      </c>
      <c r="R264" s="8" t="s">
        <v>1218</v>
      </c>
      <c r="S264" s="11">
        <f t="shared" ca="1" si="84"/>
        <v>45097.373057291668</v>
      </c>
      <c r="U264" s="8" t="str">
        <f t="shared" si="73"/>
        <v xml:space="preserve">&lt;etma:1:1:49787:7&gt;  rdf:type skos:Concept ;  </v>
      </c>
      <c r="V264" s="8" t="str">
        <f t="shared" si="74"/>
        <v xml:space="preserve"> dcterms:source "https://www.mindat.org/min-49787.html" ; </v>
      </c>
      <c r="W264" s="8" t="str">
        <f t="shared" si="75"/>
        <v xml:space="preserve">skos:definition "An LL chondrite that is a breccia of petrological types 3.8 to 6."@en ; </v>
      </c>
      <c r="X264" s="8" t="str">
        <f t="shared" si="79"/>
        <v xml:space="preserve"> skos:inScheme &lt;https://mindat.org/etmat/cscheme&gt; ;  </v>
      </c>
      <c r="Y264" s="8" t="str">
        <f t="shared" si="76"/>
        <v xml:space="preserve">skos:prefLabel "LL3.8-6 chondrite meteorite"@en ; rdfs:label "LL3.8-6 chondrite meteorite"@en ; </v>
      </c>
      <c r="Z264" s="8" t="str">
        <f t="shared" si="77"/>
        <v xml:space="preserve"> skos:notation  "LL3.8-6"@en ; </v>
      </c>
      <c r="AA264" s="8" t="str">
        <f t="shared" si="81"/>
        <v>dcterms:source "https://www.lpi.usra.edu/meteor/metbullclass.php?sea=LL3.8-6";</v>
      </c>
      <c r="AB264" s="8" t="str">
        <f t="shared" si="82"/>
        <v xml:space="preserve">skos:broader &lt;etma:1:1:49745:1&gt; ; </v>
      </c>
      <c r="AC264" s="8" t="str">
        <f t="shared" ca="1" si="83"/>
        <v>dcterms:modified "2023-06-20T08:57";  .</v>
      </c>
      <c r="AD264" s="10" t="str">
        <f t="shared" ca="1" si="78"/>
        <v>&lt;etma:1:1:49787:7&gt;  rdf:type skos:Concept ;     dcterms:source "https://www.mindat.org/min-49787.html" ;   skos:definition "An LL chondrite that is a breccia of petrological types 3.8 to 6."@en ;    skos:inScheme &lt;https://mindat.org/etmat/cscheme&gt; ;    skos:prefLabel "LL3.8-6 chondrite meteorite"@en ; rdfs:label "LL3.8-6 chondrite meteorite"@en ;    skos:notation  "LL3.8-6"@en ;   dcterms:source "https://www.lpi.usra.edu/meteor/metbullclass.php?sea=LL3.8-6";  skos:broader &lt;etma:1:1:49745:1&gt; ;   dcterms:modified "2023-06-20T08:57";  .</v>
      </c>
      <c r="AE264" s="8" t="s">
        <v>2591</v>
      </c>
    </row>
    <row r="265" spans="1:31" x14ac:dyDescent="0.25">
      <c r="A265" s="8">
        <v>242</v>
      </c>
      <c r="B265" s="8" t="s">
        <v>1221</v>
      </c>
      <c r="C265" s="8">
        <v>49788</v>
      </c>
      <c r="D265" s="8" t="s">
        <v>1219</v>
      </c>
      <c r="E265" s="8" t="s">
        <v>1220</v>
      </c>
      <c r="F265" s="9">
        <v>2</v>
      </c>
      <c r="G265" s="9" t="s">
        <v>508</v>
      </c>
      <c r="H265" s="1" t="s">
        <v>1222</v>
      </c>
      <c r="I265" s="8" t="str">
        <f t="shared" si="72"/>
        <v>https://www.mindat.org/min-49788.html</v>
      </c>
      <c r="J265" s="8">
        <v>49745</v>
      </c>
      <c r="K265" s="8" t="s">
        <v>1040</v>
      </c>
      <c r="N265" s="9">
        <v>0</v>
      </c>
      <c r="O265" s="9" t="s">
        <v>2249</v>
      </c>
      <c r="R265" s="8" t="s">
        <v>1223</v>
      </c>
      <c r="S265" s="11">
        <f t="shared" ca="1" si="84"/>
        <v>45097.373057291668</v>
      </c>
      <c r="U265" s="8" t="str">
        <f t="shared" si="73"/>
        <v xml:space="preserve">&lt;etma:1:1:49788:6&gt;  rdf:type skos:Concept ;  </v>
      </c>
      <c r="V265" s="8" t="str">
        <f t="shared" si="74"/>
        <v xml:space="preserve"> dcterms:source "https://www.mindat.org/min-49788.html" ; </v>
      </c>
      <c r="W265" s="8" t="str">
        <f t="shared" si="75"/>
        <v xml:space="preserve">skos:definition "An LL chondrite that is a breccia of petrological types 4 to 6."@en ; </v>
      </c>
      <c r="X265" s="8" t="str">
        <f t="shared" si="79"/>
        <v xml:space="preserve"> skos:inScheme &lt;https://mindat.org/etmat/cscheme&gt; ;  </v>
      </c>
      <c r="Y265" s="8" t="str">
        <f t="shared" si="76"/>
        <v xml:space="preserve">skos:prefLabel "LL4-6 chondrite meteorite"@en ; rdfs:label "LL4-6 chondrite meteorite"@en ; </v>
      </c>
      <c r="Z265" s="8" t="str">
        <f t="shared" si="77"/>
        <v xml:space="preserve"> skos:notation  "LL4-6"@en ; </v>
      </c>
      <c r="AA265" s="8" t="str">
        <f t="shared" si="81"/>
        <v>dcterms:source "https://www.lpi.usra.edu/meteor/metbullclass.php?sea=LL4-6";</v>
      </c>
      <c r="AB265" s="8" t="str">
        <f t="shared" si="82"/>
        <v xml:space="preserve">skos:broader &lt;etma:1:1:49745:1&gt; ; </v>
      </c>
      <c r="AC265" s="8" t="str">
        <f t="shared" ca="1" si="83"/>
        <v>dcterms:modified "2023-06-20T08:57";  .</v>
      </c>
      <c r="AD265" s="10" t="str">
        <f t="shared" ca="1" si="78"/>
        <v>&lt;etma:1:1:49788:6&gt;  rdf:type skos:Concept ;     dcterms:source "https://www.mindat.org/min-49788.html" ;   skos:definition "An LL chondrite that is a breccia of petrological types 4 to 6."@en ;    skos:inScheme &lt;https://mindat.org/etmat/cscheme&gt; ;    skos:prefLabel "LL4-6 chondrite meteorite"@en ; rdfs:label "LL4-6 chondrite meteorite"@en ;    skos:notation  "LL4-6"@en ;   dcterms:source "https://www.lpi.usra.edu/meteor/metbullclass.php?sea=LL4-6";  skos:broader &lt;etma:1:1:49745:1&gt; ;   dcterms:modified "2023-06-20T08:57";  .</v>
      </c>
      <c r="AE265" s="8" t="s">
        <v>2591</v>
      </c>
    </row>
    <row r="266" spans="1:31" x14ac:dyDescent="0.25">
      <c r="A266" s="8">
        <v>243</v>
      </c>
      <c r="B266" s="8" t="s">
        <v>1226</v>
      </c>
      <c r="C266" s="8">
        <v>49789</v>
      </c>
      <c r="D266" s="8" t="s">
        <v>1224</v>
      </c>
      <c r="E266" s="8" t="s">
        <v>1225</v>
      </c>
      <c r="F266" s="9">
        <v>2</v>
      </c>
      <c r="G266" s="9" t="s">
        <v>508</v>
      </c>
      <c r="H266" s="1" t="s">
        <v>1227</v>
      </c>
      <c r="I266" s="8" t="str">
        <f t="shared" si="72"/>
        <v>https://www.mindat.org/min-49789.html</v>
      </c>
      <c r="J266" s="8">
        <v>49745</v>
      </c>
      <c r="K266" s="8" t="s">
        <v>1040</v>
      </c>
      <c r="N266" s="9">
        <v>0</v>
      </c>
      <c r="O266" s="9" t="s">
        <v>2249</v>
      </c>
      <c r="R266" s="8" t="s">
        <v>1228</v>
      </c>
      <c r="S266" s="11">
        <f t="shared" ca="1" si="84"/>
        <v>45097.373057291668</v>
      </c>
      <c r="U266" s="8" t="str">
        <f t="shared" si="73"/>
        <v xml:space="preserve">&lt;etma:1:1:49789:5&gt;  rdf:type skos:Concept ;  </v>
      </c>
      <c r="V266" s="8" t="str">
        <f t="shared" si="74"/>
        <v xml:space="preserve"> dcterms:source "https://www.mindat.org/min-49789.html" ; </v>
      </c>
      <c r="W266" s="8" t="str">
        <f t="shared" si="75"/>
        <v xml:space="preserve">skos:definition "An LL chondrite that is a breccia of petrological types 4 to 7."@en ; </v>
      </c>
      <c r="X266" s="8" t="str">
        <f t="shared" si="79"/>
        <v xml:space="preserve"> skos:inScheme &lt;https://mindat.org/etmat/cscheme&gt; ;  </v>
      </c>
      <c r="Y266" s="8" t="str">
        <f t="shared" si="76"/>
        <v xml:space="preserve">skos:prefLabel "LL4-7 chondrite meteorite"@en ; rdfs:label "LL4-7 chondrite meteorite"@en ; </v>
      </c>
      <c r="Z266" s="8" t="str">
        <f t="shared" si="77"/>
        <v xml:space="preserve"> skos:notation  "LL4-7"@en ; </v>
      </c>
      <c r="AA266" s="8" t="str">
        <f t="shared" si="81"/>
        <v>dcterms:source "https://www.lpi.usra.edu/meteor/metbullclass.php?sea=LL4-7";</v>
      </c>
      <c r="AB266" s="8" t="str">
        <f t="shared" si="82"/>
        <v xml:space="preserve">skos:broader &lt;etma:1:1:49745:1&gt; ; </v>
      </c>
      <c r="AC266" s="8" t="str">
        <f t="shared" ca="1" si="83"/>
        <v>dcterms:modified "2023-06-20T08:57";  .</v>
      </c>
      <c r="AD266" s="10" t="str">
        <f t="shared" ca="1" si="78"/>
        <v>&lt;etma:1:1:49789:5&gt;  rdf:type skos:Concept ;     dcterms:source "https://www.mindat.org/min-49789.html" ;   skos:definition "An LL chondrite that is a breccia of petrological types 4 to 7."@en ;    skos:inScheme &lt;https://mindat.org/etmat/cscheme&gt; ;    skos:prefLabel "LL4-7 chondrite meteorite"@en ; rdfs:label "LL4-7 chondrite meteorite"@en ;    skos:notation  "LL4-7"@en ;   dcterms:source "https://www.lpi.usra.edu/meteor/metbullclass.php?sea=LL4-7";  skos:broader &lt;etma:1:1:49745:1&gt; ;   dcterms:modified "2023-06-20T08:57";  .</v>
      </c>
      <c r="AE266" s="8" t="s">
        <v>2591</v>
      </c>
    </row>
    <row r="267" spans="1:31" x14ac:dyDescent="0.25">
      <c r="A267" s="8">
        <v>244</v>
      </c>
      <c r="B267" s="8" t="s">
        <v>1231</v>
      </c>
      <c r="C267" s="8">
        <v>49790</v>
      </c>
      <c r="D267" s="8" t="s">
        <v>1229</v>
      </c>
      <c r="E267" s="8" t="s">
        <v>1230</v>
      </c>
      <c r="F267" s="9">
        <v>2</v>
      </c>
      <c r="G267" s="9" t="s">
        <v>508</v>
      </c>
      <c r="H267" s="1" t="s">
        <v>1232</v>
      </c>
      <c r="I267" s="8" t="str">
        <f t="shared" si="72"/>
        <v>https://www.mindat.org/min-49790.html</v>
      </c>
      <c r="J267" s="8">
        <v>49745</v>
      </c>
      <c r="K267" s="8" t="s">
        <v>1040</v>
      </c>
      <c r="N267" s="9">
        <v>0</v>
      </c>
      <c r="O267" s="9" t="s">
        <v>2249</v>
      </c>
      <c r="R267" s="8" t="s">
        <v>1233</v>
      </c>
      <c r="S267" s="11">
        <f t="shared" ca="1" si="84"/>
        <v>45097.373057291668</v>
      </c>
      <c r="U267" s="8" t="str">
        <f t="shared" si="73"/>
        <v xml:space="preserve">&lt;etma:1:1:49790:1&gt;  rdf:type skos:Concept ;  </v>
      </c>
      <c r="V267" s="8" t="str">
        <f t="shared" si="74"/>
        <v xml:space="preserve"> dcterms:source "https://www.mindat.org/min-49790.html" ; </v>
      </c>
      <c r="W267" s="8" t="str">
        <f t="shared" si="75"/>
        <v xml:space="preserve">skos:definition "An LL chondrite that is either petrological type 4, 5 or 6."@en ; </v>
      </c>
      <c r="X267" s="8" t="str">
        <f t="shared" si="79"/>
        <v xml:space="preserve"> skos:inScheme &lt;https://mindat.org/etmat/cscheme&gt; ;  </v>
      </c>
      <c r="Y267" s="8" t="str">
        <f t="shared" si="76"/>
        <v xml:space="preserve">skos:prefLabel "LL4/6 chondrite meteorite"@en ; rdfs:label "LL4/6 chondrite meteorite"@en ; </v>
      </c>
      <c r="Z267" s="8" t="str">
        <f t="shared" si="77"/>
        <v xml:space="preserve"> skos:notation  "LL4/6"@en ; </v>
      </c>
      <c r="AA267" s="8" t="str">
        <f t="shared" si="81"/>
        <v>dcterms:source "https://www.lpi.usra.edu/meteor/metbullclass.php?sea=LL4/6";</v>
      </c>
      <c r="AB267" s="8" t="str">
        <f t="shared" si="82"/>
        <v xml:space="preserve">skos:broader &lt;etma:1:1:49745:1&gt; ; </v>
      </c>
      <c r="AC267" s="8" t="str">
        <f t="shared" ca="1" si="83"/>
        <v>dcterms:modified "2023-06-20T08:57";  .</v>
      </c>
      <c r="AD267" s="10" t="str">
        <f t="shared" ca="1" si="78"/>
        <v>&lt;etma:1:1:49790:1&gt;  rdf:type skos:Concept ;     dcterms:source "https://www.mindat.org/min-49790.html" ;   skos:definition "An LL chondrite that is either petrological type 4, 5 or 6."@en ;    skos:inScheme &lt;https://mindat.org/etmat/cscheme&gt; ;    skos:prefLabel "LL4/6 chondrite meteorite"@en ; rdfs:label "LL4/6 chondrite meteorite"@en ;    skos:notation  "LL4/6"@en ;   dcterms:source "https://www.lpi.usra.edu/meteor/metbullclass.php?sea=LL4/6";  skos:broader &lt;etma:1:1:49745:1&gt; ;   dcterms:modified "2023-06-20T08:57";  .</v>
      </c>
      <c r="AE267" s="8" t="s">
        <v>2591</v>
      </c>
    </row>
    <row r="268" spans="1:31" x14ac:dyDescent="0.25">
      <c r="A268" s="8">
        <v>245</v>
      </c>
      <c r="B268" s="8" t="s">
        <v>1236</v>
      </c>
      <c r="C268" s="8">
        <v>49791</v>
      </c>
      <c r="D268" s="8" t="s">
        <v>1234</v>
      </c>
      <c r="E268" s="8" t="s">
        <v>1235</v>
      </c>
      <c r="F268" s="9">
        <v>2</v>
      </c>
      <c r="G268" s="9" t="s">
        <v>508</v>
      </c>
      <c r="H268" s="1" t="s">
        <v>1237</v>
      </c>
      <c r="I268" s="8" t="str">
        <f t="shared" si="72"/>
        <v>https://www.mindat.org/min-49791.html</v>
      </c>
      <c r="J268" s="8">
        <v>49745</v>
      </c>
      <c r="K268" s="8" t="s">
        <v>1040</v>
      </c>
      <c r="N268" s="9">
        <v>0</v>
      </c>
      <c r="O268" s="9" t="s">
        <v>2249</v>
      </c>
      <c r="R268" s="8" t="s">
        <v>1238</v>
      </c>
      <c r="S268" s="11">
        <f t="shared" ca="1" si="84"/>
        <v>45097.373057291668</v>
      </c>
      <c r="U268" s="8" t="str">
        <f t="shared" si="73"/>
        <v xml:space="preserve">&lt;etma:1:1:49791:0&gt;  rdf:type skos:Concept ;  </v>
      </c>
      <c r="V268" s="8" t="str">
        <f t="shared" si="74"/>
        <v xml:space="preserve"> dcterms:source "https://www.mindat.org/min-49791.html" ; </v>
      </c>
      <c r="W268" s="8" t="str">
        <f t="shared" si="75"/>
        <v xml:space="preserve">skos:definition "An ordinary chondrite that may be of petrologic type 6 and that is possibly an LL chondrite."@en ; </v>
      </c>
      <c r="X268" s="8" t="str">
        <f t="shared" si="79"/>
        <v xml:space="preserve"> skos:inScheme &lt;https://mindat.org/etmat/cscheme&gt; ;  </v>
      </c>
      <c r="Y268" s="8" t="str">
        <f t="shared" si="76"/>
        <v xml:space="preserve">skos:prefLabel "LL6(?) chondrite meteorite"@en ; rdfs:label "LL6(?) chondrite meteorite"@en ; </v>
      </c>
      <c r="Z268" s="8" t="str">
        <f t="shared" si="77"/>
        <v xml:space="preserve"> skos:notation  "LL6(?)"@en ; </v>
      </c>
      <c r="AA268" s="8" t="str">
        <f t="shared" si="81"/>
        <v>dcterms:source "https://www.lpi.usra.edu/meteor/metbullclass.php?sea=LL6(?)";</v>
      </c>
      <c r="AB268" s="8" t="str">
        <f t="shared" si="82"/>
        <v xml:space="preserve">skos:broader &lt;etma:1:1:49745:1&gt; ; </v>
      </c>
      <c r="AC268" s="8" t="str">
        <f t="shared" ca="1" si="83"/>
        <v>dcterms:modified "2023-06-20T08:57";  .</v>
      </c>
      <c r="AD268" s="10" t="str">
        <f t="shared" ca="1" si="78"/>
        <v>&lt;etma:1:1:49791:0&gt;  rdf:type skos:Concept ;     dcterms:source "https://www.mindat.org/min-49791.html" ;   skos:definition "An ordinary chondrite that may be of petrologic type 6 and that is possibly an LL chondrite."@en ;    skos:inScheme &lt;https://mindat.org/etmat/cscheme&gt; ;    skos:prefLabel "LL6(?) chondrite meteorite"@en ; rdfs:label "LL6(?) chondrite meteorite"@en ;    skos:notation  "LL6(?)"@en ;   dcterms:source "https://www.lpi.usra.edu/meteor/metbullclass.php?sea=LL6(?)";  skos:broader &lt;etma:1:1:49745:1&gt; ;   dcterms:modified "2023-06-20T08:57";  .</v>
      </c>
      <c r="AE268" s="8" t="s">
        <v>2591</v>
      </c>
    </row>
    <row r="269" spans="1:31" x14ac:dyDescent="0.25">
      <c r="A269" s="8">
        <v>246</v>
      </c>
      <c r="B269" s="8" t="s">
        <v>1241</v>
      </c>
      <c r="C269" s="8">
        <v>49792</v>
      </c>
      <c r="D269" s="8" t="s">
        <v>1239</v>
      </c>
      <c r="E269" s="8" t="s">
        <v>1240</v>
      </c>
      <c r="F269" s="9">
        <v>2</v>
      </c>
      <c r="G269" s="9" t="s">
        <v>508</v>
      </c>
      <c r="H269" s="1" t="s">
        <v>1242</v>
      </c>
      <c r="I269" s="8" t="str">
        <f t="shared" si="72"/>
        <v>https://www.mindat.org/min-49792.html</v>
      </c>
      <c r="J269" s="8">
        <v>49745</v>
      </c>
      <c r="K269" s="8" t="s">
        <v>1040</v>
      </c>
      <c r="N269" s="9">
        <v>0</v>
      </c>
      <c r="O269" s="9" t="s">
        <v>2249</v>
      </c>
      <c r="R269" s="8" t="s">
        <v>1243</v>
      </c>
      <c r="S269" s="11">
        <f t="shared" ca="1" si="84"/>
        <v>45097.373057407407</v>
      </c>
      <c r="U269" s="8" t="str">
        <f t="shared" si="73"/>
        <v xml:space="preserve">&lt;etma:1:1:49792:9&gt;  rdf:type skos:Concept ;  </v>
      </c>
      <c r="V269" s="8" t="str">
        <f t="shared" si="74"/>
        <v xml:space="preserve"> dcterms:source "https://www.mindat.org/min-49792.html" ; </v>
      </c>
      <c r="W269" s="8" t="str">
        <f t="shared" si="75"/>
        <v xml:space="preserve">skos:definition "An ordinary chondrite that may be of petrologic type 7 and that is possibly an LL chondrite."@en ; </v>
      </c>
      <c r="X269" s="8" t="str">
        <f t="shared" si="79"/>
        <v xml:space="preserve"> skos:inScheme &lt;https://mindat.org/etmat/cscheme&gt; ;  </v>
      </c>
      <c r="Y269" s="8" t="str">
        <f t="shared" si="76"/>
        <v xml:space="preserve">skos:prefLabel "LL7(?) chondrite meteorite"@en ; rdfs:label "LL7(?) chondrite meteorite"@en ; </v>
      </c>
      <c r="Z269" s="8" t="str">
        <f t="shared" si="77"/>
        <v xml:space="preserve"> skos:notation  "LL7(?)"@en ; </v>
      </c>
      <c r="AA269" s="8" t="str">
        <f t="shared" si="81"/>
        <v>dcterms:source "https://www.lpi.usra.edu/meteor/metbullclass.php?sea=LL7(?)";</v>
      </c>
      <c r="AB269" s="8" t="str">
        <f t="shared" si="82"/>
        <v xml:space="preserve">skos:broader &lt;etma:1:1:49745:1&gt; ; </v>
      </c>
      <c r="AC269" s="8" t="str">
        <f t="shared" ca="1" si="83"/>
        <v>dcterms:modified "2023-06-20T08:57";  .</v>
      </c>
      <c r="AD269" s="10" t="str">
        <f t="shared" ca="1" si="78"/>
        <v>&lt;etma:1:1:49792:9&gt;  rdf:type skos:Concept ;     dcterms:source "https://www.mindat.org/min-49792.html" ;   skos:definition "An ordinary chondrite that may be of petrologic type 7 and that is possibly an LL chondrite."@en ;    skos:inScheme &lt;https://mindat.org/etmat/cscheme&gt; ;    skos:prefLabel "LL7(?) chondrite meteorite"@en ; rdfs:label "LL7(?) chondrite meteorite"@en ;    skos:notation  "LL7(?)"@en ;   dcterms:source "https://www.lpi.usra.edu/meteor/metbullclass.php?sea=LL7(?)";  skos:broader &lt;etma:1:1:49745:1&gt; ;   dcterms:modified "2023-06-20T08:57";  .</v>
      </c>
      <c r="AE269" s="8" t="s">
        <v>2591</v>
      </c>
    </row>
    <row r="270" spans="1:31" x14ac:dyDescent="0.25">
      <c r="A270" s="8">
        <v>247</v>
      </c>
      <c r="B270" s="8" t="s">
        <v>1246</v>
      </c>
      <c r="C270" s="8">
        <v>49793</v>
      </c>
      <c r="D270" s="8" t="s">
        <v>1244</v>
      </c>
      <c r="E270" s="8" t="s">
        <v>1245</v>
      </c>
      <c r="F270" s="9">
        <v>2</v>
      </c>
      <c r="G270" s="9" t="s">
        <v>508</v>
      </c>
      <c r="H270" s="1" t="s">
        <v>1247</v>
      </c>
      <c r="I270" s="8" t="str">
        <f t="shared" si="72"/>
        <v>https://www.mindat.org/min-49793.html</v>
      </c>
      <c r="J270" s="8">
        <v>49745</v>
      </c>
      <c r="K270" s="8" t="s">
        <v>1040</v>
      </c>
      <c r="N270" s="9">
        <v>0</v>
      </c>
      <c r="O270" s="9" t="s">
        <v>2249</v>
      </c>
      <c r="R270" s="8" t="s">
        <v>1248</v>
      </c>
      <c r="S270" s="11">
        <f t="shared" ca="1" si="84"/>
        <v>45097.373057291668</v>
      </c>
      <c r="U270" s="8" t="str">
        <f t="shared" si="73"/>
        <v xml:space="preserve">&lt;etma:1:1:49793:8&gt;  rdf:type skos:Concept ;  </v>
      </c>
      <c r="V270" s="8" t="str">
        <f t="shared" si="74"/>
        <v xml:space="preserve"> dcterms:source "https://www.mindat.org/min-49793.html" ; </v>
      </c>
      <c r="W270" s="8" t="str">
        <f t="shared" si="75"/>
        <v xml:space="preserve">skos:definition "An LL chondrite that has a petrological type below 3.5."@en ; </v>
      </c>
      <c r="X270" s="8" t="str">
        <f t="shared" si="79"/>
        <v xml:space="preserve"> skos:inScheme &lt;https://mindat.org/etmat/cscheme&gt; ;  </v>
      </c>
      <c r="Y270" s="8" t="str">
        <f t="shared" si="76"/>
        <v xml:space="preserve">skos:prefLabel "LL&lt;3.5 chondrite meteorite"@en ; rdfs:label "LL&lt;3.5 chondrite meteorite"@en ; </v>
      </c>
      <c r="Z270" s="8" t="str">
        <f t="shared" si="77"/>
        <v xml:space="preserve"> skos:notation  "LL&lt;3.5"@en ; </v>
      </c>
      <c r="AA270" s="8" t="str">
        <f t="shared" si="81"/>
        <v>dcterms:source "https://www.lpi.usra.edu/meteor/metbullclass.php?sea=LL&lt;3.5";</v>
      </c>
      <c r="AB270" s="8" t="str">
        <f t="shared" si="82"/>
        <v xml:space="preserve">skos:broader &lt;etma:1:1:49745:1&gt; ; </v>
      </c>
      <c r="AC270" s="8" t="str">
        <f t="shared" ca="1" si="83"/>
        <v>dcterms:modified "2023-06-20T08:57";  .</v>
      </c>
      <c r="AD270" s="10" t="str">
        <f t="shared" ca="1" si="78"/>
        <v>&lt;etma:1:1:49793:8&gt;  rdf:type skos:Concept ;     dcterms:source "https://www.mindat.org/min-49793.html" ;   skos:definition "An LL chondrite that has a petrological type below 3.5."@en ;    skos:inScheme &lt;https://mindat.org/etmat/cscheme&gt; ;    skos:prefLabel "LL&lt;3.5 chondrite meteorite"@en ; rdfs:label "LL&lt;3.5 chondrite meteorite"@en ;    skos:notation  "LL&lt;3.5"@en ;   dcterms:source "https://www.lpi.usra.edu/meteor/metbullclass.php?sea=LL&lt;3.5";  skos:broader &lt;etma:1:1:49745:1&gt; ;   dcterms:modified "2023-06-20T08:57";  .</v>
      </c>
      <c r="AE270" s="8" t="s">
        <v>2591</v>
      </c>
    </row>
    <row r="271" spans="1:31" x14ac:dyDescent="0.25">
      <c r="A271" s="8">
        <v>248</v>
      </c>
      <c r="B271" s="8" t="s">
        <v>1251</v>
      </c>
      <c r="C271" s="8">
        <v>49794</v>
      </c>
      <c r="D271" s="8" t="s">
        <v>1249</v>
      </c>
      <c r="E271" s="8" t="s">
        <v>1250</v>
      </c>
      <c r="F271" s="9">
        <v>2</v>
      </c>
      <c r="G271" s="9" t="s">
        <v>508</v>
      </c>
      <c r="H271" s="1" t="s">
        <v>1252</v>
      </c>
      <c r="I271" s="8" t="str">
        <f t="shared" si="72"/>
        <v>https://www.mindat.org/min-49794.html</v>
      </c>
      <c r="J271" s="8">
        <v>49745</v>
      </c>
      <c r="K271" s="8" t="s">
        <v>1040</v>
      </c>
      <c r="N271" s="9">
        <v>0</v>
      </c>
      <c r="O271" s="9" t="s">
        <v>2249</v>
      </c>
      <c r="R271" s="8" t="s">
        <v>1253</v>
      </c>
      <c r="S271" s="11">
        <f t="shared" ca="1" si="84"/>
        <v>45097.373057291668</v>
      </c>
      <c r="U271" s="8" t="str">
        <f t="shared" si="73"/>
        <v xml:space="preserve">&lt;etma:1:1:49794:7&gt;  rdf:type skos:Concept ;  </v>
      </c>
      <c r="V271" s="8" t="str">
        <f t="shared" si="74"/>
        <v xml:space="preserve"> dcterms:source "https://www.mindat.org/min-49794.html" ; </v>
      </c>
      <c r="W271" s="8" t="str">
        <f t="shared" si="75"/>
        <v xml:space="preserve">skos:definition "An LL chondrite that is approximately of petrologic type 3."@en ; </v>
      </c>
      <c r="X271" s="8" t="str">
        <f t="shared" si="79"/>
        <v xml:space="preserve"> skos:inScheme &lt;https://mindat.org/etmat/cscheme&gt; ;  </v>
      </c>
      <c r="Y271" s="8" t="str">
        <f t="shared" si="76"/>
        <v xml:space="preserve">skos:prefLabel "LL~3 chondrite meteorite"@en ; rdfs:label "LL~3 chondrite meteorite"@en ; </v>
      </c>
      <c r="Z271" s="8" t="str">
        <f t="shared" si="77"/>
        <v xml:space="preserve"> skos:notation  "LL~3"@en ; </v>
      </c>
      <c r="AA271" s="8" t="str">
        <f t="shared" si="81"/>
        <v>dcterms:source "https://www.lpi.usra.edu/meteor/metbullclass.php?sea=LL~3";</v>
      </c>
      <c r="AB271" s="8" t="str">
        <f t="shared" si="82"/>
        <v xml:space="preserve">skos:broader &lt;etma:1:1:49745:1&gt; ; </v>
      </c>
      <c r="AC271" s="8" t="str">
        <f t="shared" ca="1" si="83"/>
        <v>dcterms:modified "2023-06-20T08:57";  .</v>
      </c>
      <c r="AD271" s="10" t="str">
        <f t="shared" ca="1" si="78"/>
        <v>&lt;etma:1:1:49794:7&gt;  rdf:type skos:Concept ;     dcterms:source "https://www.mindat.org/min-49794.html" ;   skos:definition "An LL chondrite that is approximately of petrologic type 3."@en ;    skos:inScheme &lt;https://mindat.org/etmat/cscheme&gt; ;    skos:prefLabel "LL~3 chondrite meteorite"@en ; rdfs:label "LL~3 chondrite meteorite"@en ;    skos:notation  "LL~3"@en ;   dcterms:source "https://www.lpi.usra.edu/meteor/metbullclass.php?sea=LL~3";  skos:broader &lt;etma:1:1:49745:1&gt; ;   dcterms:modified "2023-06-20T08:57";  .</v>
      </c>
      <c r="AE271" s="8" t="s">
        <v>2591</v>
      </c>
    </row>
    <row r="272" spans="1:31" x14ac:dyDescent="0.25">
      <c r="A272" s="8">
        <v>249</v>
      </c>
      <c r="B272" s="8" t="s">
        <v>1256</v>
      </c>
      <c r="C272" s="8">
        <v>49795</v>
      </c>
      <c r="D272" s="8" t="s">
        <v>1254</v>
      </c>
      <c r="E272" s="8" t="s">
        <v>1255</v>
      </c>
      <c r="F272" s="9">
        <v>2</v>
      </c>
      <c r="G272" s="9" t="s">
        <v>508</v>
      </c>
      <c r="H272" s="1" t="s">
        <v>1257</v>
      </c>
      <c r="I272" s="8" t="str">
        <f t="shared" si="72"/>
        <v>https://www.mindat.org/min-49795.html</v>
      </c>
      <c r="J272" s="8">
        <v>49745</v>
      </c>
      <c r="K272" s="8" t="s">
        <v>1040</v>
      </c>
      <c r="N272" s="9">
        <v>0</v>
      </c>
      <c r="O272" s="9" t="s">
        <v>2249</v>
      </c>
      <c r="R272" s="8" t="s">
        <v>1258</v>
      </c>
      <c r="S272" s="11">
        <f t="shared" ca="1" si="84"/>
        <v>45097.373057291668</v>
      </c>
      <c r="U272" s="8" t="str">
        <f t="shared" si="73"/>
        <v xml:space="preserve">&lt;etma:1:1:49795:6&gt;  rdf:type skos:Concept ;  </v>
      </c>
      <c r="V272" s="8" t="str">
        <f t="shared" si="74"/>
        <v xml:space="preserve"> dcterms:source "https://www.mindat.org/min-49795.html" ; </v>
      </c>
      <c r="W272" s="8" t="str">
        <f t="shared" si="75"/>
        <v xml:space="preserve">skos:definition "An LL chondrite that is approximately of petrologic type 4."@en ; </v>
      </c>
      <c r="X272" s="8" t="str">
        <f t="shared" si="79"/>
        <v xml:space="preserve"> skos:inScheme &lt;https://mindat.org/etmat/cscheme&gt; ;  </v>
      </c>
      <c r="Y272" s="8" t="str">
        <f t="shared" si="76"/>
        <v xml:space="preserve">skos:prefLabel "LL~4 chondrite meteorite"@en ; rdfs:label "LL~4 chondrite meteorite"@en ; </v>
      </c>
      <c r="Z272" s="8" t="str">
        <f t="shared" si="77"/>
        <v xml:space="preserve"> skos:notation  "LL~4"@en ; </v>
      </c>
      <c r="AA272" s="8" t="str">
        <f t="shared" si="81"/>
        <v>dcterms:source "https://www.lpi.usra.edu/meteor/metbullclass.php?sea=LL~4";</v>
      </c>
      <c r="AB272" s="8" t="str">
        <f t="shared" si="82"/>
        <v xml:space="preserve">skos:broader &lt;etma:1:1:49745:1&gt; ; </v>
      </c>
      <c r="AC272" s="8" t="str">
        <f t="shared" ca="1" si="83"/>
        <v>dcterms:modified "2023-06-20T08:57";  .</v>
      </c>
      <c r="AD272" s="10" t="str">
        <f t="shared" ca="1" si="78"/>
        <v>&lt;etma:1:1:49795:6&gt;  rdf:type skos:Concept ;     dcterms:source "https://www.mindat.org/min-49795.html" ;   skos:definition "An LL chondrite that is approximately of petrologic type 4."@en ;    skos:inScheme &lt;https://mindat.org/etmat/cscheme&gt; ;    skos:prefLabel "LL~4 chondrite meteorite"@en ; rdfs:label "LL~4 chondrite meteorite"@en ;    skos:notation  "LL~4"@en ;   dcterms:source "https://www.lpi.usra.edu/meteor/metbullclass.php?sea=LL~4";  skos:broader &lt;etma:1:1:49745:1&gt; ;   dcterms:modified "2023-06-20T08:57";  .</v>
      </c>
      <c r="AE272" s="8" t="s">
        <v>2591</v>
      </c>
    </row>
    <row r="273" spans="1:31" x14ac:dyDescent="0.25">
      <c r="A273" s="8">
        <v>250</v>
      </c>
      <c r="B273" s="8" t="s">
        <v>1261</v>
      </c>
      <c r="C273" s="8">
        <v>49796</v>
      </c>
      <c r="D273" s="8" t="s">
        <v>1259</v>
      </c>
      <c r="E273" s="8" t="s">
        <v>1260</v>
      </c>
      <c r="F273" s="9">
        <v>2</v>
      </c>
      <c r="G273" s="9" t="s">
        <v>508</v>
      </c>
      <c r="H273" s="1" t="s">
        <v>1262</v>
      </c>
      <c r="I273" s="8" t="str">
        <f t="shared" si="72"/>
        <v>https://www.mindat.org/min-49796.html</v>
      </c>
      <c r="J273" s="8">
        <v>49745</v>
      </c>
      <c r="K273" s="8" t="s">
        <v>1040</v>
      </c>
      <c r="N273" s="9">
        <v>0</v>
      </c>
      <c r="O273" s="9" t="s">
        <v>2249</v>
      </c>
      <c r="R273" s="8" t="s">
        <v>1263</v>
      </c>
      <c r="S273" s="11">
        <f t="shared" ca="1" si="84"/>
        <v>45097.373057291668</v>
      </c>
      <c r="U273" s="8" t="str">
        <f t="shared" si="73"/>
        <v xml:space="preserve">&lt;etma:1:1:49796:5&gt;  rdf:type skos:Concept ;  </v>
      </c>
      <c r="V273" s="8" t="str">
        <f t="shared" si="74"/>
        <v xml:space="preserve"> dcterms:source "https://www.mindat.org/min-49796.html" ; </v>
      </c>
      <c r="W273" s="8" t="str">
        <f t="shared" si="75"/>
        <v xml:space="preserve">skos:definition "An LL chondrite that is approximately of petrologic type 4 or 5."@en ; </v>
      </c>
      <c r="X273" s="8" t="str">
        <f t="shared" si="79"/>
        <v xml:space="preserve"> skos:inScheme &lt;https://mindat.org/etmat/cscheme&gt; ;  </v>
      </c>
      <c r="Y273" s="8" t="str">
        <f t="shared" si="76"/>
        <v xml:space="preserve">skos:prefLabel "LL~4/5 chondrite meteorite"@en ; rdfs:label "LL~4/5 chondrite meteorite"@en ; </v>
      </c>
      <c r="Z273" s="8" t="str">
        <f t="shared" si="77"/>
        <v xml:space="preserve"> skos:notation  "LL~4/5"@en ; </v>
      </c>
      <c r="AA273" s="8" t="str">
        <f t="shared" si="81"/>
        <v>dcterms:source "https://www.lpi.usra.edu/meteor/metbullclass.php?sea=LL~4/5";</v>
      </c>
      <c r="AB273" s="8" t="str">
        <f t="shared" si="82"/>
        <v xml:space="preserve">skos:broader &lt;etma:1:1:49745:1&gt; ; </v>
      </c>
      <c r="AC273" s="8" t="str">
        <f t="shared" ca="1" si="83"/>
        <v>dcterms:modified "2023-06-20T08:57";  .</v>
      </c>
      <c r="AD273" s="10" t="str">
        <f t="shared" ca="1" si="78"/>
        <v>&lt;etma:1:1:49796:5&gt;  rdf:type skos:Concept ;     dcterms:source "https://www.mindat.org/min-49796.html" ;   skos:definition "An LL chondrite that is approximately of petrologic type 4 or 5."@en ;    skos:inScheme &lt;https://mindat.org/etmat/cscheme&gt; ;    skos:prefLabel "LL~4/5 chondrite meteorite"@en ; rdfs:label "LL~4/5 chondrite meteorite"@en ;    skos:notation  "LL~4/5"@en ;   dcterms:source "https://www.lpi.usra.edu/meteor/metbullclass.php?sea=LL~4/5";  skos:broader &lt;etma:1:1:49745:1&gt; ;   dcterms:modified "2023-06-20T08:57";  .</v>
      </c>
      <c r="AE273" s="8" t="s">
        <v>2591</v>
      </c>
    </row>
    <row r="274" spans="1:31" x14ac:dyDescent="0.25">
      <c r="A274" s="8">
        <v>251</v>
      </c>
      <c r="B274" s="8" t="s">
        <v>1266</v>
      </c>
      <c r="C274" s="8">
        <v>49797</v>
      </c>
      <c r="D274" s="8" t="s">
        <v>1264</v>
      </c>
      <c r="E274" s="8" t="s">
        <v>1265</v>
      </c>
      <c r="F274" s="9">
        <v>2</v>
      </c>
      <c r="G274" s="9" t="s">
        <v>508</v>
      </c>
      <c r="H274" s="1" t="s">
        <v>1033</v>
      </c>
      <c r="I274" s="8" t="str">
        <f t="shared" si="72"/>
        <v>https://www.mindat.org/min-49797.html</v>
      </c>
      <c r="J274" s="8">
        <v>49745</v>
      </c>
      <c r="K274" s="8" t="s">
        <v>1040</v>
      </c>
      <c r="N274" s="9">
        <v>0</v>
      </c>
      <c r="O274" s="9" t="s">
        <v>2249</v>
      </c>
      <c r="R274" s="8" t="s">
        <v>1267</v>
      </c>
      <c r="S274" s="11">
        <f t="shared" ca="1" si="84"/>
        <v>45097.373057291668</v>
      </c>
      <c r="U274" s="8" t="str">
        <f t="shared" si="73"/>
        <v xml:space="preserve">&lt;etma:1:1:49797:4&gt;  rdf:type skos:Concept ;  </v>
      </c>
      <c r="V274" s="8" t="str">
        <f t="shared" si="74"/>
        <v xml:space="preserve"> dcterms:source "https://www.mindat.org/min-49797.html" ; </v>
      </c>
      <c r="W274" s="8" t="str">
        <f t="shared" si="75"/>
        <v xml:space="preserve">skos:definition "An L chondrite that is approximately of petrologic type 5."@en ; </v>
      </c>
      <c r="X274" s="8" t="str">
        <f t="shared" si="79"/>
        <v xml:space="preserve"> skos:inScheme &lt;https://mindat.org/etmat/cscheme&gt; ;  </v>
      </c>
      <c r="Y274" s="8" t="str">
        <f t="shared" si="76"/>
        <v xml:space="preserve">skos:prefLabel "LL~5 chondrite meteorite"@en ; rdfs:label "LL~5 chondrite meteorite"@en ; </v>
      </c>
      <c r="Z274" s="8" t="str">
        <f t="shared" si="77"/>
        <v xml:space="preserve"> skos:notation  "LL~5"@en ; </v>
      </c>
      <c r="AA274" s="8" t="str">
        <f t="shared" si="81"/>
        <v>dcterms:source "https://www.lpi.usra.edu/meteor/metbullclass.php?sea=LL~5";</v>
      </c>
      <c r="AB274" s="8" t="str">
        <f t="shared" si="82"/>
        <v xml:space="preserve">skos:broader &lt;etma:1:1:49745:1&gt; ; </v>
      </c>
      <c r="AC274" s="8" t="str">
        <f t="shared" ca="1" si="83"/>
        <v>dcterms:modified "2023-06-20T08:57";  .</v>
      </c>
      <c r="AD274" s="10" t="str">
        <f t="shared" ca="1" si="78"/>
        <v>&lt;etma:1:1:49797:4&gt;  rdf:type skos:Concept ;     dcterms:source "https://www.mindat.org/min-49797.html" ;   skos:definition "An L chondrite that is approximately of petrologic type 5."@en ;    skos:inScheme &lt;https://mindat.org/etmat/cscheme&gt; ;    skos:prefLabel "LL~5 chondrite meteorite"@en ; rdfs:label "LL~5 chondrite meteorite"@en ;    skos:notation  "LL~5"@en ;   dcterms:source "https://www.lpi.usra.edu/meteor/metbullclass.php?sea=LL~5";  skos:broader &lt;etma:1:1:49745:1&gt; ;   dcterms:modified "2023-06-20T08:57";  .</v>
      </c>
      <c r="AE274" s="8" t="s">
        <v>2591</v>
      </c>
    </row>
    <row r="275" spans="1:31" x14ac:dyDescent="0.25">
      <c r="A275" s="8">
        <v>252</v>
      </c>
      <c r="B275" s="8" t="s">
        <v>1270</v>
      </c>
      <c r="C275" s="8">
        <v>49798</v>
      </c>
      <c r="D275" s="8" t="s">
        <v>1268</v>
      </c>
      <c r="E275" s="8" t="s">
        <v>1269</v>
      </c>
      <c r="F275" s="9">
        <v>2</v>
      </c>
      <c r="G275" s="9" t="s">
        <v>508</v>
      </c>
      <c r="H275" s="1" t="s">
        <v>1271</v>
      </c>
      <c r="I275" s="8" t="str">
        <f t="shared" ref="I275:I338" si="85">"https://www.mindat.org/min-"&amp; C275 &amp; ".html"</f>
        <v>https://www.mindat.org/min-49798.html</v>
      </c>
      <c r="J275" s="8">
        <v>49745</v>
      </c>
      <c r="K275" s="8" t="s">
        <v>1040</v>
      </c>
      <c r="N275" s="9">
        <v>0</v>
      </c>
      <c r="O275" s="9" t="s">
        <v>2249</v>
      </c>
      <c r="R275" s="8" t="s">
        <v>1272</v>
      </c>
      <c r="S275" s="11">
        <f t="shared" ca="1" si="84"/>
        <v>45097.373057291668</v>
      </c>
      <c r="U275" s="8" t="str">
        <f t="shared" ref="U275:U338" si="86">"&lt;etma:"&amp;D275&amp; "&gt;  rdf:type skos:Concept ;  "</f>
        <v xml:space="preserve">&lt;etma:1:1:49798:3&gt;  rdf:type skos:Concept ;  </v>
      </c>
      <c r="V275" s="8" t="str">
        <f t="shared" ref="V275:V338" si="87" xml:space="preserve"> " dcterms:source """ &amp; I275 &amp; """ ; "</f>
        <v xml:space="preserve"> dcterms:source "https://www.mindat.org/min-49798.html" ; </v>
      </c>
      <c r="W275" s="8" t="str">
        <f t="shared" ref="W275:W338" si="88">"skos:definition """ &amp; H275 &amp; """@en ; "</f>
        <v xml:space="preserve">skos:definition "An L chondrite that is approximately of petrologic type 7."@en ; </v>
      </c>
      <c r="X275" s="8" t="str">
        <f t="shared" si="79"/>
        <v xml:space="preserve"> skos:inScheme &lt;https://mindat.org/etmat/cscheme&gt; ;  </v>
      </c>
      <c r="Y275" s="8" t="str">
        <f t="shared" ref="Y275:Y338" si="89">"skos:prefLabel """ &amp; B275 &amp; """@en ; rdfs:label """ &amp; B275 &amp; """@en ; "</f>
        <v xml:space="preserve">skos:prefLabel "LL~6 chondrite meteorite"@en ; rdfs:label "LL~6 chondrite meteorite"@en ; </v>
      </c>
      <c r="Z275" s="8" t="str">
        <f t="shared" ref="Z275:Z338" si="90">IF(ISBLANK(Q275),"", "skos:altLabel """&amp;Q275&amp;"""@en ; ") &amp; IF(ISBLANK(P275),"", "skos:exactMatch  &lt;etma:"&amp;P275&amp;"&gt; ; ") &amp;  IF(ISBLANK(R275),"", " skos:notation  """&amp; R275 &amp;"""@en ; ")</f>
        <v xml:space="preserve"> skos:notation  "LL~6"@en ; </v>
      </c>
      <c r="AA275" s="8" t="str">
        <f t="shared" si="81"/>
        <v>dcterms:source "https://www.lpi.usra.edu/meteor/metbullclass.php?sea=LL~6";</v>
      </c>
      <c r="AB275" s="8" t="str">
        <f t="shared" si="82"/>
        <v xml:space="preserve">skos:broader &lt;etma:1:1:49745:1&gt; ; </v>
      </c>
      <c r="AC275" s="8" t="str">
        <f t="shared" ca="1" si="83"/>
        <v>dcterms:modified "2023-06-20T08:57";  .</v>
      </c>
      <c r="AD275" s="10" t="str">
        <f t="shared" ref="AD275:AD338" ca="1" si="91">_xlfn.TEXTJOIN("  ", TRUE, U275:AC275)</f>
        <v>&lt;etma:1:1:49798:3&gt;  rdf:type skos:Concept ;     dcterms:source "https://www.mindat.org/min-49798.html" ;   skos:definition "An L chondrite that is approximately of petrologic type 7."@en ;    skos:inScheme &lt;https://mindat.org/etmat/cscheme&gt; ;    skos:prefLabel "LL~6 chondrite meteorite"@en ; rdfs:label "LL~6 chondrite meteorite"@en ;    skos:notation  "LL~6"@en ;   dcterms:source "https://www.lpi.usra.edu/meteor/metbullclass.php?sea=LL~6";  skos:broader &lt;etma:1:1:49745:1&gt; ;   dcterms:modified "2023-06-20T08:57";  .</v>
      </c>
      <c r="AE275" s="8" t="s">
        <v>2591</v>
      </c>
    </row>
    <row r="276" spans="1:31" x14ac:dyDescent="0.25">
      <c r="A276" s="8">
        <v>253</v>
      </c>
      <c r="B276" s="8" t="s">
        <v>1275</v>
      </c>
      <c r="C276" s="8">
        <v>49799</v>
      </c>
      <c r="D276" s="8" t="s">
        <v>1273</v>
      </c>
      <c r="E276" s="8" t="s">
        <v>1274</v>
      </c>
      <c r="F276" s="9">
        <v>2</v>
      </c>
      <c r="G276" s="9" t="s">
        <v>508</v>
      </c>
      <c r="H276" s="1" t="s">
        <v>1276</v>
      </c>
      <c r="I276" s="8" t="str">
        <f t="shared" si="85"/>
        <v>https://www.mindat.org/min-49799.html</v>
      </c>
      <c r="J276" s="8">
        <v>49745</v>
      </c>
      <c r="K276" s="8" t="s">
        <v>1040</v>
      </c>
      <c r="N276" s="9">
        <v>0</v>
      </c>
      <c r="O276" s="9" t="s">
        <v>2249</v>
      </c>
      <c r="R276" s="8" t="s">
        <v>1277</v>
      </c>
      <c r="S276" s="11">
        <f t="shared" ca="1" si="84"/>
        <v>45097.373057291668</v>
      </c>
      <c r="U276" s="8" t="str">
        <f t="shared" si="86"/>
        <v xml:space="preserve">&lt;etma:1:1:49799:2&gt;  rdf:type skos:Concept ;  </v>
      </c>
      <c r="V276" s="8" t="str">
        <f t="shared" si="87"/>
        <v xml:space="preserve"> dcterms:source "https://www.mindat.org/min-49799.html" ; </v>
      </c>
      <c r="W276" s="8" t="str">
        <f t="shared" si="88"/>
        <v xml:space="preserve">skos:definition "An ordinary chondrite that may an LL chondrite."@en ; </v>
      </c>
      <c r="X276" s="8" t="str">
        <f t="shared" si="79"/>
        <v xml:space="preserve"> skos:inScheme &lt;https://mindat.org/etmat/cscheme&gt; ;  </v>
      </c>
      <c r="Y276" s="8" t="str">
        <f t="shared" si="89"/>
        <v xml:space="preserve">skos:prefLabel "LL? chondrite meteorite"@en ; rdfs:label "LL? chondrite meteorite"@en ; </v>
      </c>
      <c r="Z276" s="8" t="str">
        <f t="shared" si="90"/>
        <v xml:space="preserve"> skos:notation  "LL?"@en ; </v>
      </c>
      <c r="AA276" s="8" t="str">
        <f t="shared" si="81"/>
        <v>dcterms:source "https://www.lpi.usra.edu/meteor/metbullclass.php?sea=LL?";</v>
      </c>
      <c r="AB276" s="8" t="str">
        <f t="shared" si="82"/>
        <v xml:space="preserve">skos:broader &lt;etma:1:1:49745:1&gt; ; </v>
      </c>
      <c r="AC276" s="8" t="str">
        <f t="shared" ca="1" si="83"/>
        <v>dcterms:modified "2023-06-20T08:57";  .</v>
      </c>
      <c r="AD276" s="10" t="str">
        <f t="shared" ca="1" si="91"/>
        <v>&lt;etma:1:1:49799:2&gt;  rdf:type skos:Concept ;     dcterms:source "https://www.mindat.org/min-49799.html" ;   skos:definition "An ordinary chondrite that may an LL chondrite."@en ;    skos:inScheme &lt;https://mindat.org/etmat/cscheme&gt; ;    skos:prefLabel "LL? chondrite meteorite"@en ; rdfs:label "LL? chondrite meteorite"@en ;    skos:notation  "LL?"@en ;   dcterms:source "https://www.lpi.usra.edu/meteor/metbullclass.php?sea=LL?";  skos:broader &lt;etma:1:1:49745:1&gt; ;   dcterms:modified "2023-06-20T08:57";  .</v>
      </c>
      <c r="AE276" s="8" t="s">
        <v>2591</v>
      </c>
    </row>
    <row r="277" spans="1:31" hidden="1" x14ac:dyDescent="0.25">
      <c r="A277" s="8">
        <v>244</v>
      </c>
      <c r="B277" s="8" t="s">
        <v>2308</v>
      </c>
      <c r="C277" s="8">
        <v>49800</v>
      </c>
      <c r="D277" s="8" t="s">
        <v>2307</v>
      </c>
      <c r="E277" s="8" t="s">
        <v>2309</v>
      </c>
      <c r="F277" s="9">
        <v>7</v>
      </c>
      <c r="G277" s="9" t="s">
        <v>14</v>
      </c>
      <c r="H277" s="1" t="s">
        <v>2567</v>
      </c>
      <c r="I277" s="8" t="str">
        <f t="shared" si="85"/>
        <v>https://www.mindat.org/min-49800.html</v>
      </c>
      <c r="J277" s="8">
        <v>49515</v>
      </c>
      <c r="K277" s="8" t="s">
        <v>17</v>
      </c>
      <c r="N277" s="9">
        <v>1</v>
      </c>
      <c r="S277" s="11">
        <f t="shared" ca="1" si="84"/>
        <v>45097.373057407407</v>
      </c>
      <c r="U277" s="8" t="str">
        <f t="shared" si="86"/>
        <v xml:space="preserve">&lt;etma:1:1:49800:7&gt;  rdf:type skos:Concept ;  </v>
      </c>
      <c r="V277" s="8" t="str">
        <f t="shared" si="87"/>
        <v xml:space="preserve"> dcterms:source "https://www.mindat.org/min-49800.html" ; </v>
      </c>
      <c r="W277" s="8" t="str">
        <f t="shared" si="88"/>
        <v xml:space="preserve">skos:definition "A major class of chondrites that mostly have sub-solar Mg/Si and refractory/Si ratios, oxygen isotope compositions that plot near the terrestrial fractionation line, and highly reduced mineral assemblages (containing little FeO, Si-bearing metal, and sulfides of elements normally considered lithophile."@en ; </v>
      </c>
      <c r="X277" s="8" t="str">
        <f t="shared" si="79"/>
        <v xml:space="preserve"> skos:inScheme &lt;https://mindat.org/etmat/cscheme&gt; ;  </v>
      </c>
      <c r="Y277" s="8" t="str">
        <f t="shared" si="89"/>
        <v xml:space="preserve">skos:prefLabel "Enstatite chondrite meteorite"@en ; rdfs:label "Enstatite chondrite meteorite"@en ; </v>
      </c>
      <c r="Z277" s="8" t="str">
        <f t="shared" si="90"/>
        <v/>
      </c>
      <c r="AA277" s="8" t="str">
        <f t="shared" si="81"/>
        <v/>
      </c>
      <c r="AB277" s="8" t="str">
        <f t="shared" si="82"/>
        <v xml:space="preserve">skos:broader &lt;etma:1:1:49515:2&gt; ; </v>
      </c>
      <c r="AC277" s="8" t="str">
        <f t="shared" ca="1" si="83"/>
        <v>dcterms:modified "2023-06-20T08:57";  .</v>
      </c>
      <c r="AD277" s="10" t="str">
        <f t="shared" ca="1" si="91"/>
        <v>&lt;etma:1:1:49800:7&gt;  rdf:type skos:Concept ;     dcterms:source "https://www.mindat.org/min-49800.html" ;   skos:definition "A major class of chondrites that mostly have sub-solar Mg/Si and refractory/Si ratios, oxygen isotope compositions that plot near the terrestrial fractionation line, and highly reduced mineral assemblages (containing little FeO, Si-bearing metal, and sulfides of elements normally considered lithophile."@en ;    skos:inScheme &lt;https://mindat.org/etmat/cscheme&gt; ;    skos:prefLabel "Enstatite chondrite meteorite"@en ; rdfs:label "Enstatite chondrite meteorite"@en ;   skos:broader &lt;etma:1:1:49515:2&gt; ;   dcterms:modified "2023-06-20T08:57";  .</v>
      </c>
      <c r="AE277" s="8" t="s">
        <v>2591</v>
      </c>
    </row>
    <row r="278" spans="1:31" x14ac:dyDescent="0.25">
      <c r="A278" s="8">
        <v>254</v>
      </c>
      <c r="B278" s="8" t="s">
        <v>1280</v>
      </c>
      <c r="C278" s="8">
        <v>49802</v>
      </c>
      <c r="D278" s="8" t="s">
        <v>1278</v>
      </c>
      <c r="E278" s="8" t="s">
        <v>1279</v>
      </c>
      <c r="F278" s="9">
        <v>7</v>
      </c>
      <c r="G278" s="9" t="s">
        <v>14</v>
      </c>
      <c r="H278" s="1" t="s">
        <v>1281</v>
      </c>
      <c r="I278" s="8" t="str">
        <f t="shared" si="85"/>
        <v>https://www.mindat.org/min-49802.html</v>
      </c>
      <c r="J278" s="8">
        <v>49800</v>
      </c>
      <c r="K278" s="8" t="s">
        <v>2307</v>
      </c>
      <c r="N278" s="9">
        <v>0</v>
      </c>
      <c r="O278" s="9" t="s">
        <v>2249</v>
      </c>
      <c r="R278" s="8" t="s">
        <v>1282</v>
      </c>
      <c r="S278" s="11">
        <v>43051.047789351855</v>
      </c>
      <c r="U278" s="8" t="str">
        <f t="shared" si="86"/>
        <v xml:space="preserve">&lt;etma:1:1:49802:5&gt;  rdf:type skos:Concept ;  </v>
      </c>
      <c r="V278" s="8" t="str">
        <f t="shared" si="87"/>
        <v xml:space="preserve"> dcterms:source "https://www.mindat.org/min-49802.html" ; </v>
      </c>
      <c r="W278" s="8" t="str">
        <f t="shared" si="88"/>
        <v xml:space="preserve">skos:definition "An E chondrite that is anomalous and for which the petrologic type has not been determined."@en ; </v>
      </c>
      <c r="X278" s="8" t="str">
        <f t="shared" si="79"/>
        <v xml:space="preserve"> skos:inScheme &lt;https://mindat.org/etmat/cscheme&gt; ;  </v>
      </c>
      <c r="Y278" s="8" t="str">
        <f t="shared" si="89"/>
        <v xml:space="preserve">skos:prefLabel "Anomalous E chondrite meteorite"@en ; rdfs:label "Anomalous E chondrite meteorite"@en ; </v>
      </c>
      <c r="Z278" s="8" t="str">
        <f t="shared" si="90"/>
        <v xml:space="preserve"> skos:notation  "E-an"@en ; </v>
      </c>
      <c r="AA278" s="8" t="str">
        <f t="shared" si="81"/>
        <v>dcterms:source "https://www.lpi.usra.edu/meteor/metbullclass.php?sea=E-an";</v>
      </c>
      <c r="AB278" s="8" t="str">
        <f t="shared" si="82"/>
        <v xml:space="preserve">skos:broader &lt;etma:1:1:49800:7&gt; ; </v>
      </c>
      <c r="AC278" s="8" t="str">
        <f t="shared" si="83"/>
        <v>dcterms:modified "2017-11-12T01:08";  .</v>
      </c>
      <c r="AD278" s="10" t="str">
        <f t="shared" si="91"/>
        <v>&lt;etma:1:1:49802:5&gt;  rdf:type skos:Concept ;     dcterms:source "https://www.mindat.org/min-49802.html" ;   skos:definition "An E chondrite that is anomalous and for which the petrologic type has not been determined."@en ;    skos:inScheme &lt;https://mindat.org/etmat/cscheme&gt; ;    skos:prefLabel "Anomalous E chondrite meteorite"@en ; rdfs:label "Anomalous E chondrite meteorite"@en ;    skos:notation  "E-an"@en ;   dcterms:source "https://www.lpi.usra.edu/meteor/metbullclass.php?sea=E-an";  skos:broader &lt;etma:1:1:49800:7&gt; ;   dcterms:modified "2017-11-12T01:08";  .</v>
      </c>
      <c r="AE278" s="8" t="s">
        <v>2591</v>
      </c>
    </row>
    <row r="279" spans="1:31" x14ac:dyDescent="0.25">
      <c r="A279" s="8">
        <v>255</v>
      </c>
      <c r="B279" s="8" t="s">
        <v>1285</v>
      </c>
      <c r="C279" s="8">
        <v>49803</v>
      </c>
      <c r="D279" s="8" t="s">
        <v>1283</v>
      </c>
      <c r="E279" s="8" t="s">
        <v>1284</v>
      </c>
      <c r="F279" s="9">
        <v>7</v>
      </c>
      <c r="G279" s="9" t="s">
        <v>14</v>
      </c>
      <c r="H279" s="1" t="s">
        <v>1286</v>
      </c>
      <c r="I279" s="8" t="str">
        <f t="shared" si="85"/>
        <v>https://www.mindat.org/min-49803.html</v>
      </c>
      <c r="J279" s="8">
        <v>49800</v>
      </c>
      <c r="K279" s="8" t="s">
        <v>2307</v>
      </c>
      <c r="N279" s="9">
        <v>0</v>
      </c>
      <c r="O279" s="9" t="s">
        <v>2249</v>
      </c>
      <c r="R279" s="8" t="s">
        <v>1287</v>
      </c>
      <c r="S279" s="11">
        <f t="shared" ref="S279:S280" ca="1" si="92">NOW()</f>
        <v>45097.373057291668</v>
      </c>
      <c r="U279" s="8" t="str">
        <f t="shared" si="86"/>
        <v xml:space="preserve">&lt;etma:1:1:49803:4&gt;  rdf:type skos:Concept ;  </v>
      </c>
      <c r="V279" s="8" t="str">
        <f t="shared" si="87"/>
        <v xml:space="preserve"> dcterms:source "https://www.mindat.org/min-49803.html" ; </v>
      </c>
      <c r="W279" s="8" t="str">
        <f t="shared" si="88"/>
        <v xml:space="preserve">skos:definition "An E chondrite that is a breccia with melted material forming the matrix and for which the petrologic type has not been determined."@en ; </v>
      </c>
      <c r="X279" s="8" t="str">
        <f t="shared" si="79"/>
        <v xml:space="preserve"> skos:inScheme &lt;https://mindat.org/etmat/cscheme&gt; ;  </v>
      </c>
      <c r="Y279" s="8" t="str">
        <f t="shared" si="89"/>
        <v xml:space="preserve">skos:prefLabel "E-melt breccia chondrite meteorite"@en ; rdfs:label "E-melt breccia chondrite meteorite"@en ; </v>
      </c>
      <c r="Z279" s="8" t="str">
        <f t="shared" si="90"/>
        <v xml:space="preserve"> skos:notation  "E-melt breccia"@en ; </v>
      </c>
      <c r="AA279" s="8" t="str">
        <f t="shared" si="81"/>
        <v>dcterms:source "https://www.lpi.usra.edu/meteor/metbullclass.php?sea=E-melt%20breccia";</v>
      </c>
      <c r="AB279" s="8" t="str">
        <f t="shared" si="82"/>
        <v xml:space="preserve">skos:broader &lt;etma:1:1:49800:7&gt; ; </v>
      </c>
      <c r="AC279" s="8" t="str">
        <f t="shared" ca="1" si="83"/>
        <v>dcterms:modified "2023-06-20T08:57";  .</v>
      </c>
      <c r="AD279" s="10" t="str">
        <f t="shared" ca="1" si="91"/>
        <v>&lt;etma:1:1:49803:4&gt;  rdf:type skos:Concept ;     dcterms:source "https://www.mindat.org/min-49803.html" ;   skos:definition "An E chondrite that is a breccia with melted material forming the matrix and for which the petrologic type has not been determined."@en ;    skos:inScheme &lt;https://mindat.org/etmat/cscheme&gt; ;    skos:prefLabel "E-melt breccia chondrite meteorite"@en ; rdfs:label "E-melt breccia chondrite meteorite"@en ;    skos:notation  "E-melt breccia"@en ;   dcterms:source "https://www.lpi.usra.edu/meteor/metbullclass.php?sea=E-melt%20breccia";  skos:broader &lt;etma:1:1:49800:7&gt; ;   dcterms:modified "2023-06-20T08:57";  .</v>
      </c>
      <c r="AE279" s="8" t="s">
        <v>2591</v>
      </c>
    </row>
    <row r="280" spans="1:31" x14ac:dyDescent="0.25">
      <c r="A280" s="8">
        <v>256</v>
      </c>
      <c r="B280" s="8" t="s">
        <v>1290</v>
      </c>
      <c r="C280" s="8">
        <v>49804</v>
      </c>
      <c r="D280" s="8" t="s">
        <v>1288</v>
      </c>
      <c r="E280" s="8" t="s">
        <v>1289</v>
      </c>
      <c r="F280" s="9">
        <v>7</v>
      </c>
      <c r="G280" s="9" t="s">
        <v>14</v>
      </c>
      <c r="H280" s="1" t="s">
        <v>1291</v>
      </c>
      <c r="I280" s="8" t="str">
        <f t="shared" si="85"/>
        <v>https://www.mindat.org/min-49804.html</v>
      </c>
      <c r="J280" s="8">
        <v>49800</v>
      </c>
      <c r="K280" s="8" t="s">
        <v>2307</v>
      </c>
      <c r="L280" s="9">
        <v>49842</v>
      </c>
      <c r="M280" s="8" t="s">
        <v>2400</v>
      </c>
      <c r="N280" s="9">
        <v>1</v>
      </c>
      <c r="O280" s="9" t="s">
        <v>2249</v>
      </c>
      <c r="R280" s="8" t="s">
        <v>1292</v>
      </c>
      <c r="S280" s="11">
        <f t="shared" ca="1" si="92"/>
        <v>45097.373057291668</v>
      </c>
      <c r="U280" s="8" t="str">
        <f t="shared" si="86"/>
        <v xml:space="preserve">&lt;etma:1:1:49804:3&gt;  rdf:type skos:Concept ;  </v>
      </c>
      <c r="V280" s="8" t="str">
        <f t="shared" si="87"/>
        <v xml:space="preserve"> dcterms:source "https://www.mindat.org/min-49804.html" ; </v>
      </c>
      <c r="W280" s="8" t="str">
        <f t="shared" si="88"/>
        <v xml:space="preserve">skos:definition "An E chondrite that is of petrologic type 3."@en ; </v>
      </c>
      <c r="X280" s="8" t="str">
        <f t="shared" si="79"/>
        <v xml:space="preserve"> skos:inScheme &lt;https://mindat.org/etmat/cscheme&gt; ;  </v>
      </c>
      <c r="Y280" s="8" t="str">
        <f t="shared" si="89"/>
        <v xml:space="preserve">skos:prefLabel "E3 chondrite meteorite"@en ; rdfs:label "E3 chondrite meteorite"@en ; </v>
      </c>
      <c r="Z280" s="8" t="str">
        <f t="shared" si="90"/>
        <v xml:space="preserve"> skos:notation  "E3"@en ; </v>
      </c>
      <c r="AA280" s="8" t="str">
        <f t="shared" si="81"/>
        <v>dcterms:source "https://www.lpi.usra.edu/meteor/metbullclass.php?sea=E3";</v>
      </c>
      <c r="AB280" s="8" t="str">
        <f t="shared" si="82"/>
        <v xml:space="preserve">skos:broader &lt;etma:1:1:49800:7&gt;, &lt;etma:1:1:49842:3&gt; ; </v>
      </c>
      <c r="AC280" s="8" t="str">
        <f t="shared" ca="1" si="83"/>
        <v>dcterms:modified "2023-06-20T08:57";  .</v>
      </c>
      <c r="AD280" s="10" t="str">
        <f t="shared" ca="1" si="91"/>
        <v>&lt;etma:1:1:49804:3&gt;  rdf:type skos:Concept ;     dcterms:source "https://www.mindat.org/min-49804.html" ;   skos:definition "An E chondrite that is of petrologic type 3."@en ;    skos:inScheme &lt;https://mindat.org/etmat/cscheme&gt; ;    skos:prefLabel "E3 chondrite meteorite"@en ; rdfs:label "E3 chondrite meteorite"@en ;    skos:notation  "E3"@en ;   dcterms:source "https://www.lpi.usra.edu/meteor/metbullclass.php?sea=E3";  skos:broader &lt;etma:1:1:49800:7&gt;, &lt;etma:1:1:49842:3&gt; ;   dcterms:modified "2023-06-20T08:57";  .</v>
      </c>
      <c r="AE280" s="8" t="s">
        <v>2591</v>
      </c>
    </row>
    <row r="281" spans="1:31" x14ac:dyDescent="0.25">
      <c r="A281" s="8">
        <v>257</v>
      </c>
      <c r="B281" s="8" t="s">
        <v>1295</v>
      </c>
      <c r="C281" s="8">
        <v>49805</v>
      </c>
      <c r="D281" s="8" t="s">
        <v>1293</v>
      </c>
      <c r="E281" s="8" t="s">
        <v>1294</v>
      </c>
      <c r="F281" s="9">
        <v>7</v>
      </c>
      <c r="G281" s="9" t="s">
        <v>14</v>
      </c>
      <c r="H281" s="1" t="s">
        <v>1296</v>
      </c>
      <c r="I281" s="8" t="str">
        <f t="shared" si="85"/>
        <v>https://www.mindat.org/min-49805.html</v>
      </c>
      <c r="J281" s="8">
        <v>49804</v>
      </c>
      <c r="K281" s="8" t="s">
        <v>1288</v>
      </c>
      <c r="N281" s="9">
        <v>0</v>
      </c>
      <c r="O281" s="9">
        <v>52390</v>
      </c>
      <c r="P281" s="8" t="s">
        <v>2509</v>
      </c>
      <c r="Q281" s="8" t="s">
        <v>2510</v>
      </c>
      <c r="R281" s="8" t="s">
        <v>1297</v>
      </c>
      <c r="S281" s="11">
        <v>43051.048136574071</v>
      </c>
      <c r="U281" s="8" t="str">
        <f t="shared" si="86"/>
        <v xml:space="preserve">&lt;etma:1:1:49805:2&gt;  rdf:type skos:Concept ;  </v>
      </c>
      <c r="V281" s="8" t="str">
        <f t="shared" si="87"/>
        <v xml:space="preserve"> dcterms:source "https://www.mindat.org/min-49805.html" ; </v>
      </c>
      <c r="W281" s="8" t="str">
        <f t="shared" si="88"/>
        <v xml:space="preserve">skos:definition "An E chondrite that is petrologic type 3 and has anomalous properties."@en ; </v>
      </c>
      <c r="X281" s="8" t="str">
        <f t="shared" ref="X275:X338" si="93">" skos:inScheme &lt;http://example.org/mindat/etmat/cscheme&gt; ;  "</f>
        <v xml:space="preserve"> skos:inScheme &lt;http://example.org/mindat/etmat/cscheme&gt; ;  </v>
      </c>
      <c r="Y281" s="8" t="str">
        <f t="shared" si="89"/>
        <v xml:space="preserve">skos:prefLabel "Anomalous E3 chondrite meteorite"@en ; rdfs:label "Anomalous E3 chondrite meteorite"@en ; </v>
      </c>
      <c r="Z281" s="8" t="str">
        <f t="shared" si="90"/>
        <v xml:space="preserve">skos:altLabel "E3-an chondrite meteorite"@en ; skos:exactMatch  &lt;etma:1:1:52390:5&gt; ;  skos:notation  "E3-an"@en ; </v>
      </c>
      <c r="AA281" s="8" t="str">
        <f t="shared" si="81"/>
        <v>dcterms:source "https://www.lpi.usra.edu/meteor/metbullclass.php?sea=E3-an";</v>
      </c>
      <c r="AB281" s="8" t="str">
        <f t="shared" si="82"/>
        <v xml:space="preserve">skos:broader &lt;etma:1:1:49804:3&gt; ; </v>
      </c>
      <c r="AC281" s="8" t="str">
        <f t="shared" si="83"/>
        <v>dcterms:modified "2017-11-12T01:09";  .</v>
      </c>
      <c r="AD281" s="10" t="str">
        <f t="shared" si="91"/>
        <v>&lt;etma:1:1:49805:2&gt;  rdf:type skos:Concept ;     dcterms:source "https://www.mindat.org/min-49805.html" ;   skos:definition "An E chondrite that is petrologic type 3 and has anomalous properties."@en ;    skos:inScheme &lt;http://example.org/mindat/etmat/cscheme&gt; ;    skos:prefLabel "Anomalous E3 chondrite meteorite"@en ; rdfs:label "Anomalous E3 chondrite meteorite"@en ;   skos:altLabel "E3-an chondrite meteorite"@en ; skos:exactMatch  &lt;etma:1:1:52390:5&gt; ;  skos:notation  "E3-an"@en ;   dcterms:source "https://www.lpi.usra.edu/meteor/metbullclass.php?sea=E3-an";  skos:broader &lt;etma:1:1:49804:3&gt; ;   dcterms:modified "2017-11-12T01:09";  .</v>
      </c>
      <c r="AE281" s="8" t="s">
        <v>2591</v>
      </c>
    </row>
    <row r="282" spans="1:31" x14ac:dyDescent="0.25">
      <c r="A282" s="8">
        <v>258</v>
      </c>
      <c r="B282" s="8" t="s">
        <v>1300</v>
      </c>
      <c r="C282" s="8">
        <v>49806</v>
      </c>
      <c r="D282" s="8" t="s">
        <v>1298</v>
      </c>
      <c r="E282" s="8" t="s">
        <v>1299</v>
      </c>
      <c r="F282" s="9">
        <v>7</v>
      </c>
      <c r="G282" s="9" t="s">
        <v>14</v>
      </c>
      <c r="H282" s="1" t="s">
        <v>1301</v>
      </c>
      <c r="I282" s="8" t="str">
        <f t="shared" si="85"/>
        <v>https://www.mindat.org/min-49806.html</v>
      </c>
      <c r="J282" s="8">
        <v>49800</v>
      </c>
      <c r="K282" s="8" t="s">
        <v>2307</v>
      </c>
      <c r="L282" s="9">
        <v>49843</v>
      </c>
      <c r="M282" s="8" t="s">
        <v>2404</v>
      </c>
      <c r="N282" s="9">
        <v>1</v>
      </c>
      <c r="O282" s="9" t="s">
        <v>2249</v>
      </c>
      <c r="R282" s="8" t="s">
        <v>1302</v>
      </c>
      <c r="S282" s="11">
        <f t="shared" ref="S282:S283" ca="1" si="94">NOW()</f>
        <v>45097.373057291668</v>
      </c>
      <c r="U282" s="8" t="str">
        <f t="shared" si="86"/>
        <v xml:space="preserve">&lt;etma:1:1:49806:1&gt;  rdf:type skos:Concept ;  </v>
      </c>
      <c r="V282" s="8" t="str">
        <f t="shared" si="87"/>
        <v xml:space="preserve"> dcterms:source "https://www.mindat.org/min-49806.html" ; </v>
      </c>
      <c r="W282" s="8" t="str">
        <f t="shared" si="88"/>
        <v xml:space="preserve">skos:definition "An E chondrite that is of petrologic type 4."@en ; </v>
      </c>
      <c r="X282" s="8" t="str">
        <f t="shared" ref="X282:X283" si="95">" skos:inScheme &lt;https://mindat.org/etmat/cscheme&gt; ;  "</f>
        <v xml:space="preserve"> skos:inScheme &lt;https://mindat.org/etmat/cscheme&gt; ;  </v>
      </c>
      <c r="Y282" s="8" t="str">
        <f t="shared" si="89"/>
        <v xml:space="preserve">skos:prefLabel "E4 chondrite meteorite"@en ; rdfs:label "E4 chondrite meteorite"@en ; </v>
      </c>
      <c r="Z282" s="8" t="str">
        <f t="shared" si="90"/>
        <v xml:space="preserve"> skos:notation  "E4"@en ; </v>
      </c>
      <c r="AA282" s="8" t="str">
        <f t="shared" si="81"/>
        <v>dcterms:source "https://www.lpi.usra.edu/meteor/metbullclass.php?sea=E4";</v>
      </c>
      <c r="AB282" s="8" t="str">
        <f t="shared" si="82"/>
        <v xml:space="preserve">skos:broader &lt;etma:1:1:49800:7&gt;, &lt;etma:1:1:49843:2&gt; ; </v>
      </c>
      <c r="AC282" s="8" t="str">
        <f t="shared" ca="1" si="83"/>
        <v>dcterms:modified "2023-06-20T08:57";  .</v>
      </c>
      <c r="AD282" s="10" t="str">
        <f t="shared" ca="1" si="91"/>
        <v>&lt;etma:1:1:49806:1&gt;  rdf:type skos:Concept ;     dcterms:source "https://www.mindat.org/min-49806.html" ;   skos:definition "An E chondrite that is of petrologic type 4."@en ;    skos:inScheme &lt;https://mindat.org/etmat/cscheme&gt; ;    skos:prefLabel "E4 chondrite meteorite"@en ; rdfs:label "E4 chondrite meteorite"@en ;    skos:notation  "E4"@en ;   dcterms:source "https://www.lpi.usra.edu/meteor/metbullclass.php?sea=E4";  skos:broader &lt;etma:1:1:49800:7&gt;, &lt;etma:1:1:49843:2&gt; ;   dcterms:modified "2023-06-20T08:57";  .</v>
      </c>
      <c r="AE282" s="8" t="s">
        <v>2591</v>
      </c>
    </row>
    <row r="283" spans="1:31" x14ac:dyDescent="0.25">
      <c r="A283" s="8">
        <v>259</v>
      </c>
      <c r="B283" s="8" t="s">
        <v>1305</v>
      </c>
      <c r="C283" s="8">
        <v>49807</v>
      </c>
      <c r="D283" s="8" t="s">
        <v>1303</v>
      </c>
      <c r="E283" s="8" t="s">
        <v>1304</v>
      </c>
      <c r="F283" s="9">
        <v>7</v>
      </c>
      <c r="G283" s="9" t="s">
        <v>14</v>
      </c>
      <c r="H283" s="1" t="s">
        <v>1306</v>
      </c>
      <c r="I283" s="8" t="str">
        <f t="shared" si="85"/>
        <v>https://www.mindat.org/min-49807.html</v>
      </c>
      <c r="J283" s="8">
        <v>49800</v>
      </c>
      <c r="K283" s="8" t="s">
        <v>2307</v>
      </c>
      <c r="L283" s="9">
        <v>49844</v>
      </c>
      <c r="M283" s="8" t="s">
        <v>2278</v>
      </c>
      <c r="N283" s="9">
        <v>1</v>
      </c>
      <c r="O283" s="9" t="s">
        <v>2249</v>
      </c>
      <c r="R283" s="8" t="s">
        <v>1307</v>
      </c>
      <c r="S283" s="11">
        <f t="shared" ca="1" si="94"/>
        <v>45097.373057291668</v>
      </c>
      <c r="U283" s="8" t="str">
        <f t="shared" si="86"/>
        <v xml:space="preserve">&lt;etma:1:1:49807:0&gt;  rdf:type skos:Concept ;  </v>
      </c>
      <c r="V283" s="8" t="str">
        <f t="shared" si="87"/>
        <v xml:space="preserve"> dcterms:source "https://www.mindat.org/min-49807.html" ; </v>
      </c>
      <c r="W283" s="8" t="str">
        <f t="shared" si="88"/>
        <v xml:space="preserve">skos:definition "An E chondrite that is of petrologic type 5."@en ; </v>
      </c>
      <c r="X283" s="8" t="str">
        <f t="shared" si="95"/>
        <v xml:space="preserve"> skos:inScheme &lt;https://mindat.org/etmat/cscheme&gt; ;  </v>
      </c>
      <c r="Y283" s="8" t="str">
        <f t="shared" si="89"/>
        <v xml:space="preserve">skos:prefLabel "E5 chondrite meteorite"@en ; rdfs:label "E5 chondrite meteorite"@en ; </v>
      </c>
      <c r="Z283" s="8" t="str">
        <f t="shared" si="90"/>
        <v xml:space="preserve"> skos:notation  "E5"@en ; </v>
      </c>
      <c r="AA283" s="8" t="str">
        <f t="shared" si="81"/>
        <v>dcterms:source "https://www.lpi.usra.edu/meteor/metbullclass.php?sea=E5";</v>
      </c>
      <c r="AB283" s="8" t="str">
        <f t="shared" si="82"/>
        <v xml:space="preserve">skos:broader &lt;etma:1:1:49800:7&gt;, &lt;etma:1:1:49844:1&gt; ; </v>
      </c>
      <c r="AC283" s="8" t="str">
        <f t="shared" ca="1" si="83"/>
        <v>dcterms:modified "2023-06-20T08:57";  .</v>
      </c>
      <c r="AD283" s="10" t="str">
        <f t="shared" ca="1" si="91"/>
        <v>&lt;etma:1:1:49807:0&gt;  rdf:type skos:Concept ;     dcterms:source "https://www.mindat.org/min-49807.html" ;   skos:definition "An E chondrite that is of petrologic type 5."@en ;    skos:inScheme &lt;https://mindat.org/etmat/cscheme&gt; ;    skos:prefLabel "E5 chondrite meteorite"@en ; rdfs:label "E5 chondrite meteorite"@en ;    skos:notation  "E5"@en ;   dcterms:source "https://www.lpi.usra.edu/meteor/metbullclass.php?sea=E5";  skos:broader &lt;etma:1:1:49800:7&gt;, &lt;etma:1:1:49844:1&gt; ;   dcterms:modified "2023-06-20T08:57";  .</v>
      </c>
      <c r="AE283" s="8" t="s">
        <v>2591</v>
      </c>
    </row>
    <row r="284" spans="1:31" x14ac:dyDescent="0.25">
      <c r="A284" s="8">
        <v>260</v>
      </c>
      <c r="B284" s="8" t="s">
        <v>1310</v>
      </c>
      <c r="C284" s="8">
        <v>49808</v>
      </c>
      <c r="D284" s="8" t="s">
        <v>1308</v>
      </c>
      <c r="E284" s="8" t="s">
        <v>1309</v>
      </c>
      <c r="F284" s="9">
        <v>7</v>
      </c>
      <c r="G284" s="9" t="s">
        <v>14</v>
      </c>
      <c r="H284" s="1" t="s">
        <v>1311</v>
      </c>
      <c r="I284" s="8" t="str">
        <f t="shared" si="85"/>
        <v>https://www.mindat.org/min-49808.html</v>
      </c>
      <c r="J284" s="8">
        <v>49807</v>
      </c>
      <c r="K284" s="8" t="s">
        <v>1303</v>
      </c>
      <c r="N284" s="9">
        <v>0</v>
      </c>
      <c r="O284" s="9">
        <v>52391</v>
      </c>
      <c r="P284" s="8" t="s">
        <v>2511</v>
      </c>
      <c r="Q284" s="8" t="s">
        <v>2512</v>
      </c>
      <c r="R284" s="8" t="s">
        <v>1312</v>
      </c>
      <c r="S284" s="11">
        <v>43051.048611111109</v>
      </c>
      <c r="U284" s="8" t="str">
        <f t="shared" si="86"/>
        <v xml:space="preserve">&lt;etma:1:1:49808:9&gt;  rdf:type skos:Concept ;  </v>
      </c>
      <c r="V284" s="8" t="str">
        <f t="shared" si="87"/>
        <v xml:space="preserve"> dcterms:source "https://www.mindat.org/min-49808.html" ; </v>
      </c>
      <c r="W284" s="8" t="str">
        <f t="shared" si="88"/>
        <v xml:space="preserve">skos:definition "An E chondrite that is petrologic type 5 and has anomalous properties."@en ; </v>
      </c>
      <c r="X284" s="8" t="str">
        <f t="shared" si="93"/>
        <v xml:space="preserve"> skos:inScheme &lt;http://example.org/mindat/etmat/cscheme&gt; ;  </v>
      </c>
      <c r="Y284" s="8" t="str">
        <f t="shared" si="89"/>
        <v xml:space="preserve">skos:prefLabel "Anomalous E5 chondrite meteorite"@en ; rdfs:label "Anomalous E5 chondrite meteorite"@en ; </v>
      </c>
      <c r="Z284" s="8" t="str">
        <f t="shared" si="90"/>
        <v xml:space="preserve">skos:altLabel "E5-an chondrite meteorite"@en ; skos:exactMatch  &lt;etma:1:1:52391:4&gt; ;  skos:notation  "E5-an"@en ; </v>
      </c>
      <c r="AA284" s="8" t="str">
        <f t="shared" si="81"/>
        <v>dcterms:source "https://www.lpi.usra.edu/meteor/metbullclass.php?sea=E5-an";</v>
      </c>
      <c r="AB284" s="8" t="str">
        <f t="shared" si="82"/>
        <v xml:space="preserve">skos:broader &lt;etma:1:1:49807:0&gt; ; </v>
      </c>
      <c r="AC284" s="8" t="str">
        <f t="shared" si="83"/>
        <v>dcterms:modified "2017-11-12T01:10";  .</v>
      </c>
      <c r="AD284" s="10" t="str">
        <f t="shared" si="91"/>
        <v>&lt;etma:1:1:49808:9&gt;  rdf:type skos:Concept ;     dcterms:source "https://www.mindat.org/min-49808.html" ;   skos:definition "An E chondrite that is petrologic type 5 and has anomalous properties."@en ;    skos:inScheme &lt;http://example.org/mindat/etmat/cscheme&gt; ;    skos:prefLabel "Anomalous E5 chondrite meteorite"@en ; rdfs:label "Anomalous E5 chondrite meteorite"@en ;   skos:altLabel "E5-an chondrite meteorite"@en ; skos:exactMatch  &lt;etma:1:1:52391:4&gt; ;  skos:notation  "E5-an"@en ;   dcterms:source "https://www.lpi.usra.edu/meteor/metbullclass.php?sea=E5-an";  skos:broader &lt;etma:1:1:49807:0&gt; ;   dcterms:modified "2017-11-12T01:10";  .</v>
      </c>
      <c r="AE284" s="8" t="s">
        <v>2591</v>
      </c>
    </row>
    <row r="285" spans="1:31" x14ac:dyDescent="0.25">
      <c r="A285" s="8">
        <v>261</v>
      </c>
      <c r="B285" s="8" t="s">
        <v>1315</v>
      </c>
      <c r="C285" s="8">
        <v>49809</v>
      </c>
      <c r="D285" s="8" t="s">
        <v>1313</v>
      </c>
      <c r="E285" s="8" t="s">
        <v>1314</v>
      </c>
      <c r="F285" s="9">
        <v>7</v>
      </c>
      <c r="G285" s="9" t="s">
        <v>14</v>
      </c>
      <c r="H285" s="1" t="s">
        <v>1316</v>
      </c>
      <c r="I285" s="8" t="str">
        <f t="shared" si="85"/>
        <v>https://www.mindat.org/min-49809.html</v>
      </c>
      <c r="J285" s="8">
        <v>49800</v>
      </c>
      <c r="K285" s="8" t="s">
        <v>2307</v>
      </c>
      <c r="L285" s="9">
        <v>49845</v>
      </c>
      <c r="M285" s="8" t="s">
        <v>2411</v>
      </c>
      <c r="N285" s="9">
        <v>1</v>
      </c>
      <c r="O285" s="9" t="s">
        <v>2249</v>
      </c>
      <c r="R285" s="8" t="s">
        <v>1317</v>
      </c>
      <c r="S285" s="11">
        <f t="shared" ref="S285:S287" ca="1" si="96">NOW()</f>
        <v>45097.373057291668</v>
      </c>
      <c r="U285" s="8" t="str">
        <f t="shared" si="86"/>
        <v xml:space="preserve">&lt;etma:1:1:49809:8&gt;  rdf:type skos:Concept ;  </v>
      </c>
      <c r="V285" s="8" t="str">
        <f t="shared" si="87"/>
        <v xml:space="preserve"> dcterms:source "https://www.mindat.org/min-49809.html" ; </v>
      </c>
      <c r="W285" s="8" t="str">
        <f t="shared" si="88"/>
        <v xml:space="preserve">skos:definition "An E chondrite that is of petrologic type 6."@en ; </v>
      </c>
      <c r="X285" s="8" t="str">
        <f t="shared" ref="X285:X304" si="97">" skos:inScheme &lt;https://mindat.org/etmat/cscheme&gt; ;  "</f>
        <v xml:space="preserve"> skos:inScheme &lt;https://mindat.org/etmat/cscheme&gt; ;  </v>
      </c>
      <c r="Y285" s="8" t="str">
        <f t="shared" si="89"/>
        <v xml:space="preserve">skos:prefLabel "E6 chondrite meteorite"@en ; rdfs:label "E6 chondrite meteorite"@en ; </v>
      </c>
      <c r="Z285" s="8" t="str">
        <f t="shared" si="90"/>
        <v xml:space="preserve"> skos:notation  "E6"@en ; </v>
      </c>
      <c r="AA285" s="8" t="str">
        <f t="shared" si="81"/>
        <v>dcterms:source "https://www.lpi.usra.edu/meteor/metbullclass.php?sea=E6";</v>
      </c>
      <c r="AB285" s="8" t="str">
        <f t="shared" si="82"/>
        <v xml:space="preserve">skos:broader &lt;etma:1:1:49800:7&gt;, &lt;etma:1:1:49845:0&gt; ; </v>
      </c>
      <c r="AC285" s="8" t="str">
        <f t="shared" ca="1" si="83"/>
        <v>dcterms:modified "2023-06-20T08:57";  .</v>
      </c>
      <c r="AD285" s="10" t="str">
        <f t="shared" ca="1" si="91"/>
        <v>&lt;etma:1:1:49809:8&gt;  rdf:type skos:Concept ;     dcterms:source "https://www.mindat.org/min-49809.html" ;   skos:definition "An E chondrite that is of petrologic type 6."@en ;    skos:inScheme &lt;https://mindat.org/etmat/cscheme&gt; ;    skos:prefLabel "E6 chondrite meteorite"@en ; rdfs:label "E6 chondrite meteorite"@en ;    skos:notation  "E6"@en ;   dcterms:source "https://www.lpi.usra.edu/meteor/metbullclass.php?sea=E6";  skos:broader &lt;etma:1:1:49800:7&gt;, &lt;etma:1:1:49845:0&gt; ;   dcterms:modified "2023-06-20T08:57";  .</v>
      </c>
      <c r="AE285" s="8" t="s">
        <v>2591</v>
      </c>
    </row>
    <row r="286" spans="1:31" x14ac:dyDescent="0.25">
      <c r="A286" s="8">
        <v>262</v>
      </c>
      <c r="B286" s="8" t="s">
        <v>1320</v>
      </c>
      <c r="C286" s="8">
        <v>49810</v>
      </c>
      <c r="D286" s="8" t="s">
        <v>1318</v>
      </c>
      <c r="E286" s="8" t="s">
        <v>1319</v>
      </c>
      <c r="F286" s="9">
        <v>7</v>
      </c>
      <c r="G286" s="9" t="s">
        <v>14</v>
      </c>
      <c r="H286" s="1" t="s">
        <v>2583</v>
      </c>
      <c r="I286" s="8" t="str">
        <f t="shared" si="85"/>
        <v>https://www.mindat.org/min-49810.html</v>
      </c>
      <c r="J286" s="8">
        <v>49800</v>
      </c>
      <c r="K286" s="8" t="s">
        <v>2307</v>
      </c>
      <c r="N286" s="9">
        <v>1</v>
      </c>
      <c r="O286" s="9" t="s">
        <v>2249</v>
      </c>
      <c r="R286" s="8" t="s">
        <v>1322</v>
      </c>
      <c r="S286" s="11">
        <f t="shared" ca="1" si="96"/>
        <v>45097.373057291668</v>
      </c>
      <c r="U286" s="8" t="str">
        <f t="shared" si="86"/>
        <v xml:space="preserve">&lt;etma:1:1:49810:4&gt;  rdf:type skos:Concept ;  </v>
      </c>
      <c r="V286" s="8" t="str">
        <f t="shared" si="87"/>
        <v xml:space="preserve"> dcterms:source "https://www.mindat.org/min-49810.html" ; </v>
      </c>
      <c r="W286" s="8" t="str">
        <f t="shared" si="88"/>
        <v xml:space="preserve">skos:definition "The high-iron (EH) chemical group of enstatite chondrites, distinguished by small chondrules (0.2 mm), abundant metal (~10 volume percent) that is rich in Si (~3 wt percent ), and an extremely reduced mineral assemblage including niningerite (MgS) and perryite (Fe-Ni silicide)"@en ; </v>
      </c>
      <c r="X286" s="8" t="str">
        <f t="shared" si="97"/>
        <v xml:space="preserve"> skos:inScheme &lt;https://mindat.org/etmat/cscheme&gt; ;  </v>
      </c>
      <c r="Y286" s="8" t="str">
        <f t="shared" si="89"/>
        <v xml:space="preserve">skos:prefLabel "EH chondrite meteorite"@en ; rdfs:label "EH chondrite meteorite"@en ; </v>
      </c>
      <c r="Z286" s="8" t="str">
        <f t="shared" si="90"/>
        <v xml:space="preserve"> skos:notation  "EH"@en ; </v>
      </c>
      <c r="AA286" s="8" t="str">
        <f t="shared" si="81"/>
        <v>dcterms:source "https://www.lpi.usra.edu/meteor/metbullclass.php?sea=EH";</v>
      </c>
      <c r="AB286" s="8" t="str">
        <f t="shared" si="82"/>
        <v xml:space="preserve">skos:broader &lt;etma:1:1:49800:7&gt; ; </v>
      </c>
      <c r="AC286" s="8" t="str">
        <f t="shared" ca="1" si="83"/>
        <v>dcterms:modified "2023-06-20T08:57";  .</v>
      </c>
      <c r="AD286" s="10" t="str">
        <f t="shared" ca="1" si="91"/>
        <v>&lt;etma:1:1:49810:4&gt;  rdf:type skos:Concept ;     dcterms:source "https://www.mindat.org/min-49810.html" ;   skos:definition "The high-iron (EH) chemical group of enstatite chondrites, distinguished by small chondrules (0.2 mm), abundant metal (~10 volume percent) that is rich in Si (~3 wt percent ), and an extremely reduced mineral assemblage including niningerite (MgS) and perryite (Fe-Ni silicide)"@en ;    skos:inScheme &lt;https://mindat.org/etmat/cscheme&gt; ;    skos:prefLabel "EH chondrite meteorite"@en ; rdfs:label "EH chondrite meteorite"@en ;    skos:notation  "EH"@en ;   dcterms:source "https://www.lpi.usra.edu/meteor/metbullclass.php?sea=EH";  skos:broader &lt;etma:1:1:49800:7&gt; ;   dcterms:modified "2023-06-20T08:57";  .</v>
      </c>
      <c r="AE286" s="8" t="s">
        <v>2591</v>
      </c>
    </row>
    <row r="287" spans="1:31" x14ac:dyDescent="0.25">
      <c r="A287" s="8">
        <v>263</v>
      </c>
      <c r="B287" s="8" t="s">
        <v>1325</v>
      </c>
      <c r="C287" s="8">
        <v>49811</v>
      </c>
      <c r="D287" s="8" t="s">
        <v>1323</v>
      </c>
      <c r="E287" s="8" t="s">
        <v>1324</v>
      </c>
      <c r="F287" s="9">
        <v>7</v>
      </c>
      <c r="G287" s="9" t="s">
        <v>14</v>
      </c>
      <c r="H287" s="1" t="s">
        <v>1326</v>
      </c>
      <c r="I287" s="8" t="str">
        <f t="shared" si="85"/>
        <v>https://www.mindat.org/min-49811.html</v>
      </c>
      <c r="J287" s="8">
        <v>49810</v>
      </c>
      <c r="K287" s="8" t="s">
        <v>1318</v>
      </c>
      <c r="L287" s="9">
        <v>49842</v>
      </c>
      <c r="M287" s="8" t="s">
        <v>2400</v>
      </c>
      <c r="N287" s="9">
        <v>1</v>
      </c>
      <c r="O287" s="9" t="s">
        <v>2249</v>
      </c>
      <c r="R287" s="8" t="s">
        <v>1327</v>
      </c>
      <c r="S287" s="11">
        <f t="shared" ca="1" si="96"/>
        <v>45097.373057291668</v>
      </c>
      <c r="U287" s="8" t="str">
        <f t="shared" si="86"/>
        <v xml:space="preserve">&lt;etma:1:1:49811:3&gt;  rdf:type skos:Concept ;  </v>
      </c>
      <c r="V287" s="8" t="str">
        <f t="shared" si="87"/>
        <v xml:space="preserve"> dcterms:source "https://www.mindat.org/min-49811.html" ; </v>
      </c>
      <c r="W287" s="8" t="str">
        <f t="shared" si="88"/>
        <v xml:space="preserve">skos:definition "An EH chondrite that is of petrologic type 3."@en ; </v>
      </c>
      <c r="X287" s="8" t="str">
        <f t="shared" si="97"/>
        <v xml:space="preserve"> skos:inScheme &lt;https://mindat.org/etmat/cscheme&gt; ;  </v>
      </c>
      <c r="Y287" s="8" t="str">
        <f t="shared" si="89"/>
        <v xml:space="preserve">skos:prefLabel "EH3 chondrite meteorite"@en ; rdfs:label "EH3 chondrite meteorite"@en ; </v>
      </c>
      <c r="Z287" s="8" t="str">
        <f t="shared" si="90"/>
        <v xml:space="preserve"> skos:notation  "EH3"@en ; </v>
      </c>
      <c r="AA287" s="8" t="str">
        <f t="shared" si="81"/>
        <v>dcterms:source "https://www.lpi.usra.edu/meteor/metbullclass.php?sea=EH3";</v>
      </c>
      <c r="AB287" s="8" t="str">
        <f t="shared" si="82"/>
        <v xml:space="preserve">skos:broader &lt;etma:1:1:49810:4&gt;, &lt;etma:1:1:49842:3&gt; ; </v>
      </c>
      <c r="AC287" s="8" t="str">
        <f t="shared" ca="1" si="83"/>
        <v>dcterms:modified "2023-06-20T08:57";  .</v>
      </c>
      <c r="AD287" s="10" t="str">
        <f t="shared" ca="1" si="91"/>
        <v>&lt;etma:1:1:49811:3&gt;  rdf:type skos:Concept ;     dcterms:source "https://www.mindat.org/min-49811.html" ;   skos:definition "An EH chondrite that is of petrologic type 3."@en ;    skos:inScheme &lt;https://mindat.org/etmat/cscheme&gt; ;    skos:prefLabel "EH3 chondrite meteorite"@en ; rdfs:label "EH3 chondrite meteorite"@en ;    skos:notation  "EH3"@en ;   dcterms:source "https://www.lpi.usra.edu/meteor/metbullclass.php?sea=EH3";  skos:broader &lt;etma:1:1:49810:4&gt;, &lt;etma:1:1:49842:3&gt; ;   dcterms:modified "2023-06-20T08:57";  .</v>
      </c>
      <c r="AE287" s="8" t="s">
        <v>2591</v>
      </c>
    </row>
    <row r="288" spans="1:31" x14ac:dyDescent="0.25">
      <c r="A288" s="8">
        <v>264</v>
      </c>
      <c r="B288" s="8" t="s">
        <v>1330</v>
      </c>
      <c r="C288" s="8">
        <v>49812</v>
      </c>
      <c r="D288" s="8" t="s">
        <v>1328</v>
      </c>
      <c r="E288" s="8" t="s">
        <v>1329</v>
      </c>
      <c r="F288" s="9">
        <v>7</v>
      </c>
      <c r="G288" s="9" t="s">
        <v>14</v>
      </c>
      <c r="H288" s="1" t="s">
        <v>1331</v>
      </c>
      <c r="I288" s="8" t="str">
        <f t="shared" si="85"/>
        <v>https://www.mindat.org/min-49812.html</v>
      </c>
      <c r="J288" s="8">
        <v>49811</v>
      </c>
      <c r="K288" s="8" t="s">
        <v>1323</v>
      </c>
      <c r="L288" s="9">
        <v>49813</v>
      </c>
      <c r="M288" s="8" t="s">
        <v>1333</v>
      </c>
      <c r="N288" s="9">
        <v>0</v>
      </c>
      <c r="O288" s="9" t="s">
        <v>2249</v>
      </c>
      <c r="R288" s="8" t="s">
        <v>1332</v>
      </c>
      <c r="S288" s="11">
        <v>43051.049664351849</v>
      </c>
      <c r="U288" s="8" t="str">
        <f t="shared" si="86"/>
        <v xml:space="preserve">&lt;etma:1:1:49812:2&gt;  rdf:type skos:Concept ;  </v>
      </c>
      <c r="V288" s="8" t="str">
        <f t="shared" si="87"/>
        <v xml:space="preserve"> dcterms:source "https://www.mindat.org/min-49812.html" ; </v>
      </c>
      <c r="W288" s="8" t="str">
        <f t="shared" si="88"/>
        <v xml:space="preserve">skos:definition "An EH chondrite that is transitional between petrologic types 3 and 4 and has anomalous properties."@en ; </v>
      </c>
      <c r="X288" s="8" t="str">
        <f t="shared" si="97"/>
        <v xml:space="preserve"> skos:inScheme &lt;https://mindat.org/etmat/cscheme&gt; ;  </v>
      </c>
      <c r="Y288" s="8" t="str">
        <f t="shared" si="89"/>
        <v xml:space="preserve">skos:prefLabel "Anomalous EH3/4 chondrite meteorite"@en ; rdfs:label "Anomalous EH3/4 chondrite meteorite"@en ; </v>
      </c>
      <c r="Z288" s="8" t="str">
        <f t="shared" si="90"/>
        <v xml:space="preserve"> skos:notation  "EH3/4-an"@en ; </v>
      </c>
      <c r="AA288" s="8" t="str">
        <f t="shared" si="81"/>
        <v>dcterms:source "https://www.lpi.usra.edu/meteor/metbullclass.php?sea=EH3/4-an";</v>
      </c>
      <c r="AB288" s="8" t="str">
        <f t="shared" si="82"/>
        <v xml:space="preserve">skos:broader &lt;etma:1:1:49811:3&gt;, &lt;etma:1:1:49813:1&gt; ; </v>
      </c>
      <c r="AC288" s="8" t="str">
        <f t="shared" si="83"/>
        <v>dcterms:modified "2017-11-12T01:11";  .</v>
      </c>
      <c r="AD288" s="10" t="str">
        <f t="shared" si="91"/>
        <v>&lt;etma:1:1:49812:2&gt;  rdf:type skos:Concept ;     dcterms:source "https://www.mindat.org/min-49812.html" ;   skos:definition "An EH chondrite that is transitional between petrologic types 3 and 4 and has anomalous properties."@en ;    skos:inScheme &lt;https://mindat.org/etmat/cscheme&gt; ;    skos:prefLabel "Anomalous EH3/4 chondrite meteorite"@en ; rdfs:label "Anomalous EH3/4 chondrite meteorite"@en ;    skos:notation  "EH3/4-an"@en ;   dcterms:source "https://www.lpi.usra.edu/meteor/metbullclass.php?sea=EH3/4-an";  skos:broader &lt;etma:1:1:49811:3&gt;, &lt;etma:1:1:49813:1&gt; ;   dcterms:modified "2017-11-12T01:11";  .</v>
      </c>
      <c r="AE288" s="8" t="s">
        <v>2591</v>
      </c>
    </row>
    <row r="289" spans="1:31" x14ac:dyDescent="0.25">
      <c r="A289" s="8">
        <v>265</v>
      </c>
      <c r="B289" s="8" t="s">
        <v>1335</v>
      </c>
      <c r="C289" s="8">
        <v>49813</v>
      </c>
      <c r="D289" s="8" t="s">
        <v>1333</v>
      </c>
      <c r="E289" s="8" t="s">
        <v>1334</v>
      </c>
      <c r="F289" s="9">
        <v>7</v>
      </c>
      <c r="G289" s="9" t="s">
        <v>14</v>
      </c>
      <c r="H289" s="1" t="s">
        <v>1336</v>
      </c>
      <c r="I289" s="8" t="str">
        <f t="shared" si="85"/>
        <v>https://www.mindat.org/min-49813.html</v>
      </c>
      <c r="J289" s="8">
        <v>49810</v>
      </c>
      <c r="K289" s="8" t="s">
        <v>1318</v>
      </c>
      <c r="L289" s="9">
        <v>49843</v>
      </c>
      <c r="M289" s="8" t="s">
        <v>2404</v>
      </c>
      <c r="N289" s="9">
        <v>1</v>
      </c>
      <c r="O289" s="9" t="s">
        <v>2249</v>
      </c>
      <c r="R289" s="8" t="s">
        <v>1337</v>
      </c>
      <c r="S289" s="11">
        <f t="shared" ref="S289:S292" ca="1" si="98">NOW()</f>
        <v>45097.373057407407</v>
      </c>
      <c r="U289" s="8" t="str">
        <f t="shared" si="86"/>
        <v xml:space="preserve">&lt;etma:1:1:49813:1&gt;  rdf:type skos:Concept ;  </v>
      </c>
      <c r="V289" s="8" t="str">
        <f t="shared" si="87"/>
        <v xml:space="preserve"> dcterms:source "https://www.mindat.org/min-49813.html" ; </v>
      </c>
      <c r="W289" s="8" t="str">
        <f t="shared" si="88"/>
        <v xml:space="preserve">skos:definition "An EH chondrite that is of petrologic type 4."@en ; </v>
      </c>
      <c r="X289" s="8" t="str">
        <f t="shared" si="97"/>
        <v xml:space="preserve"> skos:inScheme &lt;https://mindat.org/etmat/cscheme&gt; ;  </v>
      </c>
      <c r="Y289" s="8" t="str">
        <f t="shared" si="89"/>
        <v xml:space="preserve">skos:prefLabel "EH4 chondrite meteorite"@en ; rdfs:label "EH4 chondrite meteorite"@en ; </v>
      </c>
      <c r="Z289" s="8" t="str">
        <f t="shared" si="90"/>
        <v xml:space="preserve"> skos:notation  "EH4"@en ; </v>
      </c>
      <c r="AA289" s="8" t="str">
        <f t="shared" si="81"/>
        <v>dcterms:source "https://www.lpi.usra.edu/meteor/metbullclass.php?sea=EH4";</v>
      </c>
      <c r="AB289" s="8" t="str">
        <f t="shared" si="82"/>
        <v xml:space="preserve">skos:broader &lt;etma:1:1:49810:4&gt;, &lt;etma:1:1:49843:2&gt; ; </v>
      </c>
      <c r="AC289" s="8" t="str">
        <f t="shared" ca="1" si="83"/>
        <v>dcterms:modified "2023-06-20T08:57";  .</v>
      </c>
      <c r="AD289" s="10" t="str">
        <f t="shared" ca="1" si="91"/>
        <v>&lt;etma:1:1:49813:1&gt;  rdf:type skos:Concept ;     dcterms:source "https://www.mindat.org/min-49813.html" ;   skos:definition "An EH chondrite that is of petrologic type 4."@en ;    skos:inScheme &lt;https://mindat.org/etmat/cscheme&gt; ;    skos:prefLabel "EH4 chondrite meteorite"@en ; rdfs:label "EH4 chondrite meteorite"@en ;    skos:notation  "EH4"@en ;   dcterms:source "https://www.lpi.usra.edu/meteor/metbullclass.php?sea=EH4";  skos:broader &lt;etma:1:1:49810:4&gt;, &lt;etma:1:1:49843:2&gt; ;   dcterms:modified "2023-06-20T08:57";  .</v>
      </c>
      <c r="AE289" s="8" t="s">
        <v>2591</v>
      </c>
    </row>
    <row r="290" spans="1:31" x14ac:dyDescent="0.25">
      <c r="A290" s="8">
        <v>266</v>
      </c>
      <c r="B290" s="8" t="s">
        <v>1340</v>
      </c>
      <c r="C290" s="8">
        <v>49814</v>
      </c>
      <c r="D290" s="8" t="s">
        <v>1338</v>
      </c>
      <c r="E290" s="8" t="s">
        <v>1339</v>
      </c>
      <c r="F290" s="9">
        <v>7</v>
      </c>
      <c r="G290" s="9" t="s">
        <v>14</v>
      </c>
      <c r="H290" s="1" t="s">
        <v>1341</v>
      </c>
      <c r="I290" s="8" t="str">
        <f t="shared" si="85"/>
        <v>https://www.mindat.org/min-49814.html</v>
      </c>
      <c r="J290" s="8">
        <v>49810</v>
      </c>
      <c r="K290" s="8" t="s">
        <v>1318</v>
      </c>
      <c r="L290" s="9">
        <v>49844</v>
      </c>
      <c r="M290" s="8" t="s">
        <v>2278</v>
      </c>
      <c r="N290" s="9">
        <v>1</v>
      </c>
      <c r="O290" s="9" t="s">
        <v>2249</v>
      </c>
      <c r="R290" s="8" t="s">
        <v>1342</v>
      </c>
      <c r="S290" s="11">
        <f t="shared" ca="1" si="98"/>
        <v>45097.373057291668</v>
      </c>
      <c r="U290" s="8" t="str">
        <f t="shared" si="86"/>
        <v xml:space="preserve">&lt;etma:1:1:49814:0&gt;  rdf:type skos:Concept ;  </v>
      </c>
      <c r="V290" s="8" t="str">
        <f t="shared" si="87"/>
        <v xml:space="preserve"> dcterms:source "https://www.mindat.org/min-49814.html" ; </v>
      </c>
      <c r="W290" s="8" t="str">
        <f t="shared" si="88"/>
        <v xml:space="preserve">skos:definition "An EH chondrite that is of petrologic type 5."@en ; </v>
      </c>
      <c r="X290" s="8" t="str">
        <f t="shared" si="97"/>
        <v xml:space="preserve"> skos:inScheme &lt;https://mindat.org/etmat/cscheme&gt; ;  </v>
      </c>
      <c r="Y290" s="8" t="str">
        <f t="shared" si="89"/>
        <v xml:space="preserve">skos:prefLabel "EH5 chondrite meteorite"@en ; rdfs:label "EH5 chondrite meteorite"@en ; </v>
      </c>
      <c r="Z290" s="8" t="str">
        <f t="shared" si="90"/>
        <v xml:space="preserve"> skos:notation  "EH5"@en ; </v>
      </c>
      <c r="AA290" s="8" t="str">
        <f t="shared" si="81"/>
        <v>dcterms:source "https://www.lpi.usra.edu/meteor/metbullclass.php?sea=EH5";</v>
      </c>
      <c r="AB290" s="8" t="str">
        <f t="shared" si="82"/>
        <v xml:space="preserve">skos:broader &lt;etma:1:1:49810:4&gt;, &lt;etma:1:1:49844:1&gt; ; </v>
      </c>
      <c r="AC290" s="8" t="str">
        <f t="shared" ca="1" si="83"/>
        <v>dcterms:modified "2023-06-20T08:57";  .</v>
      </c>
      <c r="AD290" s="10" t="str">
        <f t="shared" ca="1" si="91"/>
        <v>&lt;etma:1:1:49814:0&gt;  rdf:type skos:Concept ;     dcterms:source "https://www.mindat.org/min-49814.html" ;   skos:definition "An EH chondrite that is of petrologic type 5."@en ;    skos:inScheme &lt;https://mindat.org/etmat/cscheme&gt; ;    skos:prefLabel "EH5 chondrite meteorite"@en ; rdfs:label "EH5 chondrite meteorite"@en ;    skos:notation  "EH5"@en ;   dcterms:source "https://www.lpi.usra.edu/meteor/metbullclass.php?sea=EH5";  skos:broader &lt;etma:1:1:49810:4&gt;, &lt;etma:1:1:49844:1&gt; ;   dcterms:modified "2023-06-20T08:57";  .</v>
      </c>
      <c r="AE290" s="8" t="s">
        <v>2591</v>
      </c>
    </row>
    <row r="291" spans="1:31" x14ac:dyDescent="0.25">
      <c r="A291" s="8">
        <v>267</v>
      </c>
      <c r="B291" s="8" t="s">
        <v>1345</v>
      </c>
      <c r="C291" s="8">
        <v>49815</v>
      </c>
      <c r="D291" s="8" t="s">
        <v>1343</v>
      </c>
      <c r="E291" s="8" t="s">
        <v>1344</v>
      </c>
      <c r="F291" s="9">
        <v>7</v>
      </c>
      <c r="G291" s="9" t="s">
        <v>14</v>
      </c>
      <c r="H291" s="1" t="s">
        <v>1346</v>
      </c>
      <c r="I291" s="8" t="str">
        <f t="shared" si="85"/>
        <v>https://www.mindat.org/min-49815.html</v>
      </c>
      <c r="J291" s="8">
        <v>49810</v>
      </c>
      <c r="K291" s="8" t="s">
        <v>1318</v>
      </c>
      <c r="L291" s="9">
        <v>49845</v>
      </c>
      <c r="M291" s="8" t="s">
        <v>2411</v>
      </c>
      <c r="N291" s="9">
        <v>1</v>
      </c>
      <c r="O291" s="9" t="s">
        <v>2249</v>
      </c>
      <c r="R291" s="8" t="s">
        <v>1347</v>
      </c>
      <c r="S291" s="11">
        <f t="shared" ca="1" si="98"/>
        <v>45097.373057291668</v>
      </c>
      <c r="U291" s="8" t="str">
        <f t="shared" si="86"/>
        <v xml:space="preserve">&lt;etma:1:1:49815:9&gt;  rdf:type skos:Concept ;  </v>
      </c>
      <c r="V291" s="8" t="str">
        <f t="shared" si="87"/>
        <v xml:space="preserve"> dcterms:source "https://www.mindat.org/min-49815.html" ; </v>
      </c>
      <c r="W291" s="8" t="str">
        <f t="shared" si="88"/>
        <v xml:space="preserve">skos:definition "An EH chondrite that is of petrologic type 6."@en ; </v>
      </c>
      <c r="X291" s="8" t="str">
        <f t="shared" si="97"/>
        <v xml:space="preserve"> skos:inScheme &lt;https://mindat.org/etmat/cscheme&gt; ;  </v>
      </c>
      <c r="Y291" s="8" t="str">
        <f t="shared" si="89"/>
        <v xml:space="preserve">skos:prefLabel "EH6 chondrite meteorite"@en ; rdfs:label "EH6 chondrite meteorite"@en ; </v>
      </c>
      <c r="Z291" s="8" t="str">
        <f t="shared" si="90"/>
        <v xml:space="preserve"> skos:notation  "EH6"@en ; </v>
      </c>
      <c r="AA291" s="8" t="str">
        <f t="shared" si="81"/>
        <v>dcterms:source "https://www.lpi.usra.edu/meteor/metbullclass.php?sea=EH6";</v>
      </c>
      <c r="AB291" s="8" t="str">
        <f t="shared" si="82"/>
        <v xml:space="preserve">skos:broader &lt;etma:1:1:49810:4&gt;, &lt;etma:1:1:49845:0&gt; ; </v>
      </c>
      <c r="AC291" s="8" t="str">
        <f t="shared" ca="1" si="83"/>
        <v>dcterms:modified "2023-06-20T08:57";  .</v>
      </c>
      <c r="AD291" s="10" t="str">
        <f t="shared" ca="1" si="91"/>
        <v>&lt;etma:1:1:49815:9&gt;  rdf:type skos:Concept ;     dcterms:source "https://www.mindat.org/min-49815.html" ;   skos:definition "An EH chondrite that is of petrologic type 6."@en ;    skos:inScheme &lt;https://mindat.org/etmat/cscheme&gt; ;    skos:prefLabel "EH6 chondrite meteorite"@en ; rdfs:label "EH6 chondrite meteorite"@en ;    skos:notation  "EH6"@en ;   dcterms:source "https://www.lpi.usra.edu/meteor/metbullclass.php?sea=EH6";  skos:broader &lt;etma:1:1:49810:4&gt;, &lt;etma:1:1:49845:0&gt; ;   dcterms:modified "2023-06-20T08:57";  .</v>
      </c>
      <c r="AE291" s="8" t="s">
        <v>2591</v>
      </c>
    </row>
    <row r="292" spans="1:31" x14ac:dyDescent="0.25">
      <c r="A292" s="8">
        <v>268</v>
      </c>
      <c r="B292" s="8" t="s">
        <v>1350</v>
      </c>
      <c r="C292" s="8">
        <v>49816</v>
      </c>
      <c r="D292" s="8" t="s">
        <v>1348</v>
      </c>
      <c r="E292" s="8" t="s">
        <v>1349</v>
      </c>
      <c r="F292" s="9">
        <v>7</v>
      </c>
      <c r="G292" s="9" t="s">
        <v>14</v>
      </c>
      <c r="H292" s="1" t="s">
        <v>1351</v>
      </c>
      <c r="I292" s="8" t="str">
        <f t="shared" si="85"/>
        <v>https://www.mindat.org/min-49816.html</v>
      </c>
      <c r="J292" s="8">
        <v>49815</v>
      </c>
      <c r="K292" s="8" t="s">
        <v>1343</v>
      </c>
      <c r="N292" s="9">
        <v>0</v>
      </c>
      <c r="O292" s="9" t="s">
        <v>2249</v>
      </c>
      <c r="R292" s="8" t="s">
        <v>1352</v>
      </c>
      <c r="S292" s="11">
        <f t="shared" ca="1" si="98"/>
        <v>45097.373057291668</v>
      </c>
      <c r="U292" s="8" t="str">
        <f t="shared" si="86"/>
        <v xml:space="preserve">&lt;etma:1:1:49816:8&gt;  rdf:type skos:Concept ;  </v>
      </c>
      <c r="V292" s="8" t="str">
        <f t="shared" si="87"/>
        <v xml:space="preserve"> dcterms:source "https://www.mindat.org/min-49816.html" ; </v>
      </c>
      <c r="W292" s="8" t="str">
        <f t="shared" si="88"/>
        <v xml:space="preserve">skos:definition "An EH6 chondrite that is a breccia with melted material forming the matrix."@en ; </v>
      </c>
      <c r="X292" s="8" t="str">
        <f t="shared" si="97"/>
        <v xml:space="preserve"> skos:inScheme &lt;https://mindat.org/etmat/cscheme&gt; ;  </v>
      </c>
      <c r="Y292" s="8" t="str">
        <f t="shared" si="89"/>
        <v xml:space="preserve">skos:prefLabel "EH6-melt breccia chondrite meteorite"@en ; rdfs:label "EH6-melt breccia chondrite meteorite"@en ; </v>
      </c>
      <c r="Z292" s="8" t="str">
        <f t="shared" si="90"/>
        <v xml:space="preserve"> skos:notation  "EH6-melt breccia"@en ; </v>
      </c>
      <c r="AA292" s="8" t="str">
        <f t="shared" si="81"/>
        <v>dcterms:source "https://www.lpi.usra.edu/meteor/metbullclass.php?sea=EH6-melt%20breccia";</v>
      </c>
      <c r="AB292" s="8" t="str">
        <f t="shared" si="82"/>
        <v xml:space="preserve">skos:broader &lt;etma:1:1:49815:9&gt; ; </v>
      </c>
      <c r="AC292" s="8" t="str">
        <f t="shared" ca="1" si="83"/>
        <v>dcterms:modified "2023-06-20T08:57";  .</v>
      </c>
      <c r="AD292" s="10" t="str">
        <f t="shared" ca="1" si="91"/>
        <v>&lt;etma:1:1:49816:8&gt;  rdf:type skos:Concept ;     dcterms:source "https://www.mindat.org/min-49816.html" ;   skos:definition "An EH6 chondrite that is a breccia with melted material forming the matrix."@en ;    skos:inScheme &lt;https://mindat.org/etmat/cscheme&gt; ;    skos:prefLabel "EH6-melt breccia chondrite meteorite"@en ; rdfs:label "EH6-melt breccia chondrite meteorite"@en ;    skos:notation  "EH6-melt breccia"@en ;   dcterms:source "https://www.lpi.usra.edu/meteor/metbullclass.php?sea=EH6-melt%20breccia";  skos:broader &lt;etma:1:1:49815:9&gt; ;   dcterms:modified "2023-06-20T08:57";  .</v>
      </c>
      <c r="AE292" s="8" t="s">
        <v>2591</v>
      </c>
    </row>
    <row r="293" spans="1:31" x14ac:dyDescent="0.25">
      <c r="A293" s="8">
        <v>269</v>
      </c>
      <c r="B293" s="8" t="s">
        <v>1355</v>
      </c>
      <c r="C293" s="8">
        <v>49817</v>
      </c>
      <c r="D293" s="8" t="s">
        <v>1353</v>
      </c>
      <c r="E293" s="8" t="s">
        <v>1354</v>
      </c>
      <c r="F293" s="9">
        <v>7</v>
      </c>
      <c r="G293" s="9" t="s">
        <v>14</v>
      </c>
      <c r="H293" s="1" t="s">
        <v>1356</v>
      </c>
      <c r="I293" s="8" t="str">
        <f t="shared" si="85"/>
        <v>https://www.mindat.org/min-49817.html</v>
      </c>
      <c r="J293" s="8">
        <v>49810</v>
      </c>
      <c r="K293" s="8" t="s">
        <v>1318</v>
      </c>
      <c r="N293" s="9">
        <v>0</v>
      </c>
      <c r="O293" s="9" t="s">
        <v>2249</v>
      </c>
      <c r="R293" s="8" t="s">
        <v>1357</v>
      </c>
      <c r="S293" s="11">
        <v>43051.049027777779</v>
      </c>
      <c r="U293" s="8" t="str">
        <f t="shared" si="86"/>
        <v xml:space="preserve">&lt;etma:1:1:49817:7&gt;  rdf:type skos:Concept ;  </v>
      </c>
      <c r="V293" s="8" t="str">
        <f t="shared" si="87"/>
        <v xml:space="preserve"> dcterms:source "https://www.mindat.org/min-49817.html" ; </v>
      </c>
      <c r="W293" s="8" t="str">
        <f t="shared" si="88"/>
        <v xml:space="preserve">skos:definition "An EH chondrite that has been impact melted."@en ; </v>
      </c>
      <c r="X293" s="8" t="str">
        <f t="shared" si="97"/>
        <v xml:space="preserve"> skos:inScheme &lt;https://mindat.org/etmat/cscheme&gt; ;  </v>
      </c>
      <c r="Y293" s="8" t="str">
        <f t="shared" si="89"/>
        <v xml:space="preserve">skos:prefLabel "Impact melted EH chondrite meteorite"@en ; rdfs:label "Impact melted EH chondrite meteorite"@en ; </v>
      </c>
      <c r="Z293" s="8" t="str">
        <f t="shared" si="90"/>
        <v xml:space="preserve"> skos:notation  "EH-imp melt"@en ; </v>
      </c>
      <c r="AA293" s="8" t="str">
        <f t="shared" si="81"/>
        <v>dcterms:source "https://www.lpi.usra.edu/meteor/metbullclass.php?sea=EH-imp%20melt";</v>
      </c>
      <c r="AB293" s="8" t="str">
        <f t="shared" si="82"/>
        <v xml:space="preserve">skos:broader &lt;etma:1:1:49810:4&gt; ; </v>
      </c>
      <c r="AC293" s="8" t="str">
        <f t="shared" si="83"/>
        <v>dcterms:modified "2017-11-12T01:10";  .</v>
      </c>
      <c r="AD293" s="10" t="str">
        <f t="shared" si="91"/>
        <v>&lt;etma:1:1:49817:7&gt;  rdf:type skos:Concept ;     dcterms:source "https://www.mindat.org/min-49817.html" ;   skos:definition "An EH chondrite that has been impact melted."@en ;    skos:inScheme &lt;https://mindat.org/etmat/cscheme&gt; ;    skos:prefLabel "Impact melted EH chondrite meteorite"@en ; rdfs:label "Impact melted EH chondrite meteorite"@en ;    skos:notation  "EH-imp melt"@en ;   dcterms:source "https://www.lpi.usra.edu/meteor/metbullclass.php?sea=EH-imp%20melt";  skos:broader &lt;etma:1:1:49810:4&gt; ;   dcterms:modified "2017-11-12T01:10";  .</v>
      </c>
      <c r="AE293" s="8" t="s">
        <v>2591</v>
      </c>
    </row>
    <row r="294" spans="1:31" x14ac:dyDescent="0.25">
      <c r="A294" s="8">
        <v>270</v>
      </c>
      <c r="B294" s="8" t="s">
        <v>1360</v>
      </c>
      <c r="C294" s="8">
        <v>49818</v>
      </c>
      <c r="D294" s="8" t="s">
        <v>1358</v>
      </c>
      <c r="E294" s="8" t="s">
        <v>1359</v>
      </c>
      <c r="F294" s="9">
        <v>7</v>
      </c>
      <c r="G294" s="9" t="s">
        <v>14</v>
      </c>
      <c r="H294" s="1" t="s">
        <v>1361</v>
      </c>
      <c r="I294" s="8" t="str">
        <f t="shared" si="85"/>
        <v>https://www.mindat.org/min-49818.html</v>
      </c>
      <c r="J294" s="8">
        <v>49810</v>
      </c>
      <c r="K294" s="8" t="s">
        <v>1318</v>
      </c>
      <c r="N294" s="9">
        <v>0</v>
      </c>
      <c r="O294" s="9" t="s">
        <v>2249</v>
      </c>
      <c r="R294" s="8" t="s">
        <v>1362</v>
      </c>
      <c r="S294" s="11">
        <f t="shared" ref="S294:S312" ca="1" si="99">NOW()</f>
        <v>45097.373057291668</v>
      </c>
      <c r="U294" s="8" t="str">
        <f t="shared" si="86"/>
        <v xml:space="preserve">&lt;etma:1:1:49818:6&gt;  rdf:type skos:Concept ;  </v>
      </c>
      <c r="V294" s="8" t="str">
        <f t="shared" si="87"/>
        <v xml:space="preserve"> dcterms:source "https://www.mindat.org/min-49818.html" ; </v>
      </c>
      <c r="W294" s="8" t="str">
        <f t="shared" si="88"/>
        <v xml:space="preserve">skos:definition "An EH chondrite that has experienced secondary melting."@en ; </v>
      </c>
      <c r="X294" s="8" t="str">
        <f t="shared" si="97"/>
        <v xml:space="preserve"> skos:inScheme &lt;https://mindat.org/etmat/cscheme&gt; ;  </v>
      </c>
      <c r="Y294" s="8" t="str">
        <f t="shared" si="89"/>
        <v xml:space="preserve">skos:prefLabel "EH-melt rock chondrite meteorite"@en ; rdfs:label "EH-melt rock chondrite meteorite"@en ; </v>
      </c>
      <c r="Z294" s="8" t="str">
        <f t="shared" si="90"/>
        <v xml:space="preserve"> skos:notation  "EH-melt rock"@en ; </v>
      </c>
      <c r="AA294" s="8" t="str">
        <f t="shared" si="81"/>
        <v>dcterms:source "https://www.lpi.usra.edu/meteor/metbullclass.php?sea=EH-melt%20rock";</v>
      </c>
      <c r="AB294" s="8" t="str">
        <f t="shared" si="82"/>
        <v xml:space="preserve">skos:broader &lt;etma:1:1:49810:4&gt; ; </v>
      </c>
      <c r="AC294" s="8" t="str">
        <f t="shared" ca="1" si="83"/>
        <v>dcterms:modified "2023-06-20T08:57";  .</v>
      </c>
      <c r="AD294" s="10" t="str">
        <f t="shared" ca="1" si="91"/>
        <v>&lt;etma:1:1:49818:6&gt;  rdf:type skos:Concept ;     dcterms:source "https://www.mindat.org/min-49818.html" ;   skos:definition "An EH chondrite that has experienced secondary melting."@en ;    skos:inScheme &lt;https://mindat.org/etmat/cscheme&gt; ;    skos:prefLabel "EH-melt rock chondrite meteorite"@en ; rdfs:label "EH-melt rock chondrite meteorite"@en ;    skos:notation  "EH-melt rock"@en ;   dcterms:source "https://www.lpi.usra.edu/meteor/metbullclass.php?sea=EH-melt%20rock";  skos:broader &lt;etma:1:1:49810:4&gt; ;   dcterms:modified "2023-06-20T08:57";  .</v>
      </c>
      <c r="AE294" s="8" t="s">
        <v>2591</v>
      </c>
    </row>
    <row r="295" spans="1:31" x14ac:dyDescent="0.25">
      <c r="A295" s="8">
        <v>271</v>
      </c>
      <c r="B295" s="8" t="s">
        <v>1365</v>
      </c>
      <c r="C295" s="8">
        <v>49819</v>
      </c>
      <c r="D295" s="8" t="s">
        <v>1363</v>
      </c>
      <c r="E295" s="8" t="s">
        <v>1364</v>
      </c>
      <c r="F295" s="9">
        <v>7</v>
      </c>
      <c r="G295" s="9" t="s">
        <v>14</v>
      </c>
      <c r="H295" s="1" t="s">
        <v>1366</v>
      </c>
      <c r="I295" s="8" t="str">
        <f t="shared" si="85"/>
        <v>https://www.mindat.org/min-49819.html</v>
      </c>
      <c r="J295" s="8">
        <v>49810</v>
      </c>
      <c r="K295" s="8" t="s">
        <v>1318</v>
      </c>
      <c r="L295" s="9">
        <v>49846</v>
      </c>
      <c r="M295" s="8" t="s">
        <v>2415</v>
      </c>
      <c r="N295" s="9">
        <v>0</v>
      </c>
      <c r="O295" s="9" t="s">
        <v>2249</v>
      </c>
      <c r="R295" s="8" t="s">
        <v>1367</v>
      </c>
      <c r="S295" s="11">
        <f t="shared" ca="1" si="99"/>
        <v>45097.373057291668</v>
      </c>
      <c r="U295" s="8" t="str">
        <f t="shared" si="86"/>
        <v xml:space="preserve">&lt;etma:1:1:49819:5&gt;  rdf:type skos:Concept ;  </v>
      </c>
      <c r="V295" s="8" t="str">
        <f t="shared" si="87"/>
        <v xml:space="preserve"> dcterms:source "https://www.mindat.org/min-49819.html" ; </v>
      </c>
      <c r="W295" s="8" t="str">
        <f t="shared" si="88"/>
        <v xml:space="preserve">skos:definition "An EH chondrite that is of petrologic type 7. Note that perologic type 7 is not used consistently or widely accepted in the literature."@en ; </v>
      </c>
      <c r="X295" s="8" t="str">
        <f t="shared" si="97"/>
        <v xml:space="preserve"> skos:inScheme &lt;https://mindat.org/etmat/cscheme&gt; ;  </v>
      </c>
      <c r="Y295" s="8" t="str">
        <f t="shared" si="89"/>
        <v xml:space="preserve">skos:prefLabel "EH7 chondrite meteorite"@en ; rdfs:label "EH7 chondrite meteorite"@en ; </v>
      </c>
      <c r="Z295" s="8" t="str">
        <f t="shared" si="90"/>
        <v xml:space="preserve"> skos:notation  "EH7"@en ; </v>
      </c>
      <c r="AA295" s="8" t="str">
        <f t="shared" si="81"/>
        <v>dcterms:source "https://www.lpi.usra.edu/meteor/metbullclass.php?sea=EH7";</v>
      </c>
      <c r="AB295" s="8" t="str">
        <f t="shared" si="82"/>
        <v xml:space="preserve">skos:broader &lt;etma:1:1:49810:4&gt;, &lt;etma:1:1:49846:9&gt; ; </v>
      </c>
      <c r="AC295" s="8" t="str">
        <f t="shared" ca="1" si="83"/>
        <v>dcterms:modified "2023-06-20T08:57";  .</v>
      </c>
      <c r="AD295" s="10" t="str">
        <f t="shared" ca="1" si="91"/>
        <v>&lt;etma:1:1:49819:5&gt;  rdf:type skos:Concept ;     dcterms:source "https://www.mindat.org/min-49819.html" ;   skos:definition "An EH chondrite that is of petrologic type 7. Note that perologic type 7 is not used consistently or widely accepted in the literature."@en ;    skos:inScheme &lt;https://mindat.org/etmat/cscheme&gt; ;    skos:prefLabel "EH7 chondrite meteorite"@en ; rdfs:label "EH7 chondrite meteorite"@en ;    skos:notation  "EH7"@en ;   dcterms:source "https://www.lpi.usra.edu/meteor/metbullclass.php?sea=EH7";  skos:broader &lt;etma:1:1:49810:4&gt;, &lt;etma:1:1:49846:9&gt; ;   dcterms:modified "2023-06-20T08:57";  .</v>
      </c>
      <c r="AE295" s="8" t="s">
        <v>2591</v>
      </c>
    </row>
    <row r="296" spans="1:31" hidden="1" x14ac:dyDescent="0.25">
      <c r="A296" s="8">
        <v>54</v>
      </c>
      <c r="B296" s="8" t="s">
        <v>2303</v>
      </c>
      <c r="C296" s="8">
        <v>49820</v>
      </c>
      <c r="D296" s="8" t="s">
        <v>2304</v>
      </c>
      <c r="E296" s="8" t="s">
        <v>2305</v>
      </c>
      <c r="F296" s="9">
        <v>7</v>
      </c>
      <c r="G296" s="9" t="s">
        <v>14</v>
      </c>
      <c r="H296" s="1" t="s">
        <v>2554</v>
      </c>
      <c r="I296" s="8" t="str">
        <f t="shared" si="85"/>
        <v>https://www.mindat.org/min-49820.html</v>
      </c>
      <c r="J296" s="8">
        <v>49800</v>
      </c>
      <c r="K296" s="8" t="s">
        <v>2307</v>
      </c>
      <c r="N296" s="9">
        <v>1</v>
      </c>
      <c r="S296" s="11">
        <f t="shared" ca="1" si="99"/>
        <v>45097.373057291668</v>
      </c>
      <c r="U296" s="8" t="str">
        <f t="shared" si="86"/>
        <v xml:space="preserve">&lt;etma:1:1:49820:1&gt;  rdf:type skos:Concept ;  </v>
      </c>
      <c r="V296" s="8" t="str">
        <f t="shared" si="87"/>
        <v xml:space="preserve"> dcterms:source "https://www.mindat.org/min-49820.html" ; </v>
      </c>
      <c r="W296" s="8" t="str">
        <f t="shared" si="88"/>
        <v xml:space="preserve">skos:definition "The low-iron (EL) chemical group of enstatite chondrites, distinguished by moderately large chondrules (0.6 mm), abundant metal (~10 volume percent) that is Si-bearing (~1 wt%), and an extremely reduced mineral assemblage containing ferroan alabandite ((Fe,Mn)S)"@en ; </v>
      </c>
      <c r="X296" s="8" t="str">
        <f t="shared" si="97"/>
        <v xml:space="preserve"> skos:inScheme &lt;https://mindat.org/etmat/cscheme&gt; ;  </v>
      </c>
      <c r="Y296" s="8" t="str">
        <f t="shared" si="89"/>
        <v xml:space="preserve">skos:prefLabel "EL chondrite meteorite"@en ; rdfs:label "EL chondrite meteorite"@en ; </v>
      </c>
      <c r="Z296" s="8" t="str">
        <f t="shared" si="90"/>
        <v/>
      </c>
      <c r="AA296" s="8" t="str">
        <f t="shared" si="81"/>
        <v/>
      </c>
      <c r="AB296" s="8" t="str">
        <f t="shared" si="82"/>
        <v xml:space="preserve">skos:broader &lt;etma:1:1:49800:7&gt; ; </v>
      </c>
      <c r="AC296" s="8" t="str">
        <f t="shared" ca="1" si="83"/>
        <v>dcterms:modified "2023-06-20T08:57";  .</v>
      </c>
      <c r="AD296" s="10" t="str">
        <f t="shared" ca="1" si="91"/>
        <v>&lt;etma:1:1:49820:1&gt;  rdf:type skos:Concept ;     dcterms:source "https://www.mindat.org/min-49820.html" ;   skos:definition "The low-iron (EL) chemical group of enstatite chondrites, distinguished by moderately large chondrules (0.6 mm), abundant metal (~10 volume percent) that is Si-bearing (~1 wt%), and an extremely reduced mineral assemblage containing ferroan alabandite ((Fe,Mn)S)"@en ;    skos:inScheme &lt;https://mindat.org/etmat/cscheme&gt; ;    skos:prefLabel "EL chondrite meteorite"@en ; rdfs:label "EL chondrite meteorite"@en ;   skos:broader &lt;etma:1:1:49800:7&gt; ;   dcterms:modified "2023-06-20T08:57";  .</v>
      </c>
      <c r="AE296" s="8" t="s">
        <v>2591</v>
      </c>
    </row>
    <row r="297" spans="1:31" x14ac:dyDescent="0.25">
      <c r="A297" s="8">
        <v>272</v>
      </c>
      <c r="B297" s="8" t="s">
        <v>1370</v>
      </c>
      <c r="C297" s="8">
        <v>49821</v>
      </c>
      <c r="D297" s="8" t="s">
        <v>1368</v>
      </c>
      <c r="E297" s="8" t="s">
        <v>1369</v>
      </c>
      <c r="F297" s="9">
        <v>7</v>
      </c>
      <c r="G297" s="9" t="s">
        <v>14</v>
      </c>
      <c r="H297" s="1" t="s">
        <v>1371</v>
      </c>
      <c r="I297" s="8" t="str">
        <f t="shared" si="85"/>
        <v>https://www.mindat.org/min-49821.html</v>
      </c>
      <c r="J297" s="8">
        <v>49820</v>
      </c>
      <c r="K297" s="8" t="s">
        <v>2304</v>
      </c>
      <c r="N297" s="9">
        <v>0</v>
      </c>
      <c r="O297" s="9" t="s">
        <v>2249</v>
      </c>
      <c r="R297" s="8" t="s">
        <v>1372</v>
      </c>
      <c r="S297" s="11">
        <f t="shared" ca="1" si="99"/>
        <v>45097.373057291668</v>
      </c>
      <c r="U297" s="8" t="str">
        <f t="shared" si="86"/>
        <v xml:space="preserve">&lt;etma:1:1:49821:0&gt;  rdf:type skos:Concept ;  </v>
      </c>
      <c r="V297" s="8" t="str">
        <f t="shared" si="87"/>
        <v xml:space="preserve"> dcterms:source "https://www.mindat.org/min-49821.html" ; </v>
      </c>
      <c r="W297" s="8" t="str">
        <f t="shared" si="88"/>
        <v xml:space="preserve">skos:definition "An EL chondrite that has experienced secondary melting."@en ; </v>
      </c>
      <c r="X297" s="8" t="str">
        <f t="shared" si="97"/>
        <v xml:space="preserve"> skos:inScheme &lt;https://mindat.org/etmat/cscheme&gt; ;  </v>
      </c>
      <c r="Y297" s="8" t="str">
        <f t="shared" si="89"/>
        <v xml:space="preserve">skos:prefLabel "EL-melt rock chondrite meteorite"@en ; rdfs:label "EL-melt rock chondrite meteorite"@en ; </v>
      </c>
      <c r="Z297" s="8" t="str">
        <f t="shared" si="90"/>
        <v xml:space="preserve"> skos:notation  "EL-melt rock"@en ; </v>
      </c>
      <c r="AA297" s="8" t="str">
        <f t="shared" si="81"/>
        <v>dcterms:source "https://www.lpi.usra.edu/meteor/metbullclass.php?sea=EL-melt%20rock";</v>
      </c>
      <c r="AB297" s="8" t="str">
        <f t="shared" si="82"/>
        <v xml:space="preserve">skos:broader &lt;etma:1:1:49820:1&gt; ; </v>
      </c>
      <c r="AC297" s="8" t="str">
        <f t="shared" ca="1" si="83"/>
        <v>dcterms:modified "2023-06-20T08:57";  .</v>
      </c>
      <c r="AD297" s="10" t="str">
        <f t="shared" ca="1" si="91"/>
        <v>&lt;etma:1:1:49821:0&gt;  rdf:type skos:Concept ;     dcterms:source "https://www.mindat.org/min-49821.html" ;   skos:definition "An EL chondrite that has experienced secondary melting."@en ;    skos:inScheme &lt;https://mindat.org/etmat/cscheme&gt; ;    skos:prefLabel "EL-melt rock chondrite meteorite"@en ; rdfs:label "EL-melt rock chondrite meteorite"@en ;    skos:notation  "EL-melt rock"@en ;   dcterms:source "https://www.lpi.usra.edu/meteor/metbullclass.php?sea=EL-melt%20rock";  skos:broader &lt;etma:1:1:49820:1&gt; ;   dcterms:modified "2023-06-20T08:57";  .</v>
      </c>
      <c r="AE297" s="8" t="s">
        <v>2591</v>
      </c>
    </row>
    <row r="298" spans="1:31" x14ac:dyDescent="0.25">
      <c r="A298" s="8">
        <v>273</v>
      </c>
      <c r="B298" s="8" t="s">
        <v>1375</v>
      </c>
      <c r="C298" s="8">
        <v>49822</v>
      </c>
      <c r="D298" s="8" t="s">
        <v>1373</v>
      </c>
      <c r="E298" s="8" t="s">
        <v>1374</v>
      </c>
      <c r="F298" s="9">
        <v>7</v>
      </c>
      <c r="G298" s="9" t="s">
        <v>14</v>
      </c>
      <c r="H298" s="1" t="s">
        <v>1376</v>
      </c>
      <c r="I298" s="8" t="str">
        <f t="shared" si="85"/>
        <v>https://www.mindat.org/min-49822.html</v>
      </c>
      <c r="J298" s="8">
        <v>49820</v>
      </c>
      <c r="K298" s="8" t="s">
        <v>2304</v>
      </c>
      <c r="L298" s="9">
        <v>49842</v>
      </c>
      <c r="M298" s="8" t="s">
        <v>2400</v>
      </c>
      <c r="N298" s="9">
        <v>1</v>
      </c>
      <c r="O298" s="9" t="s">
        <v>2249</v>
      </c>
      <c r="R298" s="8" t="s">
        <v>1377</v>
      </c>
      <c r="S298" s="11">
        <f t="shared" ca="1" si="99"/>
        <v>45097.373057407407</v>
      </c>
      <c r="U298" s="8" t="str">
        <f t="shared" si="86"/>
        <v xml:space="preserve">&lt;etma:1:1:49822:9&gt;  rdf:type skos:Concept ;  </v>
      </c>
      <c r="V298" s="8" t="str">
        <f t="shared" si="87"/>
        <v xml:space="preserve"> dcterms:source "https://www.mindat.org/min-49822.html" ; </v>
      </c>
      <c r="W298" s="8" t="str">
        <f t="shared" si="88"/>
        <v xml:space="preserve">skos:definition "An EL chondrite that is petrologic type 3."@en ; </v>
      </c>
      <c r="X298" s="8" t="str">
        <f t="shared" si="97"/>
        <v xml:space="preserve"> skos:inScheme &lt;https://mindat.org/etmat/cscheme&gt; ;  </v>
      </c>
      <c r="Y298" s="8" t="str">
        <f t="shared" si="89"/>
        <v xml:space="preserve">skos:prefLabel "EL3 chondrite meteorite"@en ; rdfs:label "EL3 chondrite meteorite"@en ; </v>
      </c>
      <c r="Z298" s="8" t="str">
        <f t="shared" si="90"/>
        <v xml:space="preserve"> skos:notation  "EL3"@en ; </v>
      </c>
      <c r="AA298" s="8" t="str">
        <f t="shared" si="81"/>
        <v>dcterms:source "https://www.lpi.usra.edu/meteor/metbullclass.php?sea=EL3";</v>
      </c>
      <c r="AB298" s="8" t="str">
        <f t="shared" si="82"/>
        <v xml:space="preserve">skos:broader &lt;etma:1:1:49820:1&gt;, &lt;etma:1:1:49842:3&gt; ; </v>
      </c>
      <c r="AC298" s="8" t="str">
        <f t="shared" ca="1" si="83"/>
        <v>dcterms:modified "2023-06-20T08:57";  .</v>
      </c>
      <c r="AD298" s="10" t="str">
        <f t="shared" ca="1" si="91"/>
        <v>&lt;etma:1:1:49822:9&gt;  rdf:type skos:Concept ;     dcterms:source "https://www.mindat.org/min-49822.html" ;   skos:definition "An EL chondrite that is petrologic type 3."@en ;    skos:inScheme &lt;https://mindat.org/etmat/cscheme&gt; ;    skos:prefLabel "EL3 chondrite meteorite"@en ; rdfs:label "EL3 chondrite meteorite"@en ;    skos:notation  "EL3"@en ;   dcterms:source "https://www.lpi.usra.edu/meteor/metbullclass.php?sea=EL3";  skos:broader &lt;etma:1:1:49820:1&gt;, &lt;etma:1:1:49842:3&gt; ;   dcterms:modified "2023-06-20T08:57";  .</v>
      </c>
      <c r="AE298" s="8" t="s">
        <v>2591</v>
      </c>
    </row>
    <row r="299" spans="1:31" x14ac:dyDescent="0.25">
      <c r="A299" s="8">
        <v>274</v>
      </c>
      <c r="B299" s="8" t="s">
        <v>1380</v>
      </c>
      <c r="C299" s="8">
        <v>49823</v>
      </c>
      <c r="D299" s="8" t="s">
        <v>1378</v>
      </c>
      <c r="E299" s="8" t="s">
        <v>1379</v>
      </c>
      <c r="F299" s="9">
        <v>7</v>
      </c>
      <c r="G299" s="9" t="s">
        <v>14</v>
      </c>
      <c r="H299" s="1" t="s">
        <v>1381</v>
      </c>
      <c r="I299" s="8" t="str">
        <f t="shared" si="85"/>
        <v>https://www.mindat.org/min-49823.html</v>
      </c>
      <c r="J299" s="8">
        <v>49820</v>
      </c>
      <c r="K299" s="8" t="s">
        <v>2304</v>
      </c>
      <c r="L299" s="9">
        <v>49843</v>
      </c>
      <c r="M299" s="8" t="s">
        <v>2404</v>
      </c>
      <c r="N299" s="9">
        <v>1</v>
      </c>
      <c r="O299" s="9" t="s">
        <v>2249</v>
      </c>
      <c r="R299" s="8" t="s">
        <v>1382</v>
      </c>
      <c r="S299" s="11">
        <f t="shared" ca="1" si="99"/>
        <v>45097.373057291668</v>
      </c>
      <c r="U299" s="8" t="str">
        <f t="shared" si="86"/>
        <v xml:space="preserve">&lt;etma:1:1:49823:8&gt;  rdf:type skos:Concept ;  </v>
      </c>
      <c r="V299" s="8" t="str">
        <f t="shared" si="87"/>
        <v xml:space="preserve"> dcterms:source "https://www.mindat.org/min-49823.html" ; </v>
      </c>
      <c r="W299" s="8" t="str">
        <f t="shared" si="88"/>
        <v xml:space="preserve">skos:definition "An EL chondrite that is of petrologic type 4."@en ; </v>
      </c>
      <c r="X299" s="8" t="str">
        <f t="shared" si="97"/>
        <v xml:space="preserve"> skos:inScheme &lt;https://mindat.org/etmat/cscheme&gt; ;  </v>
      </c>
      <c r="Y299" s="8" t="str">
        <f t="shared" si="89"/>
        <v xml:space="preserve">skos:prefLabel "EL4 chondrite meteorite"@en ; rdfs:label "EL4 chondrite meteorite"@en ; </v>
      </c>
      <c r="Z299" s="8" t="str">
        <f t="shared" si="90"/>
        <v xml:space="preserve"> skos:notation  "EL4"@en ; </v>
      </c>
      <c r="AA299" s="8" t="str">
        <f t="shared" si="81"/>
        <v>dcterms:source "https://www.lpi.usra.edu/meteor/metbullclass.php?sea=EL4";</v>
      </c>
      <c r="AB299" s="8" t="str">
        <f t="shared" si="82"/>
        <v xml:space="preserve">skos:broader &lt;etma:1:1:49820:1&gt;, &lt;etma:1:1:49843:2&gt; ; </v>
      </c>
      <c r="AC299" s="8" t="str">
        <f t="shared" ca="1" si="83"/>
        <v>dcterms:modified "2023-06-20T08:57";  .</v>
      </c>
      <c r="AD299" s="10" t="str">
        <f t="shared" ca="1" si="91"/>
        <v>&lt;etma:1:1:49823:8&gt;  rdf:type skos:Concept ;     dcterms:source "https://www.mindat.org/min-49823.html" ;   skos:definition "An EL chondrite that is of petrologic type 4."@en ;    skos:inScheme &lt;https://mindat.org/etmat/cscheme&gt; ;    skos:prefLabel "EL4 chondrite meteorite"@en ; rdfs:label "EL4 chondrite meteorite"@en ;    skos:notation  "EL4"@en ;   dcterms:source "https://www.lpi.usra.edu/meteor/metbullclass.php?sea=EL4";  skos:broader &lt;etma:1:1:49820:1&gt;, &lt;etma:1:1:49843:2&gt; ;   dcterms:modified "2023-06-20T08:57";  .</v>
      </c>
      <c r="AE299" s="8" t="s">
        <v>2591</v>
      </c>
    </row>
    <row r="300" spans="1:31" x14ac:dyDescent="0.25">
      <c r="A300" s="8">
        <v>275</v>
      </c>
      <c r="B300" s="8" t="s">
        <v>1385</v>
      </c>
      <c r="C300" s="8">
        <v>49824</v>
      </c>
      <c r="D300" s="8" t="s">
        <v>1383</v>
      </c>
      <c r="E300" s="8" t="s">
        <v>1384</v>
      </c>
      <c r="F300" s="9">
        <v>7</v>
      </c>
      <c r="G300" s="9" t="s">
        <v>14</v>
      </c>
      <c r="H300" s="1" t="s">
        <v>1386</v>
      </c>
      <c r="I300" s="8" t="str">
        <f t="shared" si="85"/>
        <v>https://www.mindat.org/min-49824.html</v>
      </c>
      <c r="J300" s="8">
        <v>49820</v>
      </c>
      <c r="K300" s="8" t="s">
        <v>2304</v>
      </c>
      <c r="L300" s="9">
        <v>49844</v>
      </c>
      <c r="M300" s="8" t="s">
        <v>2278</v>
      </c>
      <c r="N300" s="9">
        <v>1</v>
      </c>
      <c r="O300" s="9" t="s">
        <v>2249</v>
      </c>
      <c r="R300" s="8" t="s">
        <v>1387</v>
      </c>
      <c r="S300" s="11">
        <f t="shared" ca="1" si="99"/>
        <v>45097.373057291668</v>
      </c>
      <c r="U300" s="8" t="str">
        <f t="shared" si="86"/>
        <v xml:space="preserve">&lt;etma:1:1:49824:7&gt;  rdf:type skos:Concept ;  </v>
      </c>
      <c r="V300" s="8" t="str">
        <f t="shared" si="87"/>
        <v xml:space="preserve"> dcterms:source "https://www.mindat.org/min-49824.html" ; </v>
      </c>
      <c r="W300" s="8" t="str">
        <f t="shared" si="88"/>
        <v xml:space="preserve">skos:definition "An EL chondrite that is of petrologic type 5."@en ; </v>
      </c>
      <c r="X300" s="8" t="str">
        <f t="shared" si="97"/>
        <v xml:space="preserve"> skos:inScheme &lt;https://mindat.org/etmat/cscheme&gt; ;  </v>
      </c>
      <c r="Y300" s="8" t="str">
        <f t="shared" si="89"/>
        <v xml:space="preserve">skos:prefLabel "EL5 chondrite meteorite"@en ; rdfs:label "EL5 chondrite meteorite"@en ; </v>
      </c>
      <c r="Z300" s="8" t="str">
        <f t="shared" si="90"/>
        <v xml:space="preserve"> skos:notation  "EL5"@en ; </v>
      </c>
      <c r="AA300" s="8" t="str">
        <f t="shared" si="81"/>
        <v>dcterms:source "https://www.lpi.usra.edu/meteor/metbullclass.php?sea=EL5";</v>
      </c>
      <c r="AB300" s="8" t="str">
        <f t="shared" si="82"/>
        <v xml:space="preserve">skos:broader &lt;etma:1:1:49820:1&gt;, &lt;etma:1:1:49844:1&gt; ; </v>
      </c>
      <c r="AC300" s="8" t="str">
        <f t="shared" ca="1" si="83"/>
        <v>dcterms:modified "2023-06-20T08:57";  .</v>
      </c>
      <c r="AD300" s="10" t="str">
        <f t="shared" ca="1" si="91"/>
        <v>&lt;etma:1:1:49824:7&gt;  rdf:type skos:Concept ;     dcterms:source "https://www.mindat.org/min-49824.html" ;   skos:definition "An EL chondrite that is of petrologic type 5."@en ;    skos:inScheme &lt;https://mindat.org/etmat/cscheme&gt; ;    skos:prefLabel "EL5 chondrite meteorite"@en ; rdfs:label "EL5 chondrite meteorite"@en ;    skos:notation  "EL5"@en ;   dcterms:source "https://www.lpi.usra.edu/meteor/metbullclass.php?sea=EL5";  skos:broader &lt;etma:1:1:49820:1&gt;, &lt;etma:1:1:49844:1&gt; ;   dcterms:modified "2023-06-20T08:57";  .</v>
      </c>
      <c r="AE300" s="8" t="s">
        <v>2591</v>
      </c>
    </row>
    <row r="301" spans="1:31" x14ac:dyDescent="0.25">
      <c r="A301" s="8">
        <v>276</v>
      </c>
      <c r="B301" s="8" t="s">
        <v>1390</v>
      </c>
      <c r="C301" s="8">
        <v>49825</v>
      </c>
      <c r="D301" s="8" t="s">
        <v>1388</v>
      </c>
      <c r="E301" s="8" t="s">
        <v>1389</v>
      </c>
      <c r="F301" s="9">
        <v>7</v>
      </c>
      <c r="G301" s="9" t="s">
        <v>14</v>
      </c>
      <c r="H301" s="1" t="s">
        <v>1391</v>
      </c>
      <c r="I301" s="8" t="str">
        <f t="shared" si="85"/>
        <v>https://www.mindat.org/min-49825.html</v>
      </c>
      <c r="J301" s="8">
        <v>49824</v>
      </c>
      <c r="K301" s="8" t="s">
        <v>1383</v>
      </c>
      <c r="N301" s="9">
        <v>0</v>
      </c>
      <c r="O301" s="9" t="s">
        <v>2249</v>
      </c>
      <c r="R301" s="8" t="s">
        <v>1392</v>
      </c>
      <c r="S301" s="11">
        <f t="shared" ca="1" si="99"/>
        <v>45097.373057291668</v>
      </c>
      <c r="U301" s="8" t="str">
        <f t="shared" si="86"/>
        <v xml:space="preserve">&lt;etma:1:1:49825:6&gt;  rdf:type skos:Concept ;  </v>
      </c>
      <c r="V301" s="8" t="str">
        <f t="shared" si="87"/>
        <v xml:space="preserve"> dcterms:source "https://www.mindat.org/min-49825.html" ; </v>
      </c>
      <c r="W301" s="8" t="str">
        <f t="shared" si="88"/>
        <v xml:space="preserve">skos:definition "An EL5 chondrite that is a breccia with melted material forming the matrix."@en ; </v>
      </c>
      <c r="X301" s="8" t="str">
        <f t="shared" si="97"/>
        <v xml:space="preserve"> skos:inScheme &lt;https://mindat.org/etmat/cscheme&gt; ;  </v>
      </c>
      <c r="Y301" s="8" t="str">
        <f t="shared" si="89"/>
        <v xml:space="preserve">skos:prefLabel "EL5-melt breccia chondrite meteorite"@en ; rdfs:label "EL5-melt breccia chondrite meteorite"@en ; </v>
      </c>
      <c r="Z301" s="8" t="str">
        <f t="shared" si="90"/>
        <v xml:space="preserve"> skos:notation  "EL5-melt breccia"@en ; </v>
      </c>
      <c r="AA301" s="8" t="str">
        <f t="shared" si="81"/>
        <v>dcterms:source "https://www.lpi.usra.edu/meteor/metbullclass.php?sea=EL5-melt%20breccia";</v>
      </c>
      <c r="AB301" s="8" t="str">
        <f t="shared" si="82"/>
        <v xml:space="preserve">skos:broader &lt;etma:1:1:49824:7&gt; ; </v>
      </c>
      <c r="AC301" s="8" t="str">
        <f t="shared" ca="1" si="83"/>
        <v>dcterms:modified "2023-06-20T08:57";  .</v>
      </c>
      <c r="AD301" s="10" t="str">
        <f t="shared" ca="1" si="91"/>
        <v>&lt;etma:1:1:49825:6&gt;  rdf:type skos:Concept ;     dcterms:source "https://www.mindat.org/min-49825.html" ;   skos:definition "An EL5 chondrite that is a breccia with melted material forming the matrix."@en ;    skos:inScheme &lt;https://mindat.org/etmat/cscheme&gt; ;    skos:prefLabel "EL5-melt breccia chondrite meteorite"@en ; rdfs:label "EL5-melt breccia chondrite meteorite"@en ;    skos:notation  "EL5-melt breccia"@en ;   dcterms:source "https://www.lpi.usra.edu/meteor/metbullclass.php?sea=EL5-melt%20breccia";  skos:broader &lt;etma:1:1:49824:7&gt; ;   dcterms:modified "2023-06-20T08:57";  .</v>
      </c>
      <c r="AE301" s="8" t="s">
        <v>2591</v>
      </c>
    </row>
    <row r="302" spans="1:31" x14ac:dyDescent="0.25">
      <c r="A302" s="8">
        <v>277</v>
      </c>
      <c r="B302" s="8" t="s">
        <v>1395</v>
      </c>
      <c r="C302" s="8">
        <v>49826</v>
      </c>
      <c r="D302" s="8" t="s">
        <v>1393</v>
      </c>
      <c r="E302" s="8" t="s">
        <v>1394</v>
      </c>
      <c r="F302" s="9">
        <v>7</v>
      </c>
      <c r="G302" s="9" t="s">
        <v>14</v>
      </c>
      <c r="H302" s="1" t="s">
        <v>1396</v>
      </c>
      <c r="I302" s="8" t="str">
        <f t="shared" si="85"/>
        <v>https://www.mindat.org/min-49826.html</v>
      </c>
      <c r="J302" s="8">
        <v>49820</v>
      </c>
      <c r="K302" s="8" t="s">
        <v>2304</v>
      </c>
      <c r="L302" s="9">
        <v>49845</v>
      </c>
      <c r="M302" s="8" t="s">
        <v>2411</v>
      </c>
      <c r="N302" s="9">
        <v>1</v>
      </c>
      <c r="O302" s="9" t="s">
        <v>2249</v>
      </c>
      <c r="R302" s="8" t="s">
        <v>1397</v>
      </c>
      <c r="S302" s="11">
        <f t="shared" ca="1" si="99"/>
        <v>45097.373057291668</v>
      </c>
      <c r="U302" s="8" t="str">
        <f t="shared" si="86"/>
        <v xml:space="preserve">&lt;etma:1:1:49826:5&gt;  rdf:type skos:Concept ;  </v>
      </c>
      <c r="V302" s="8" t="str">
        <f t="shared" si="87"/>
        <v xml:space="preserve"> dcterms:source "https://www.mindat.org/min-49826.html" ; </v>
      </c>
      <c r="W302" s="8" t="str">
        <f t="shared" si="88"/>
        <v xml:space="preserve">skos:definition "An EL chondrite that is of petrologic type 6."@en ; </v>
      </c>
      <c r="X302" s="8" t="str">
        <f t="shared" si="97"/>
        <v xml:space="preserve"> skos:inScheme &lt;https://mindat.org/etmat/cscheme&gt; ;  </v>
      </c>
      <c r="Y302" s="8" t="str">
        <f t="shared" si="89"/>
        <v xml:space="preserve">skos:prefLabel "EL6 chondrite meteorite"@en ; rdfs:label "EL6 chondrite meteorite"@en ; </v>
      </c>
      <c r="Z302" s="8" t="str">
        <f t="shared" si="90"/>
        <v xml:space="preserve"> skos:notation  "EL6"@en ; </v>
      </c>
      <c r="AA302" s="8" t="str">
        <f t="shared" si="81"/>
        <v>dcterms:source "https://www.lpi.usra.edu/meteor/metbullclass.php?sea=EL6";</v>
      </c>
      <c r="AB302" s="8" t="str">
        <f t="shared" si="82"/>
        <v xml:space="preserve">skos:broader &lt;etma:1:1:49820:1&gt;, &lt;etma:1:1:49845:0&gt; ; </v>
      </c>
      <c r="AC302" s="8" t="str">
        <f t="shared" ca="1" si="83"/>
        <v>dcterms:modified "2023-06-20T08:57";  .</v>
      </c>
      <c r="AD302" s="10" t="str">
        <f t="shared" ca="1" si="91"/>
        <v>&lt;etma:1:1:49826:5&gt;  rdf:type skos:Concept ;     dcterms:source "https://www.mindat.org/min-49826.html" ;   skos:definition "An EL chondrite that is of petrologic type 6."@en ;    skos:inScheme &lt;https://mindat.org/etmat/cscheme&gt; ;    skos:prefLabel "EL6 chondrite meteorite"@en ; rdfs:label "EL6 chondrite meteorite"@en ;    skos:notation  "EL6"@en ;   dcterms:source "https://www.lpi.usra.edu/meteor/metbullclass.php?sea=EL6";  skos:broader &lt;etma:1:1:49820:1&gt;, &lt;etma:1:1:49845:0&gt; ;   dcterms:modified "2023-06-20T08:57";  .</v>
      </c>
      <c r="AE302" s="8" t="s">
        <v>2591</v>
      </c>
    </row>
    <row r="303" spans="1:31" x14ac:dyDescent="0.25">
      <c r="A303" s="8">
        <v>278</v>
      </c>
      <c r="B303" s="8" t="s">
        <v>1400</v>
      </c>
      <c r="C303" s="8">
        <v>49827</v>
      </c>
      <c r="D303" s="8" t="s">
        <v>1398</v>
      </c>
      <c r="E303" s="8" t="s">
        <v>1399</v>
      </c>
      <c r="F303" s="9">
        <v>7</v>
      </c>
      <c r="G303" s="9" t="s">
        <v>14</v>
      </c>
      <c r="H303" s="1" t="s">
        <v>1401</v>
      </c>
      <c r="I303" s="8" t="str">
        <f t="shared" si="85"/>
        <v>https://www.mindat.org/min-49827.html</v>
      </c>
      <c r="J303" s="8">
        <v>49826</v>
      </c>
      <c r="K303" s="8" t="s">
        <v>1393</v>
      </c>
      <c r="L303" s="9">
        <v>49828</v>
      </c>
      <c r="M303" s="8" t="s">
        <v>1403</v>
      </c>
      <c r="N303" s="9">
        <v>0</v>
      </c>
      <c r="O303" s="9" t="s">
        <v>2249</v>
      </c>
      <c r="R303" s="8" t="s">
        <v>1402</v>
      </c>
      <c r="S303" s="11">
        <f t="shared" ca="1" si="99"/>
        <v>45097.373057291668</v>
      </c>
      <c r="U303" s="8" t="str">
        <f t="shared" si="86"/>
        <v xml:space="preserve">&lt;etma:1:1:49827:4&gt;  rdf:type skos:Concept ;  </v>
      </c>
      <c r="V303" s="8" t="str">
        <f t="shared" si="87"/>
        <v xml:space="preserve"> dcterms:source "https://www.mindat.org/min-49827.html" ; </v>
      </c>
      <c r="W303" s="8" t="str">
        <f t="shared" si="88"/>
        <v xml:space="preserve">skos:definition "An EL chondrite that is transitional between petrologic types 6 and 7. Note that perologic type 7 is not used consistently or widely accepted in the literature."@en ; </v>
      </c>
      <c r="X303" s="8" t="str">
        <f t="shared" si="97"/>
        <v xml:space="preserve"> skos:inScheme &lt;https://mindat.org/etmat/cscheme&gt; ;  </v>
      </c>
      <c r="Y303" s="8" t="str">
        <f t="shared" si="89"/>
        <v xml:space="preserve">skos:prefLabel "EL6/7 chondrite meteorite"@en ; rdfs:label "EL6/7 chondrite meteorite"@en ; </v>
      </c>
      <c r="Z303" s="8" t="str">
        <f t="shared" si="90"/>
        <v xml:space="preserve"> skos:notation  "EL6/7"@en ; </v>
      </c>
      <c r="AA303" s="8" t="str">
        <f t="shared" si="81"/>
        <v>dcterms:source "https://www.lpi.usra.edu/meteor/metbullclass.php?sea=EL6/7";</v>
      </c>
      <c r="AB303" s="8" t="str">
        <f t="shared" si="82"/>
        <v xml:space="preserve">skos:broader &lt;etma:1:1:49826:5&gt;, &lt;etma:1:1:49828:3&gt; ; </v>
      </c>
      <c r="AC303" s="8" t="str">
        <f t="shared" ca="1" si="83"/>
        <v>dcterms:modified "2023-06-20T08:57";  .</v>
      </c>
      <c r="AD303" s="10" t="str">
        <f t="shared" ca="1" si="91"/>
        <v>&lt;etma:1:1:49827:4&gt;  rdf:type skos:Concept ;     dcterms:source "https://www.mindat.org/min-49827.html" ;   skos:definition "An EL chondrite that is transitional between petrologic types 6 and 7. Note that perologic type 7 is not used consistently or widely accepted in the literature."@en ;    skos:inScheme &lt;https://mindat.org/etmat/cscheme&gt; ;    skos:prefLabel "EL6/7 chondrite meteorite"@en ; rdfs:label "EL6/7 chondrite meteorite"@en ;    skos:notation  "EL6/7"@en ;   dcterms:source "https://www.lpi.usra.edu/meteor/metbullclass.php?sea=EL6/7";  skos:broader &lt;etma:1:1:49826:5&gt;, &lt;etma:1:1:49828:3&gt; ;   dcterms:modified "2023-06-20T08:57";  .</v>
      </c>
      <c r="AE303" s="8" t="s">
        <v>2591</v>
      </c>
    </row>
    <row r="304" spans="1:31" x14ac:dyDescent="0.25">
      <c r="A304" s="8">
        <v>279</v>
      </c>
      <c r="B304" s="8" t="s">
        <v>1405</v>
      </c>
      <c r="C304" s="8">
        <v>49828</v>
      </c>
      <c r="D304" s="8" t="s">
        <v>1403</v>
      </c>
      <c r="E304" s="8" t="s">
        <v>1404</v>
      </c>
      <c r="F304" s="9">
        <v>7</v>
      </c>
      <c r="G304" s="9" t="s">
        <v>14</v>
      </c>
      <c r="H304" s="1" t="s">
        <v>1406</v>
      </c>
      <c r="I304" s="8" t="str">
        <f t="shared" si="85"/>
        <v>https://www.mindat.org/min-49828.html</v>
      </c>
      <c r="J304" s="8">
        <v>49820</v>
      </c>
      <c r="K304" s="8" t="s">
        <v>2304</v>
      </c>
      <c r="L304" s="9">
        <v>49846</v>
      </c>
      <c r="M304" s="8" t="s">
        <v>2415</v>
      </c>
      <c r="N304" s="9">
        <v>0</v>
      </c>
      <c r="O304" s="9" t="s">
        <v>2249</v>
      </c>
      <c r="R304" s="8" t="s">
        <v>1407</v>
      </c>
      <c r="S304" s="11">
        <f t="shared" ca="1" si="99"/>
        <v>45097.373057291668</v>
      </c>
      <c r="U304" s="8" t="str">
        <f t="shared" si="86"/>
        <v xml:space="preserve">&lt;etma:1:1:49828:3&gt;  rdf:type skos:Concept ;  </v>
      </c>
      <c r="V304" s="8" t="str">
        <f t="shared" si="87"/>
        <v xml:space="preserve"> dcterms:source "https://www.mindat.org/min-49828.html" ; </v>
      </c>
      <c r="W304" s="8" t="str">
        <f t="shared" si="88"/>
        <v xml:space="preserve">skos:definition "An EL chondrite that is of petrologic type 7. Note that perologic type 7 is not used consistently or widely accepted in the literature."@en ; </v>
      </c>
      <c r="X304" s="8" t="str">
        <f t="shared" si="97"/>
        <v xml:space="preserve"> skos:inScheme &lt;https://mindat.org/etmat/cscheme&gt; ;  </v>
      </c>
      <c r="Y304" s="8" t="str">
        <f t="shared" si="89"/>
        <v xml:space="preserve">skos:prefLabel "EL7 chondrite meteorite"@en ; rdfs:label "EL7 chondrite meteorite"@en ; </v>
      </c>
      <c r="Z304" s="8" t="str">
        <f t="shared" si="90"/>
        <v xml:space="preserve"> skos:notation  "EL7"@en ; </v>
      </c>
      <c r="AA304" s="8" t="str">
        <f t="shared" si="81"/>
        <v>dcterms:source "https://www.lpi.usra.edu/meteor/metbullclass.php?sea=EL7";</v>
      </c>
      <c r="AB304" s="8" t="str">
        <f t="shared" si="82"/>
        <v xml:space="preserve">skos:broader &lt;etma:1:1:49820:1&gt;, &lt;etma:1:1:49846:9&gt; ; </v>
      </c>
      <c r="AC304" s="8" t="str">
        <f t="shared" ca="1" si="83"/>
        <v>dcterms:modified "2023-06-20T08:57";  .</v>
      </c>
      <c r="AD304" s="10" t="str">
        <f t="shared" ca="1" si="91"/>
        <v>&lt;etma:1:1:49828:3&gt;  rdf:type skos:Concept ;     dcterms:source "https://www.mindat.org/min-49828.html" ;   skos:definition "An EL chondrite that is of petrologic type 7. Note that perologic type 7 is not used consistently or widely accepted in the literature."@en ;    skos:inScheme &lt;https://mindat.org/etmat/cscheme&gt; ;    skos:prefLabel "EL7 chondrite meteorite"@en ; rdfs:label "EL7 chondrite meteorite"@en ;    skos:notation  "EL7"@en ;   dcterms:source "https://www.lpi.usra.edu/meteor/metbullclass.php?sea=EL7";  skos:broader &lt;etma:1:1:49820:1&gt;, &lt;etma:1:1:49846:9&gt; ;   dcterms:modified "2023-06-20T08:57";  .</v>
      </c>
      <c r="AE304" s="8" t="s">
        <v>2591</v>
      </c>
    </row>
    <row r="305" spans="1:31" x14ac:dyDescent="0.25">
      <c r="A305" s="8">
        <v>280</v>
      </c>
      <c r="B305" s="8" t="s">
        <v>1410</v>
      </c>
      <c r="C305" s="8">
        <v>49829</v>
      </c>
      <c r="D305" s="8" t="s">
        <v>1408</v>
      </c>
      <c r="E305" s="8" t="s">
        <v>1409</v>
      </c>
      <c r="F305" s="9">
        <v>7</v>
      </c>
      <c r="G305" s="9" t="s">
        <v>14</v>
      </c>
      <c r="H305" s="1" t="s">
        <v>2584</v>
      </c>
      <c r="I305" s="8" t="str">
        <f t="shared" si="85"/>
        <v>https://www.mindat.org/min-49829.html</v>
      </c>
      <c r="J305" s="8">
        <v>49515</v>
      </c>
      <c r="K305" s="8" t="s">
        <v>17</v>
      </c>
      <c r="N305" s="9">
        <v>1</v>
      </c>
      <c r="O305" s="9">
        <v>49830</v>
      </c>
      <c r="P305" s="8" t="s">
        <v>2513</v>
      </c>
      <c r="Q305" s="8" t="s">
        <v>2514</v>
      </c>
      <c r="R305" s="8" t="s">
        <v>1412</v>
      </c>
      <c r="S305" s="11">
        <f t="shared" ca="1" si="99"/>
        <v>45097.373057291668</v>
      </c>
      <c r="U305" s="8" t="str">
        <f t="shared" si="86"/>
        <v xml:space="preserve">&lt;etma:1:1:49829:2&gt;  rdf:type skos:Concept ;  </v>
      </c>
      <c r="V305" s="8" t="str">
        <f t="shared" si="87"/>
        <v xml:space="preserve"> dcterms:source "https://www.mindat.org/min-49829.html" ; </v>
      </c>
      <c r="W305" s="8" t="str">
        <f t="shared" si="88"/>
        <v xml:space="preserve">skos:definition "A chondrite characterised by large amounts of dusty matrix and oxygen isotope compositions similar to carbonaceous chondrites, highly reduced mineral compositions and high metal abundances (6 percent  to 10 percent  by volume) that are most like enstatite chondrites, and concentrations of refractory lithophile elements that are most like ordinary chondrites."@en ; </v>
      </c>
      <c r="X305" s="8" t="str">
        <f t="shared" si="93"/>
        <v xml:space="preserve"> skos:inScheme &lt;http://example.org/mindat/etmat/cscheme&gt; ;  </v>
      </c>
      <c r="Y305" s="8" t="str">
        <f t="shared" si="89"/>
        <v xml:space="preserve">skos:prefLabel "K chondrite meteorite"@en ; rdfs:label "K chondrite meteorite"@en ; </v>
      </c>
      <c r="Z305" s="8" t="str">
        <f t="shared" si="90"/>
        <v xml:space="preserve">skos:altLabel "Kakangari chondrite meteorite"@en ; skos:exactMatch  &lt;etma:1:1:49830:8&gt; ;  skos:notation  "K"@en ; </v>
      </c>
      <c r="AA305" s="8" t="str">
        <f t="shared" si="81"/>
        <v>dcterms:source "https://www.lpi.usra.edu/meteor/metbullclass.php?sea=K";</v>
      </c>
      <c r="AB305" s="8" t="str">
        <f t="shared" si="82"/>
        <v xml:space="preserve">skos:broader &lt;etma:1:1:49515:2&gt; ; </v>
      </c>
      <c r="AC305" s="8" t="str">
        <f t="shared" ca="1" si="83"/>
        <v>dcterms:modified "2023-06-20T08:57";  .</v>
      </c>
      <c r="AD305" s="10" t="str">
        <f t="shared" ca="1" si="91"/>
        <v>&lt;etma:1:1:49829:2&gt;  rdf:type skos:Concept ;     dcterms:source "https://www.mindat.org/min-49829.html" ;   skos:definition "A chondrite characterised by large amounts of dusty matrix and oxygen isotope compositions similar to carbonaceous chondrites, highly reduced mineral compositions and high metal abundances (6 percent  to 10 percent  by volume) that are most like enstatite chondrites, and concentrations of refractory lithophile elements that are most like ordinary chondrites."@en ;    skos:inScheme &lt;http://example.org/mindat/etmat/cscheme&gt; ;    skos:prefLabel "K chondrite meteorite"@en ; rdfs:label "K chondrite meteorite"@en ;   skos:altLabel "Kakangari chondrite meteorite"@en ; skos:exactMatch  &lt;etma:1:1:49830:8&gt; ;  skos:notation  "K"@en ;   dcterms:source "https://www.lpi.usra.edu/meteor/metbullclass.php?sea=K";  skos:broader &lt;etma:1:1:49515:2&gt; ;   dcterms:modified "2023-06-20T08:57";  .</v>
      </c>
      <c r="AE305" s="8" t="s">
        <v>2591</v>
      </c>
    </row>
    <row r="306" spans="1:31" x14ac:dyDescent="0.25">
      <c r="A306" s="8">
        <v>281</v>
      </c>
      <c r="B306" s="8" t="s">
        <v>1415</v>
      </c>
      <c r="C306" s="8">
        <v>49831</v>
      </c>
      <c r="D306" s="8" t="s">
        <v>1413</v>
      </c>
      <c r="E306" s="8" t="s">
        <v>1414</v>
      </c>
      <c r="F306" s="9">
        <v>7</v>
      </c>
      <c r="G306" s="9" t="s">
        <v>14</v>
      </c>
      <c r="H306" s="1" t="s">
        <v>1416</v>
      </c>
      <c r="I306" s="8" t="str">
        <f t="shared" si="85"/>
        <v>https://www.mindat.org/min-49831.html</v>
      </c>
      <c r="J306" s="8">
        <v>49829</v>
      </c>
      <c r="K306" s="8" t="s">
        <v>1408</v>
      </c>
      <c r="L306" s="9">
        <v>49842</v>
      </c>
      <c r="M306" s="8" t="s">
        <v>2400</v>
      </c>
      <c r="N306" s="9">
        <v>1</v>
      </c>
      <c r="O306" s="9" t="s">
        <v>2249</v>
      </c>
      <c r="R306" s="8" t="s">
        <v>1417</v>
      </c>
      <c r="S306" s="11">
        <f t="shared" ca="1" si="99"/>
        <v>45097.373057407407</v>
      </c>
      <c r="U306" s="8" t="str">
        <f t="shared" si="86"/>
        <v xml:space="preserve">&lt;etma:1:1:49831:7&gt;  rdf:type skos:Concept ;  </v>
      </c>
      <c r="V306" s="8" t="str">
        <f t="shared" si="87"/>
        <v xml:space="preserve"> dcterms:source "https://www.mindat.org/min-49831.html" ; </v>
      </c>
      <c r="W306" s="8" t="str">
        <f t="shared" si="88"/>
        <v xml:space="preserve">skos:definition "A K chondrite that is petrologic type 3."@en ; </v>
      </c>
      <c r="X306" s="8" t="str">
        <f t="shared" ref="X306:X307" si="100">" skos:inScheme &lt;https://mindat.org/etmat/cscheme&gt; ;  "</f>
        <v xml:space="preserve"> skos:inScheme &lt;https://mindat.org/etmat/cscheme&gt; ;  </v>
      </c>
      <c r="Y306" s="8" t="str">
        <f t="shared" si="89"/>
        <v xml:space="preserve">skos:prefLabel "K3 chondrite meteorite"@en ; rdfs:label "K3 chondrite meteorite"@en ; </v>
      </c>
      <c r="Z306" s="8" t="str">
        <f t="shared" si="90"/>
        <v xml:space="preserve"> skos:notation  "K3"@en ; </v>
      </c>
      <c r="AA306" s="8" t="str">
        <f t="shared" si="81"/>
        <v>dcterms:source "https://www.lpi.usra.edu/meteor/metbullclass.php?sea=K3";</v>
      </c>
      <c r="AB306" s="8" t="str">
        <f t="shared" si="82"/>
        <v xml:space="preserve">skos:broader &lt;etma:1:1:49829:2&gt;, &lt;etma:1:1:49842:3&gt; ; </v>
      </c>
      <c r="AC306" s="8" t="str">
        <f t="shared" ca="1" si="83"/>
        <v>dcterms:modified "2023-06-20T08:57";  .</v>
      </c>
      <c r="AD306" s="10" t="str">
        <f t="shared" ca="1" si="91"/>
        <v>&lt;etma:1:1:49831:7&gt;  rdf:type skos:Concept ;     dcterms:source "https://www.mindat.org/min-49831.html" ;   skos:definition "A K chondrite that is petrologic type 3."@en ;    skos:inScheme &lt;https://mindat.org/etmat/cscheme&gt; ;    skos:prefLabel "K3 chondrite meteorite"@en ; rdfs:label "K3 chondrite meteorite"@en ;    skos:notation  "K3"@en ;   dcterms:source "https://www.lpi.usra.edu/meteor/metbullclass.php?sea=K3";  skos:broader &lt;etma:1:1:49829:2&gt;, &lt;etma:1:1:49842:3&gt; ;   dcterms:modified "2023-06-20T08:57";  .</v>
      </c>
      <c r="AE306" s="8" t="s">
        <v>2591</v>
      </c>
    </row>
    <row r="307" spans="1:31" x14ac:dyDescent="0.25">
      <c r="A307" s="8">
        <v>282</v>
      </c>
      <c r="B307" s="8" t="s">
        <v>1420</v>
      </c>
      <c r="C307" s="8">
        <v>49832</v>
      </c>
      <c r="D307" s="8" t="s">
        <v>1418</v>
      </c>
      <c r="E307" s="8" t="s">
        <v>1419</v>
      </c>
      <c r="F307" s="9">
        <v>7</v>
      </c>
      <c r="G307" s="9" t="s">
        <v>14</v>
      </c>
      <c r="H307" s="1" t="s">
        <v>1421</v>
      </c>
      <c r="I307" s="8" t="str">
        <f t="shared" si="85"/>
        <v>https://www.mindat.org/min-49832.html</v>
      </c>
      <c r="J307" s="8">
        <v>49829</v>
      </c>
      <c r="K307" s="8" t="s">
        <v>1408</v>
      </c>
      <c r="L307" s="9">
        <v>49843</v>
      </c>
      <c r="M307" s="8" t="s">
        <v>2404</v>
      </c>
      <c r="N307" s="9">
        <v>1</v>
      </c>
      <c r="O307" s="9" t="s">
        <v>2249</v>
      </c>
      <c r="R307" s="8" t="s">
        <v>1422</v>
      </c>
      <c r="S307" s="11">
        <f t="shared" ca="1" si="99"/>
        <v>45097.373057291668</v>
      </c>
      <c r="U307" s="8" t="str">
        <f t="shared" si="86"/>
        <v xml:space="preserve">&lt;etma:1:1:49832:6&gt;  rdf:type skos:Concept ;  </v>
      </c>
      <c r="V307" s="8" t="str">
        <f t="shared" si="87"/>
        <v xml:space="preserve"> dcterms:source "https://www.mindat.org/min-49832.html" ; </v>
      </c>
      <c r="W307" s="8" t="str">
        <f t="shared" si="88"/>
        <v xml:space="preserve">skos:definition "A K chondrite that is petrologic type 4."@en ; </v>
      </c>
      <c r="X307" s="8" t="str">
        <f t="shared" si="100"/>
        <v xml:space="preserve"> skos:inScheme &lt;https://mindat.org/etmat/cscheme&gt; ;  </v>
      </c>
      <c r="Y307" s="8" t="str">
        <f t="shared" si="89"/>
        <v xml:space="preserve">skos:prefLabel "K4 chondrite meteorite"@en ; rdfs:label "K4 chondrite meteorite"@en ; </v>
      </c>
      <c r="Z307" s="8" t="str">
        <f t="shared" si="90"/>
        <v xml:space="preserve"> skos:notation  "K4"@en ; </v>
      </c>
      <c r="AA307" s="8" t="str">
        <f t="shared" si="81"/>
        <v>dcterms:source "https://www.lpi.usra.edu/meteor/metbullclass.php?sea=K4";</v>
      </c>
      <c r="AB307" s="8" t="str">
        <f t="shared" si="82"/>
        <v xml:space="preserve">skos:broader &lt;etma:1:1:49829:2&gt;, &lt;etma:1:1:49843:2&gt; ; </v>
      </c>
      <c r="AC307" s="8" t="str">
        <f t="shared" ca="1" si="83"/>
        <v>dcterms:modified "2023-06-20T08:57";  .</v>
      </c>
      <c r="AD307" s="10" t="str">
        <f t="shared" ca="1" si="91"/>
        <v>&lt;etma:1:1:49832:6&gt;  rdf:type skos:Concept ;     dcterms:source "https://www.mindat.org/min-49832.html" ;   skos:definition "A K chondrite that is petrologic type 4."@en ;    skos:inScheme &lt;https://mindat.org/etmat/cscheme&gt; ;    skos:prefLabel "K4 chondrite meteorite"@en ; rdfs:label "K4 chondrite meteorite"@en ;    skos:notation  "K4"@en ;   dcterms:source "https://www.lpi.usra.edu/meteor/metbullclass.php?sea=K4";  skos:broader &lt;etma:1:1:49829:2&gt;, &lt;etma:1:1:49843:2&gt; ;   dcterms:modified "2023-06-20T08:57";  .</v>
      </c>
      <c r="AE307" s="8" t="s">
        <v>2591</v>
      </c>
    </row>
    <row r="308" spans="1:31" x14ac:dyDescent="0.25">
      <c r="A308" s="8">
        <v>283</v>
      </c>
      <c r="B308" s="8" t="s">
        <v>1425</v>
      </c>
      <c r="C308" s="8">
        <v>49833</v>
      </c>
      <c r="D308" s="8" t="s">
        <v>1423</v>
      </c>
      <c r="E308" s="8" t="s">
        <v>1424</v>
      </c>
      <c r="F308" s="9">
        <v>7</v>
      </c>
      <c r="G308" s="9" t="s">
        <v>14</v>
      </c>
      <c r="H308" s="1" t="s">
        <v>2585</v>
      </c>
      <c r="I308" s="8" t="str">
        <f t="shared" si="85"/>
        <v>https://www.mindat.org/min-49833.html</v>
      </c>
      <c r="J308" s="8">
        <v>49515</v>
      </c>
      <c r="K308" s="8" t="s">
        <v>17</v>
      </c>
      <c r="N308" s="9">
        <v>1</v>
      </c>
      <c r="O308" s="9">
        <v>49834</v>
      </c>
      <c r="P308" s="8" t="s">
        <v>2515</v>
      </c>
      <c r="Q308" s="8" t="s">
        <v>2516</v>
      </c>
      <c r="R308" s="8" t="s">
        <v>1427</v>
      </c>
      <c r="S308" s="11">
        <f t="shared" ca="1" si="99"/>
        <v>45097.373057291668</v>
      </c>
      <c r="U308" s="8" t="str">
        <f t="shared" si="86"/>
        <v xml:space="preserve">&lt;etma:1:1:49833:5&gt;  rdf:type skos:Concept ;  </v>
      </c>
      <c r="V308" s="8" t="str">
        <f t="shared" si="87"/>
        <v xml:space="preserve"> dcterms:source "https://www.mindat.org/min-49833.html" ; </v>
      </c>
      <c r="W308" s="8" t="str">
        <f t="shared" si="88"/>
        <v xml:space="preserve">skos:definition "A chondrite, different from ordinary chondrite in having a more dusty matrix (about 50 percent  of the rock), more oxidized, containing little metallic Fe-Ni and with a higher 17O ratio. Most of the metal is in the form of sulfides. They appear to come from an asteroid regolith."@en ; </v>
      </c>
      <c r="X308" s="8" t="str">
        <f t="shared" si="93"/>
        <v xml:space="preserve"> skos:inScheme &lt;http://example.org/mindat/etmat/cscheme&gt; ;  </v>
      </c>
      <c r="Y308" s="8" t="str">
        <f t="shared" si="89"/>
        <v xml:space="preserve">skos:prefLabel "R chondrite meteorite"@en ; rdfs:label "R chondrite meteorite"@en ; </v>
      </c>
      <c r="Z308" s="8" t="str">
        <f t="shared" si="90"/>
        <v xml:space="preserve">skos:altLabel "Rumuruti chondrite meteorite"@en ; skos:exactMatch  &lt;etma:1:1:49834:4&gt; ;  skos:notation  "R"@en ; </v>
      </c>
      <c r="AA308" s="8" t="str">
        <f t="shared" si="81"/>
        <v>dcterms:source "https://www.lpi.usra.edu/meteor/metbullclass.php?sea=R";</v>
      </c>
      <c r="AB308" s="8" t="str">
        <f t="shared" si="82"/>
        <v xml:space="preserve">skos:broader &lt;etma:1:1:49515:2&gt; ; </v>
      </c>
      <c r="AC308" s="8" t="str">
        <f t="shared" ca="1" si="83"/>
        <v>dcterms:modified "2023-06-20T08:57";  .</v>
      </c>
      <c r="AD308" s="10" t="str">
        <f t="shared" ca="1" si="91"/>
        <v>&lt;etma:1:1:49833:5&gt;  rdf:type skos:Concept ;     dcterms:source "https://www.mindat.org/min-49833.html" ;   skos:definition "A chondrite, different from ordinary chondrite in having a more dusty matrix (about 50 percent  of the rock), more oxidized, containing little metallic Fe-Ni and with a higher 17O ratio. Most of the metal is in the form of sulfides. They appear to come from an asteroid regolith."@en ;    skos:inScheme &lt;http://example.org/mindat/etmat/cscheme&gt; ;    skos:prefLabel "R chondrite meteorite"@en ; rdfs:label "R chondrite meteorite"@en ;   skos:altLabel "Rumuruti chondrite meteorite"@en ; skos:exactMatch  &lt;etma:1:1:49834:4&gt; ;  skos:notation  "R"@en ;   dcterms:source "https://www.lpi.usra.edu/meteor/metbullclass.php?sea=R";  skos:broader &lt;etma:1:1:49515:2&gt; ;   dcterms:modified "2023-06-20T08:57";  .</v>
      </c>
      <c r="AE308" s="8" t="s">
        <v>2591</v>
      </c>
    </row>
    <row r="309" spans="1:31" x14ac:dyDescent="0.25">
      <c r="A309" s="8">
        <v>284</v>
      </c>
      <c r="B309" s="8" t="s">
        <v>1430</v>
      </c>
      <c r="C309" s="8">
        <v>49835</v>
      </c>
      <c r="D309" s="8" t="s">
        <v>1428</v>
      </c>
      <c r="E309" s="8" t="s">
        <v>1429</v>
      </c>
      <c r="F309" s="9">
        <v>7</v>
      </c>
      <c r="G309" s="9" t="s">
        <v>14</v>
      </c>
      <c r="H309" s="1" t="s">
        <v>1431</v>
      </c>
      <c r="I309" s="8" t="str">
        <f t="shared" si="85"/>
        <v>https://www.mindat.org/min-49835.html</v>
      </c>
      <c r="J309" s="8">
        <v>49833</v>
      </c>
      <c r="K309" s="8" t="s">
        <v>1423</v>
      </c>
      <c r="L309" s="9">
        <v>49842</v>
      </c>
      <c r="M309" s="8" t="s">
        <v>2400</v>
      </c>
      <c r="N309" s="9">
        <v>1</v>
      </c>
      <c r="O309" s="9" t="s">
        <v>2249</v>
      </c>
      <c r="R309" s="8" t="s">
        <v>1432</v>
      </c>
      <c r="S309" s="11">
        <f t="shared" ca="1" si="99"/>
        <v>45097.373057291668</v>
      </c>
      <c r="U309" s="8" t="str">
        <f t="shared" si="86"/>
        <v xml:space="preserve">&lt;etma:1:1:49835:3&gt;  rdf:type skos:Concept ;  </v>
      </c>
      <c r="V309" s="8" t="str">
        <f t="shared" si="87"/>
        <v xml:space="preserve"> dcterms:source "https://www.mindat.org/min-49835.html" ; </v>
      </c>
      <c r="W309" s="8" t="str">
        <f t="shared" si="88"/>
        <v xml:space="preserve">skos:definition "An R chondrite that is petrologic type 3."@en ; </v>
      </c>
      <c r="X309" s="8" t="str">
        <f t="shared" ref="X309:X331" si="101">" skos:inScheme &lt;https://mindat.org/etmat/cscheme&gt; ;  "</f>
        <v xml:space="preserve"> skos:inScheme &lt;https://mindat.org/etmat/cscheme&gt; ;  </v>
      </c>
      <c r="Y309" s="8" t="str">
        <f t="shared" si="89"/>
        <v xml:space="preserve">skos:prefLabel "R3 chondrite meteorite"@en ; rdfs:label "R3 chondrite meteorite"@en ; </v>
      </c>
      <c r="Z309" s="8" t="str">
        <f t="shared" si="90"/>
        <v xml:space="preserve"> skos:notation  "R3"@en ; </v>
      </c>
      <c r="AA309" s="8" t="str">
        <f t="shared" si="81"/>
        <v>dcterms:source "https://www.lpi.usra.edu/meteor/metbullclass.php?sea=R3";</v>
      </c>
      <c r="AB309" s="8" t="str">
        <f t="shared" si="82"/>
        <v xml:space="preserve">skos:broader &lt;etma:1:1:49833:5&gt;, &lt;etma:1:1:49842:3&gt; ; </v>
      </c>
      <c r="AC309" s="8" t="str">
        <f t="shared" ca="1" si="83"/>
        <v>dcterms:modified "2023-06-20T08:57";  .</v>
      </c>
      <c r="AD309" s="10" t="str">
        <f t="shared" ca="1" si="91"/>
        <v>&lt;etma:1:1:49835:3&gt;  rdf:type skos:Concept ;     dcterms:source "https://www.mindat.org/min-49835.html" ;   skos:definition "An R chondrite that is petrologic type 3."@en ;    skos:inScheme &lt;https://mindat.org/etmat/cscheme&gt; ;    skos:prefLabel "R3 chondrite meteorite"@en ; rdfs:label "R3 chondrite meteorite"@en ;    skos:notation  "R3"@en ;   dcterms:source "https://www.lpi.usra.edu/meteor/metbullclass.php?sea=R3";  skos:broader &lt;etma:1:1:49833:5&gt;, &lt;etma:1:1:49842:3&gt; ;   dcterms:modified "2023-06-20T08:57";  .</v>
      </c>
      <c r="AE309" s="8" t="s">
        <v>2591</v>
      </c>
    </row>
    <row r="310" spans="1:31" x14ac:dyDescent="0.25">
      <c r="A310" s="8">
        <v>285</v>
      </c>
      <c r="B310" s="8" t="s">
        <v>1435</v>
      </c>
      <c r="C310" s="8">
        <v>49836</v>
      </c>
      <c r="D310" s="8" t="s">
        <v>1433</v>
      </c>
      <c r="E310" s="8" t="s">
        <v>1434</v>
      </c>
      <c r="F310" s="9">
        <v>7</v>
      </c>
      <c r="G310" s="9" t="s">
        <v>14</v>
      </c>
      <c r="H310" s="1" t="s">
        <v>1436</v>
      </c>
      <c r="I310" s="8" t="str">
        <f t="shared" si="85"/>
        <v>https://www.mindat.org/min-49836.html</v>
      </c>
      <c r="J310" s="8">
        <v>49833</v>
      </c>
      <c r="K310" s="8" t="s">
        <v>1423</v>
      </c>
      <c r="L310" s="9">
        <v>49843</v>
      </c>
      <c r="M310" s="8" t="s">
        <v>2404</v>
      </c>
      <c r="N310" s="9">
        <v>1</v>
      </c>
      <c r="O310" s="9" t="s">
        <v>2249</v>
      </c>
      <c r="R310" s="8" t="s">
        <v>1437</v>
      </c>
      <c r="S310" s="11">
        <f t="shared" ca="1" si="99"/>
        <v>45097.373057291668</v>
      </c>
      <c r="U310" s="8" t="str">
        <f t="shared" si="86"/>
        <v xml:space="preserve">&lt;etma:1:1:49836:2&gt;  rdf:type skos:Concept ;  </v>
      </c>
      <c r="V310" s="8" t="str">
        <f t="shared" si="87"/>
        <v xml:space="preserve"> dcterms:source "https://www.mindat.org/min-49836.html" ; </v>
      </c>
      <c r="W310" s="8" t="str">
        <f t="shared" si="88"/>
        <v xml:space="preserve">skos:definition "An R chondrite that is petrologic type 4."@en ; </v>
      </c>
      <c r="X310" s="8" t="str">
        <f t="shared" si="101"/>
        <v xml:space="preserve"> skos:inScheme &lt;https://mindat.org/etmat/cscheme&gt; ;  </v>
      </c>
      <c r="Y310" s="8" t="str">
        <f t="shared" si="89"/>
        <v xml:space="preserve">skos:prefLabel "R4 chondrite meteorite"@en ; rdfs:label "R4 chondrite meteorite"@en ; </v>
      </c>
      <c r="Z310" s="8" t="str">
        <f t="shared" si="90"/>
        <v xml:space="preserve"> skos:notation  "R4"@en ; </v>
      </c>
      <c r="AA310" s="8" t="str">
        <f t="shared" si="81"/>
        <v>dcterms:source "https://www.lpi.usra.edu/meteor/metbullclass.php?sea=R4";</v>
      </c>
      <c r="AB310" s="8" t="str">
        <f t="shared" si="82"/>
        <v xml:space="preserve">skos:broader &lt;etma:1:1:49833:5&gt;, &lt;etma:1:1:49843:2&gt; ; </v>
      </c>
      <c r="AC310" s="8" t="str">
        <f t="shared" ca="1" si="83"/>
        <v>dcterms:modified "2023-06-20T08:57";  .</v>
      </c>
      <c r="AD310" s="10" t="str">
        <f t="shared" ca="1" si="91"/>
        <v>&lt;etma:1:1:49836:2&gt;  rdf:type skos:Concept ;     dcterms:source "https://www.mindat.org/min-49836.html" ;   skos:definition "An R chondrite that is petrologic type 4."@en ;    skos:inScheme &lt;https://mindat.org/etmat/cscheme&gt; ;    skos:prefLabel "R4 chondrite meteorite"@en ; rdfs:label "R4 chondrite meteorite"@en ;    skos:notation  "R4"@en ;   dcterms:source "https://www.lpi.usra.edu/meteor/metbullclass.php?sea=R4";  skos:broader &lt;etma:1:1:49833:5&gt;, &lt;etma:1:1:49843:2&gt; ;   dcterms:modified "2023-06-20T08:57";  .</v>
      </c>
      <c r="AE310" s="8" t="s">
        <v>2591</v>
      </c>
    </row>
    <row r="311" spans="1:31" x14ac:dyDescent="0.25">
      <c r="A311" s="8">
        <v>286</v>
      </c>
      <c r="B311" s="8" t="s">
        <v>1440</v>
      </c>
      <c r="C311" s="8">
        <v>49837</v>
      </c>
      <c r="D311" s="8" t="s">
        <v>1438</v>
      </c>
      <c r="E311" s="8" t="s">
        <v>1439</v>
      </c>
      <c r="F311" s="9">
        <v>7</v>
      </c>
      <c r="G311" s="9" t="s">
        <v>14</v>
      </c>
      <c r="H311" s="1" t="s">
        <v>1441</v>
      </c>
      <c r="I311" s="8" t="str">
        <f t="shared" si="85"/>
        <v>https://www.mindat.org/min-49837.html</v>
      </c>
      <c r="J311" s="8">
        <v>49833</v>
      </c>
      <c r="K311" s="8" t="s">
        <v>1423</v>
      </c>
      <c r="L311" s="9">
        <v>49844</v>
      </c>
      <c r="M311" s="8" t="s">
        <v>2278</v>
      </c>
      <c r="N311" s="9">
        <v>1</v>
      </c>
      <c r="O311" s="9" t="s">
        <v>2249</v>
      </c>
      <c r="R311" s="8" t="s">
        <v>1442</v>
      </c>
      <c r="S311" s="11">
        <f t="shared" ca="1" si="99"/>
        <v>45097.373057291668</v>
      </c>
      <c r="U311" s="8" t="str">
        <f t="shared" si="86"/>
        <v xml:space="preserve">&lt;etma:1:1:49837:1&gt;  rdf:type skos:Concept ;  </v>
      </c>
      <c r="V311" s="8" t="str">
        <f t="shared" si="87"/>
        <v xml:space="preserve"> dcterms:source "https://www.mindat.org/min-49837.html" ; </v>
      </c>
      <c r="W311" s="8" t="str">
        <f t="shared" si="88"/>
        <v xml:space="preserve">skos:definition "An R chondrite that is petrologic type 5."@en ; </v>
      </c>
      <c r="X311" s="8" t="str">
        <f t="shared" si="101"/>
        <v xml:space="preserve"> skos:inScheme &lt;https://mindat.org/etmat/cscheme&gt; ;  </v>
      </c>
      <c r="Y311" s="8" t="str">
        <f t="shared" si="89"/>
        <v xml:space="preserve">skos:prefLabel "R5 chondrite meteorite"@en ; rdfs:label "R5 chondrite meteorite"@en ; </v>
      </c>
      <c r="Z311" s="8" t="str">
        <f t="shared" si="90"/>
        <v xml:space="preserve"> skos:notation  "R5"@en ; </v>
      </c>
      <c r="AA311" s="8" t="str">
        <f t="shared" si="81"/>
        <v>dcterms:source "https://www.lpi.usra.edu/meteor/metbullclass.php?sea=R5";</v>
      </c>
      <c r="AB311" s="8" t="str">
        <f t="shared" si="82"/>
        <v xml:space="preserve">skos:broader &lt;etma:1:1:49833:5&gt;, &lt;etma:1:1:49844:1&gt; ; </v>
      </c>
      <c r="AC311" s="8" t="str">
        <f t="shared" ca="1" si="83"/>
        <v>dcterms:modified "2023-06-20T08:57";  .</v>
      </c>
      <c r="AD311" s="10" t="str">
        <f t="shared" ca="1" si="91"/>
        <v>&lt;etma:1:1:49837:1&gt;  rdf:type skos:Concept ;     dcterms:source "https://www.mindat.org/min-49837.html" ;   skos:definition "An R chondrite that is petrologic type 5."@en ;    skos:inScheme &lt;https://mindat.org/etmat/cscheme&gt; ;    skos:prefLabel "R5 chondrite meteorite"@en ; rdfs:label "R5 chondrite meteorite"@en ;    skos:notation  "R5"@en ;   dcterms:source "https://www.lpi.usra.edu/meteor/metbullclass.php?sea=R5";  skos:broader &lt;etma:1:1:49833:5&gt;, &lt;etma:1:1:49844:1&gt; ;   dcterms:modified "2023-06-20T08:57";  .</v>
      </c>
      <c r="AE311" s="8" t="s">
        <v>2591</v>
      </c>
    </row>
    <row r="312" spans="1:31" x14ac:dyDescent="0.25">
      <c r="A312" s="8">
        <v>287</v>
      </c>
      <c r="B312" s="8" t="s">
        <v>1445</v>
      </c>
      <c r="C312" s="8">
        <v>49838</v>
      </c>
      <c r="D312" s="8" t="s">
        <v>1443</v>
      </c>
      <c r="E312" s="8" t="s">
        <v>1444</v>
      </c>
      <c r="F312" s="9">
        <v>7</v>
      </c>
      <c r="G312" s="9" t="s">
        <v>14</v>
      </c>
      <c r="H312" s="1" t="s">
        <v>1446</v>
      </c>
      <c r="I312" s="8" t="str">
        <f t="shared" si="85"/>
        <v>https://www.mindat.org/min-49838.html</v>
      </c>
      <c r="J312" s="8">
        <v>49833</v>
      </c>
      <c r="K312" s="8" t="s">
        <v>1423</v>
      </c>
      <c r="L312" s="9">
        <v>49845</v>
      </c>
      <c r="M312" s="8" t="s">
        <v>2411</v>
      </c>
      <c r="N312" s="9">
        <v>1</v>
      </c>
      <c r="O312" s="9" t="s">
        <v>2249</v>
      </c>
      <c r="R312" s="8" t="s">
        <v>1447</v>
      </c>
      <c r="S312" s="11">
        <f t="shared" ca="1" si="99"/>
        <v>45097.373057291668</v>
      </c>
      <c r="U312" s="8" t="str">
        <f t="shared" si="86"/>
        <v xml:space="preserve">&lt;etma:1:1:49838:0&gt;  rdf:type skos:Concept ;  </v>
      </c>
      <c r="V312" s="8" t="str">
        <f t="shared" si="87"/>
        <v xml:space="preserve"> dcterms:source "https://www.mindat.org/min-49838.html" ; </v>
      </c>
      <c r="W312" s="8" t="str">
        <f t="shared" si="88"/>
        <v xml:space="preserve">skos:definition "An R chondrite that is petrologic type 6."@en ; </v>
      </c>
      <c r="X312" s="8" t="str">
        <f t="shared" si="101"/>
        <v xml:space="preserve"> skos:inScheme &lt;https://mindat.org/etmat/cscheme&gt; ;  </v>
      </c>
      <c r="Y312" s="8" t="str">
        <f t="shared" si="89"/>
        <v xml:space="preserve">skos:prefLabel "R6 chondrite meteorite"@en ; rdfs:label "R6 chondrite meteorite"@en ; </v>
      </c>
      <c r="Z312" s="8" t="str">
        <f t="shared" si="90"/>
        <v xml:space="preserve"> skos:notation  "R6"@en ; </v>
      </c>
      <c r="AA312" s="8" t="str">
        <f t="shared" si="81"/>
        <v>dcterms:source "https://www.lpi.usra.edu/meteor/metbullclass.php?sea=R6";</v>
      </c>
      <c r="AB312" s="8" t="str">
        <f t="shared" si="82"/>
        <v xml:space="preserve">skos:broader &lt;etma:1:1:49833:5&gt;, &lt;etma:1:1:49845:0&gt; ; </v>
      </c>
      <c r="AC312" s="8" t="str">
        <f t="shared" ca="1" si="83"/>
        <v>dcterms:modified "2023-06-20T08:57";  .</v>
      </c>
      <c r="AD312" s="10" t="str">
        <f t="shared" ca="1" si="91"/>
        <v>&lt;etma:1:1:49838:0&gt;  rdf:type skos:Concept ;     dcterms:source "https://www.mindat.org/min-49838.html" ;   skos:definition "An R chondrite that is petrologic type 6."@en ;    skos:inScheme &lt;https://mindat.org/etmat/cscheme&gt; ;    skos:prefLabel "R6 chondrite meteorite"@en ; rdfs:label "R6 chondrite meteorite"@en ;    skos:notation  "R6"@en ;   dcterms:source "https://www.lpi.usra.edu/meteor/metbullclass.php?sea=R6";  skos:broader &lt;etma:1:1:49833:5&gt;, &lt;etma:1:1:49845:0&gt; ;   dcterms:modified "2023-06-20T08:57";  .</v>
      </c>
      <c r="AE312" s="8" t="s">
        <v>2591</v>
      </c>
    </row>
    <row r="313" spans="1:31" hidden="1" x14ac:dyDescent="0.25">
      <c r="A313" s="8">
        <v>220</v>
      </c>
      <c r="B313" s="8" t="s">
        <v>2287</v>
      </c>
      <c r="C313" s="8">
        <v>49839</v>
      </c>
      <c r="D313" s="8" t="s">
        <v>2288</v>
      </c>
      <c r="E313" s="8" t="s">
        <v>2289</v>
      </c>
      <c r="F313" s="9">
        <v>7</v>
      </c>
      <c r="G313" s="9" t="s">
        <v>14</v>
      </c>
      <c r="H313" s="1" t="s">
        <v>2290</v>
      </c>
      <c r="I313" s="8" t="str">
        <f t="shared" si="85"/>
        <v>https://www.mindat.org/min-49839.html</v>
      </c>
      <c r="J313" s="8">
        <v>49515</v>
      </c>
      <c r="K313" s="8" t="s">
        <v>17</v>
      </c>
      <c r="N313" s="9">
        <v>1</v>
      </c>
      <c r="S313" s="11">
        <v>43049.789351851854</v>
      </c>
      <c r="U313" s="8" t="str">
        <f t="shared" si="86"/>
        <v xml:space="preserve">&lt;etma:1:1:49839:9&gt;  rdf:type skos:Concept ;  </v>
      </c>
      <c r="V313" s="8" t="str">
        <f t="shared" si="87"/>
        <v xml:space="preserve"> dcterms:source "https://www.mindat.org/min-49839.html" ; </v>
      </c>
      <c r="W313" s="8" t="str">
        <f t="shared" si="88"/>
        <v xml:space="preserve">skos:definition "An alternative classification grouping together all chondrite types by their petrological type rather than origin."@en ; </v>
      </c>
      <c r="X313" s="8" t="str">
        <f t="shared" si="101"/>
        <v xml:space="preserve"> skos:inScheme &lt;https://mindat.org/etmat/cscheme&gt; ;  </v>
      </c>
      <c r="Y313" s="8" t="str">
        <f t="shared" si="89"/>
        <v xml:space="preserve">skos:prefLabel "Chondrite meteorite by petrological type"@en ; rdfs:label "Chondrite meteorite by petrological type"@en ; </v>
      </c>
      <c r="Z313" s="8" t="str">
        <f t="shared" si="90"/>
        <v/>
      </c>
      <c r="AA313" s="8" t="str">
        <f t="shared" si="81"/>
        <v/>
      </c>
      <c r="AB313" s="8" t="str">
        <f t="shared" si="82"/>
        <v xml:space="preserve">skos:broader &lt;etma:1:1:49515:2&gt; ; </v>
      </c>
      <c r="AC313" s="8" t="str">
        <f t="shared" si="83"/>
        <v>dcterms:modified "2017-11-10T18:56";  .</v>
      </c>
      <c r="AD313" s="10" t="str">
        <f t="shared" si="91"/>
        <v>&lt;etma:1:1:49839:9&gt;  rdf:type skos:Concept ;     dcterms:source "https://www.mindat.org/min-49839.html" ;   skos:definition "An alternative classification grouping together all chondrite types by their petrological type rather than origin."@en ;    skos:inScheme &lt;https://mindat.org/etmat/cscheme&gt; ;    skos:prefLabel "Chondrite meteorite by petrological type"@en ; rdfs:label "Chondrite meteorite by petrological type"@en ;   skos:broader &lt;etma:1:1:49515:2&gt; ;   dcterms:modified "2017-11-10T18:56";  .</v>
      </c>
      <c r="AE313" s="8" t="s">
        <v>2591</v>
      </c>
    </row>
    <row r="314" spans="1:31" hidden="1" x14ac:dyDescent="0.25">
      <c r="A314" s="8">
        <v>211</v>
      </c>
      <c r="B314" s="8" t="s">
        <v>2392</v>
      </c>
      <c r="C314" s="8">
        <v>49840</v>
      </c>
      <c r="D314" s="8" t="s">
        <v>2273</v>
      </c>
      <c r="E314" s="8" t="s">
        <v>2393</v>
      </c>
      <c r="F314" s="9">
        <v>7</v>
      </c>
      <c r="G314" s="9" t="s">
        <v>14</v>
      </c>
      <c r="H314" s="1" t="s">
        <v>2394</v>
      </c>
      <c r="I314" s="8" t="str">
        <f t="shared" si="85"/>
        <v>https://www.mindat.org/min-49840.html</v>
      </c>
      <c r="J314" s="8">
        <v>49839</v>
      </c>
      <c r="K314" s="8" t="s">
        <v>2288</v>
      </c>
      <c r="N314" s="9">
        <v>1</v>
      </c>
      <c r="S314" s="11">
        <f t="shared" ref="S314:S320" ca="1" si="102">NOW()</f>
        <v>45097.373057291668</v>
      </c>
      <c r="U314" s="8" t="str">
        <f t="shared" si="86"/>
        <v xml:space="preserve">&lt;etma:1:1:49840:5&gt;  rdf:type skos:Concept ;  </v>
      </c>
      <c r="V314" s="8" t="str">
        <f t="shared" si="87"/>
        <v xml:space="preserve"> dcterms:source "https://www.mindat.org/min-49840.html" ; </v>
      </c>
      <c r="W314" s="8" t="str">
        <f t="shared" si="88"/>
        <v xml:space="preserve">skos:definition "Chondrites which have experienced a high degree of aqueous alteration. Most primary minerals have been replaced by secondary phases and chondrules are generally absent."@en ; </v>
      </c>
      <c r="X314" s="8" t="str">
        <f t="shared" si="101"/>
        <v xml:space="preserve"> skos:inScheme &lt;https://mindat.org/etmat/cscheme&gt; ;  </v>
      </c>
      <c r="Y314" s="8" t="str">
        <f t="shared" si="89"/>
        <v xml:space="preserve">skos:prefLabel "Petrologic Type 1 chondrite meteorite"@en ; rdfs:label "Petrologic Type 1 chondrite meteorite"@en ; </v>
      </c>
      <c r="Z314" s="8" t="str">
        <f t="shared" si="90"/>
        <v/>
      </c>
      <c r="AA314" s="8" t="str">
        <f t="shared" si="81"/>
        <v/>
      </c>
      <c r="AB314" s="8" t="str">
        <f t="shared" si="82"/>
        <v xml:space="preserve">skos:broader &lt;etma:1:1:49839:9&gt; ; </v>
      </c>
      <c r="AC314" s="8" t="str">
        <f t="shared" ca="1" si="83"/>
        <v>dcterms:modified "2023-06-20T08:57";  .</v>
      </c>
      <c r="AD314" s="10" t="str">
        <f t="shared" ca="1" si="91"/>
        <v>&lt;etma:1:1:49840:5&gt;  rdf:type skos:Concept ;     dcterms:source "https://www.mindat.org/min-49840.html" ;   skos:definition "Chondrites which have experienced a high degree of aqueous alteration. Most primary minerals have been replaced by secondary phases and chondrules are generally absent."@en ;    skos:inScheme &lt;https://mindat.org/etmat/cscheme&gt; ;    skos:prefLabel "Petrologic Type 1 chondrite meteorite"@en ; rdfs:label "Petrologic Type 1 chondrite meteorite"@en ;   skos:broader &lt;etma:1:1:49839:9&gt; ;   dcterms:modified "2023-06-20T08:57";  .</v>
      </c>
      <c r="AE314" s="8" t="s">
        <v>2591</v>
      </c>
    </row>
    <row r="315" spans="1:31" hidden="1" x14ac:dyDescent="0.25">
      <c r="A315" s="8">
        <v>235</v>
      </c>
      <c r="B315" s="8" t="s">
        <v>2395</v>
      </c>
      <c r="C315" s="8">
        <v>49841</v>
      </c>
      <c r="D315" s="8" t="s">
        <v>2396</v>
      </c>
      <c r="E315" s="8" t="s">
        <v>2397</v>
      </c>
      <c r="F315" s="9">
        <v>7</v>
      </c>
      <c r="G315" s="9" t="s">
        <v>14</v>
      </c>
      <c r="H315" s="1" t="s">
        <v>2398</v>
      </c>
      <c r="I315" s="8" t="str">
        <f t="shared" si="85"/>
        <v>https://www.mindat.org/min-49841.html</v>
      </c>
      <c r="J315" s="8">
        <v>49839</v>
      </c>
      <c r="K315" s="8" t="s">
        <v>2288</v>
      </c>
      <c r="N315" s="9">
        <v>1</v>
      </c>
      <c r="S315" s="11">
        <f t="shared" ca="1" si="102"/>
        <v>45097.373057407407</v>
      </c>
      <c r="U315" s="8" t="str">
        <f t="shared" si="86"/>
        <v xml:space="preserve">&lt;etma:1:1:49841:4&gt;  rdf:type skos:Concept ;  </v>
      </c>
      <c r="V315" s="8" t="str">
        <f t="shared" si="87"/>
        <v xml:space="preserve"> dcterms:source "https://www.mindat.org/min-49841.html" ; </v>
      </c>
      <c r="W315" s="8" t="str">
        <f t="shared" si="88"/>
        <v xml:space="preserve">skos:definition "Chondrites which are characterized by abundant hydrated minerals and abundant fine-grained matrix; chondrules are present; sulfides are Ni-bearing."@en ; </v>
      </c>
      <c r="X315" s="8" t="str">
        <f t="shared" si="101"/>
        <v xml:space="preserve"> skos:inScheme &lt;https://mindat.org/etmat/cscheme&gt; ;  </v>
      </c>
      <c r="Y315" s="8" t="str">
        <f t="shared" si="89"/>
        <v xml:space="preserve">skos:prefLabel "Petrologic Type 2 chondrite meteorite"@en ; rdfs:label "Petrologic Type 2 chondrite meteorite"@en ; </v>
      </c>
      <c r="Z315" s="8" t="str">
        <f t="shared" si="90"/>
        <v/>
      </c>
      <c r="AA315" s="8" t="str">
        <f t="shared" si="81"/>
        <v/>
      </c>
      <c r="AB315" s="8" t="str">
        <f t="shared" si="82"/>
        <v xml:space="preserve">skos:broader &lt;etma:1:1:49839:9&gt; ; </v>
      </c>
      <c r="AC315" s="8" t="str">
        <f t="shared" ca="1" si="83"/>
        <v>dcterms:modified "2023-06-20T08:57";  .</v>
      </c>
      <c r="AD315" s="10" t="str">
        <f t="shared" ca="1" si="91"/>
        <v>&lt;etma:1:1:49841:4&gt;  rdf:type skos:Concept ;     dcterms:source "https://www.mindat.org/min-49841.html" ;   skos:definition "Chondrites which are characterized by abundant hydrated minerals and abundant fine-grained matrix; chondrules are present; sulfides are Ni-bearing."@en ;    skos:inScheme &lt;https://mindat.org/etmat/cscheme&gt; ;    skos:prefLabel "Petrologic Type 2 chondrite meteorite"@en ; rdfs:label "Petrologic Type 2 chondrite meteorite"@en ;   skos:broader &lt;etma:1:1:49839:9&gt; ;   dcterms:modified "2023-06-20T08:57";  .</v>
      </c>
      <c r="AE315" s="8" t="s">
        <v>2591</v>
      </c>
    </row>
    <row r="316" spans="1:31" hidden="1" x14ac:dyDescent="0.25">
      <c r="A316" s="8">
        <v>9</v>
      </c>
      <c r="B316" s="8" t="s">
        <v>2399</v>
      </c>
      <c r="C316" s="8">
        <v>49842</v>
      </c>
      <c r="D316" s="8" t="s">
        <v>2400</v>
      </c>
      <c r="E316" s="8" t="s">
        <v>2401</v>
      </c>
      <c r="F316" s="9">
        <v>7</v>
      </c>
      <c r="G316" s="9" t="s">
        <v>14</v>
      </c>
      <c r="H316" s="1" t="s">
        <v>2568</v>
      </c>
      <c r="I316" s="8" t="str">
        <f t="shared" si="85"/>
        <v>https://www.mindat.org/min-49842.html</v>
      </c>
      <c r="J316" s="8">
        <v>49839</v>
      </c>
      <c r="K316" s="8" t="s">
        <v>2288</v>
      </c>
      <c r="N316" s="9">
        <v>1</v>
      </c>
      <c r="S316" s="11">
        <f t="shared" ca="1" si="102"/>
        <v>45097.373057291668</v>
      </c>
      <c r="U316" s="8" t="str">
        <f t="shared" si="86"/>
        <v xml:space="preserve">&lt;etma:1:1:49842:3&gt;  rdf:type skos:Concept ;  </v>
      </c>
      <c r="V316" s="8" t="str">
        <f t="shared" si="87"/>
        <v xml:space="preserve"> dcterms:source "https://www.mindat.org/min-49842.html" ; </v>
      </c>
      <c r="W316" s="8" t="str">
        <f t="shared" si="88"/>
        <v xml:space="preserve">skos:definition "Chondrites that are characterized by abundant chondrules, low degrees of aqueous alteration, and unequilibrated mineral assemblages. Many of the low-Ca pyroxene grains are monoclinic and exhibit polysynthetic twinning. The type 3 chondrites may be divided into subtypes ranging from 3.00 (least metamorphosed) to 3.9 (nearly metamorphosed to type 4 levels). If primary igneous glass occurs in the chondrules, it belongs to type 3."@en ; </v>
      </c>
      <c r="X316" s="8" t="str">
        <f t="shared" si="101"/>
        <v xml:space="preserve"> skos:inScheme &lt;https://mindat.org/etmat/cscheme&gt; ;  </v>
      </c>
      <c r="Y316" s="8" t="str">
        <f t="shared" si="89"/>
        <v xml:space="preserve">skos:prefLabel "Petrologic Type 3 chondrite meteorite"@en ; rdfs:label "Petrologic Type 3 chondrite meteorite"@en ; </v>
      </c>
      <c r="Z316" s="8" t="str">
        <f t="shared" si="90"/>
        <v/>
      </c>
      <c r="AA316" s="8" t="str">
        <f t="shared" si="81"/>
        <v/>
      </c>
      <c r="AB316" s="8" t="str">
        <f t="shared" si="82"/>
        <v xml:space="preserve">skos:broader &lt;etma:1:1:49839:9&gt; ; </v>
      </c>
      <c r="AC316" s="8" t="str">
        <f t="shared" ca="1" si="83"/>
        <v>dcterms:modified "2023-06-20T08:57";  .</v>
      </c>
      <c r="AD316" s="10" t="str">
        <f t="shared" ca="1" si="91"/>
        <v>&lt;etma:1:1:49842:3&gt;  rdf:type skos:Concept ;     dcterms:source "https://www.mindat.org/min-49842.html" ;   skos:definition "Chondrites that are characterized by abundant chondrules, low degrees of aqueous alteration, and unequilibrated mineral assemblages. Many of the low-Ca pyroxene grains are monoclinic and exhibit polysynthetic twinning. The type 3 chondrites may be divided into subtypes ranging from 3.00 (least metamorphosed) to 3.9 (nearly metamorphosed to type 4 levels). If primary igneous glass occurs in the chondrules, it belongs to type 3."@en ;    skos:inScheme &lt;https://mindat.org/etmat/cscheme&gt; ;    skos:prefLabel "Petrologic Type 3 chondrite meteorite"@en ; rdfs:label "Petrologic Type 3 chondrite meteorite"@en ;   skos:broader &lt;etma:1:1:49839:9&gt; ;   dcterms:modified "2023-06-20T08:57";  .</v>
      </c>
      <c r="AE316" s="8" t="s">
        <v>2591</v>
      </c>
    </row>
    <row r="317" spans="1:31" hidden="1" x14ac:dyDescent="0.25">
      <c r="A317" s="8">
        <v>34</v>
      </c>
      <c r="B317" s="8" t="s">
        <v>2403</v>
      </c>
      <c r="C317" s="8">
        <v>49843</v>
      </c>
      <c r="D317" s="8" t="s">
        <v>2404</v>
      </c>
      <c r="E317" s="8" t="s">
        <v>2405</v>
      </c>
      <c r="F317" s="9">
        <v>7</v>
      </c>
      <c r="G317" s="9" t="s">
        <v>14</v>
      </c>
      <c r="H317" s="1" t="s">
        <v>2569</v>
      </c>
      <c r="I317" s="8" t="str">
        <f t="shared" si="85"/>
        <v>https://www.mindat.org/min-49843.html</v>
      </c>
      <c r="J317" s="8">
        <v>49839</v>
      </c>
      <c r="K317" s="8" t="s">
        <v>2288</v>
      </c>
      <c r="N317" s="9">
        <v>1</v>
      </c>
      <c r="S317" s="11">
        <f t="shared" ca="1" si="102"/>
        <v>45097.373057291668</v>
      </c>
      <c r="U317" s="8" t="str">
        <f t="shared" si="86"/>
        <v xml:space="preserve">&lt;etma:1:1:49843:2&gt;  rdf:type skos:Concept ;  </v>
      </c>
      <c r="V317" s="8" t="str">
        <f t="shared" si="87"/>
        <v xml:space="preserve"> dcterms:source "https://www.mindat.org/min-49843.html" ; </v>
      </c>
      <c r="W317" s="8" t="str">
        <f t="shared" si="88"/>
        <v xml:space="preserve">skos:definition "Chondrites that are characterized by abundant chondrules, and have been metamorphosed under conditions sufficient to homogenize olivine compositions and recrystallize fine-grained matrix. Some of the low-Ca pyroxene grains may be monoclinic and exhibit polysynthetic twinning. Primary igneous chondrule glass is absent."@en ; </v>
      </c>
      <c r="X317" s="8" t="str">
        <f t="shared" si="101"/>
        <v xml:space="preserve"> skos:inScheme &lt;https://mindat.org/etmat/cscheme&gt; ;  </v>
      </c>
      <c r="Y317" s="8" t="str">
        <f t="shared" si="89"/>
        <v xml:space="preserve">skos:prefLabel "Petrologic Type 4 chondrite meteorite"@en ; rdfs:label "Petrologic Type 4 chondrite meteorite"@en ; </v>
      </c>
      <c r="Z317" s="8" t="str">
        <f t="shared" si="90"/>
        <v/>
      </c>
      <c r="AA317" s="8" t="str">
        <f t="shared" si="81"/>
        <v/>
      </c>
      <c r="AB317" s="8" t="str">
        <f t="shared" si="82"/>
        <v xml:space="preserve">skos:broader &lt;etma:1:1:49839:9&gt; ; </v>
      </c>
      <c r="AC317" s="8" t="str">
        <f t="shared" ca="1" si="83"/>
        <v>dcterms:modified "2023-06-20T08:57";  .</v>
      </c>
      <c r="AD317" s="10" t="str">
        <f t="shared" ca="1" si="91"/>
        <v>&lt;etma:1:1:49843:2&gt;  rdf:type skos:Concept ;     dcterms:source "https://www.mindat.org/min-49843.html" ;   skos:definition "Chondrites that are characterized by abundant chondrules, and have been metamorphosed under conditions sufficient to homogenize olivine compositions and recrystallize fine-grained matrix. Some of the low-Ca pyroxene grains may be monoclinic and exhibit polysynthetic twinning. Primary igneous chondrule glass is absent."@en ;    skos:inScheme &lt;https://mindat.org/etmat/cscheme&gt; ;    skos:prefLabel "Petrologic Type 4 chondrite meteorite"@en ; rdfs:label "Petrologic Type 4 chondrite meteorite"@en ;   skos:broader &lt;etma:1:1:49839:9&gt; ;   dcterms:modified "2023-06-20T08:57";  .</v>
      </c>
      <c r="AE317" s="8" t="s">
        <v>2591</v>
      </c>
    </row>
    <row r="318" spans="1:31" hidden="1" x14ac:dyDescent="0.25">
      <c r="A318" s="8">
        <v>59</v>
      </c>
      <c r="B318" s="8" t="s">
        <v>2407</v>
      </c>
      <c r="C318" s="8">
        <v>49844</v>
      </c>
      <c r="D318" s="8" t="s">
        <v>2278</v>
      </c>
      <c r="E318" s="8" t="s">
        <v>2408</v>
      </c>
      <c r="F318" s="9">
        <v>7</v>
      </c>
      <c r="G318" s="9" t="s">
        <v>14</v>
      </c>
      <c r="H318" s="1" t="s">
        <v>2409</v>
      </c>
      <c r="I318" s="8" t="str">
        <f t="shared" si="85"/>
        <v>https://www.mindat.org/min-49844.html</v>
      </c>
      <c r="J318" s="8">
        <v>49839</v>
      </c>
      <c r="K318" s="8" t="s">
        <v>2288</v>
      </c>
      <c r="N318" s="9">
        <v>1</v>
      </c>
      <c r="S318" s="11">
        <f t="shared" ca="1" si="102"/>
        <v>45097.373057291668</v>
      </c>
      <c r="U318" s="8" t="str">
        <f t="shared" si="86"/>
        <v xml:space="preserve">&lt;etma:1:1:49844:1&gt;  rdf:type skos:Concept ;  </v>
      </c>
      <c r="V318" s="8" t="str">
        <f t="shared" si="87"/>
        <v xml:space="preserve"> dcterms:source "https://www.mindat.org/min-49844.html" ; </v>
      </c>
      <c r="W318" s="8" t="str">
        <f t="shared" si="88"/>
        <v xml:space="preserve">skos:definition "Chondrites that have been metamorphosed under conditions sufficient to homogenize olivine and pyroxene, convert all low-Ca pyroxene to orthopyroxene, cause the growth of various secondary minerals, and blur chondrule outlines."@en ; </v>
      </c>
      <c r="X318" s="8" t="str">
        <f t="shared" si="101"/>
        <v xml:space="preserve"> skos:inScheme &lt;https://mindat.org/etmat/cscheme&gt; ;  </v>
      </c>
      <c r="Y318" s="8" t="str">
        <f t="shared" si="89"/>
        <v xml:space="preserve">skos:prefLabel "Petrologic Type 5 chondrite meteorite"@en ; rdfs:label "Petrologic Type 5 chondrite meteorite"@en ; </v>
      </c>
      <c r="Z318" s="8" t="str">
        <f t="shared" si="90"/>
        <v/>
      </c>
      <c r="AA318" s="8" t="str">
        <f t="shared" si="81"/>
        <v/>
      </c>
      <c r="AB318" s="8" t="str">
        <f t="shared" si="82"/>
        <v xml:space="preserve">skos:broader &lt;etma:1:1:49839:9&gt; ; </v>
      </c>
      <c r="AC318" s="8" t="str">
        <f t="shared" ca="1" si="83"/>
        <v>dcterms:modified "2023-06-20T08:57";  .</v>
      </c>
      <c r="AD318" s="10" t="str">
        <f t="shared" ca="1" si="91"/>
        <v>&lt;etma:1:1:49844:1&gt;  rdf:type skos:Concept ;     dcterms:source "https://www.mindat.org/min-49844.html" ;   skos:definition "Chondrites that have been metamorphosed under conditions sufficient to homogenize olivine and pyroxene, convert all low-Ca pyroxene to orthopyroxene, cause the growth of various secondary minerals, and blur chondrule outlines."@en ;    skos:inScheme &lt;https://mindat.org/etmat/cscheme&gt; ;    skos:prefLabel "Petrologic Type 5 chondrite meteorite"@en ; rdfs:label "Petrologic Type 5 chondrite meteorite"@en ;   skos:broader &lt;etma:1:1:49839:9&gt; ;   dcterms:modified "2023-06-20T08:57";  .</v>
      </c>
      <c r="AE318" s="8" t="s">
        <v>2591</v>
      </c>
    </row>
    <row r="319" spans="1:31" hidden="1" x14ac:dyDescent="0.25">
      <c r="A319" s="8">
        <v>85</v>
      </c>
      <c r="B319" s="8" t="s">
        <v>2410</v>
      </c>
      <c r="C319" s="8">
        <v>49845</v>
      </c>
      <c r="D319" s="8" t="s">
        <v>2411</v>
      </c>
      <c r="E319" s="8" t="s">
        <v>2412</v>
      </c>
      <c r="F319" s="9">
        <v>7</v>
      </c>
      <c r="G319" s="9" t="s">
        <v>14</v>
      </c>
      <c r="H319" s="1" t="s">
        <v>2570</v>
      </c>
      <c r="I319" s="8" t="str">
        <f t="shared" si="85"/>
        <v>https://www.mindat.org/min-49845.html</v>
      </c>
      <c r="J319" s="8">
        <v>49839</v>
      </c>
      <c r="K319" s="8" t="s">
        <v>2288</v>
      </c>
      <c r="N319" s="9">
        <v>1</v>
      </c>
      <c r="S319" s="11">
        <f t="shared" ca="1" si="102"/>
        <v>45097.373057291668</v>
      </c>
      <c r="U319" s="8" t="str">
        <f t="shared" si="86"/>
        <v xml:space="preserve">&lt;etma:1:1:49845:0&gt;  rdf:type skos:Concept ;  </v>
      </c>
      <c r="V319" s="8" t="str">
        <f t="shared" si="87"/>
        <v xml:space="preserve"> dcterms:source "https://www.mindat.org/min-49845.html" ; </v>
      </c>
      <c r="W319" s="8" t="str">
        <f t="shared" si="88"/>
        <v xml:space="preserve">skos:definition "Chondrites that have been metamorphosed under conditions sufficient to homogenize all mineral compositions, convert all low-Ca pyroxene to orthopyroxene, coarsen secondary phases such as feldspar to sizes ≥50 µm, and obliterate many chondrule outlines; no melting has occurred."@en ; </v>
      </c>
      <c r="X319" s="8" t="str">
        <f t="shared" si="101"/>
        <v xml:space="preserve"> skos:inScheme &lt;https://mindat.org/etmat/cscheme&gt; ;  </v>
      </c>
      <c r="Y319" s="8" t="str">
        <f t="shared" si="89"/>
        <v xml:space="preserve">skos:prefLabel "Petrologic Type 6 chondrite meteorite"@en ; rdfs:label "Petrologic Type 6 chondrite meteorite"@en ; </v>
      </c>
      <c r="Z319" s="8" t="str">
        <f t="shared" si="90"/>
        <v/>
      </c>
      <c r="AA319" s="8" t="str">
        <f t="shared" si="81"/>
        <v/>
      </c>
      <c r="AB319" s="8" t="str">
        <f t="shared" si="82"/>
        <v xml:space="preserve">skos:broader &lt;etma:1:1:49839:9&gt; ; </v>
      </c>
      <c r="AC319" s="8" t="str">
        <f t="shared" ca="1" si="83"/>
        <v>dcterms:modified "2023-06-20T08:57";  .</v>
      </c>
      <c r="AD319" s="10" t="str">
        <f t="shared" ca="1" si="91"/>
        <v>&lt;etma:1:1:49845:0&gt;  rdf:type skos:Concept ;     dcterms:source "https://www.mindat.org/min-49845.html" ;   skos:definition "Chondrites that have been metamorphosed under conditions sufficient to homogenize all mineral compositions, convert all low-Ca pyroxene to orthopyroxene, coarsen secondary phases such as feldspar to sizes ≥50 µm, and obliterate many chondrule outlines; no melting has occurred."@en ;    skos:inScheme &lt;https://mindat.org/etmat/cscheme&gt; ;    skos:prefLabel "Petrologic Type 6 chondrite meteorite"@en ; rdfs:label "Petrologic Type 6 chondrite meteorite"@en ;   skos:broader &lt;etma:1:1:49839:9&gt; ;   dcterms:modified "2023-06-20T08:57";  .</v>
      </c>
      <c r="AE319" s="8" t="s">
        <v>2591</v>
      </c>
    </row>
    <row r="320" spans="1:31" hidden="1" x14ac:dyDescent="0.25">
      <c r="A320" s="8">
        <v>111</v>
      </c>
      <c r="B320" s="8" t="s">
        <v>2414</v>
      </c>
      <c r="C320" s="8">
        <v>49846</v>
      </c>
      <c r="D320" s="8" t="s">
        <v>2415</v>
      </c>
      <c r="E320" s="8" t="s">
        <v>2416</v>
      </c>
      <c r="F320" s="9">
        <v>7</v>
      </c>
      <c r="G320" s="9" t="s">
        <v>14</v>
      </c>
      <c r="H320" s="1" t="s">
        <v>2417</v>
      </c>
      <c r="I320" s="8" t="str">
        <f t="shared" si="85"/>
        <v>https://www.mindat.org/min-49846.html</v>
      </c>
      <c r="J320" s="8">
        <v>49839</v>
      </c>
      <c r="K320" s="8" t="s">
        <v>2288</v>
      </c>
      <c r="N320" s="9">
        <v>0</v>
      </c>
      <c r="S320" s="11">
        <f t="shared" ca="1" si="102"/>
        <v>45097.373057291668</v>
      </c>
      <c r="U320" s="8" t="str">
        <f t="shared" si="86"/>
        <v xml:space="preserve">&lt;etma:1:1:49846:9&gt;  rdf:type skos:Concept ;  </v>
      </c>
      <c r="V320" s="8" t="str">
        <f t="shared" si="87"/>
        <v xml:space="preserve"> dcterms:source "https://www.mindat.org/min-49846.html" ; </v>
      </c>
      <c r="W320" s="8" t="str">
        <f t="shared" si="88"/>
        <v xml:space="preserve">skos:definition "Chondrites which have been metamorphosed to nearly the point of melting. Minerals are equilibrated and chondrules are indistinct or absent. This term is not used consistently or widely accepted in the literature."@en ; </v>
      </c>
      <c r="X320" s="8" t="str">
        <f t="shared" si="101"/>
        <v xml:space="preserve"> skos:inScheme &lt;https://mindat.org/etmat/cscheme&gt; ;  </v>
      </c>
      <c r="Y320" s="8" t="str">
        <f t="shared" si="89"/>
        <v xml:space="preserve">skos:prefLabel "Petrologic Type 7 chondrite meteorite"@en ; rdfs:label "Petrologic Type 7 chondrite meteorite"@en ; </v>
      </c>
      <c r="Z320" s="8" t="str">
        <f t="shared" si="90"/>
        <v/>
      </c>
      <c r="AA320" s="8" t="str">
        <f t="shared" si="81"/>
        <v/>
      </c>
      <c r="AB320" s="8" t="str">
        <f t="shared" si="82"/>
        <v xml:space="preserve">skos:broader &lt;etma:1:1:49839:9&gt; ; </v>
      </c>
      <c r="AC320" s="8" t="str">
        <f t="shared" ca="1" si="83"/>
        <v>dcterms:modified "2023-06-20T08:57";  .</v>
      </c>
      <c r="AD320" s="10" t="str">
        <f t="shared" ca="1" si="91"/>
        <v>&lt;etma:1:1:49846:9&gt;  rdf:type skos:Concept ;     dcterms:source "https://www.mindat.org/min-49846.html" ;   skos:definition "Chondrites which have been metamorphosed to nearly the point of melting. Minerals are equilibrated and chondrules are indistinct or absent. This term is not used consistently or widely accepted in the literature."@en ;    skos:inScheme &lt;https://mindat.org/etmat/cscheme&gt; ;    skos:prefLabel "Petrologic Type 7 chondrite meteorite"@en ; rdfs:label "Petrologic Type 7 chondrite meteorite"@en ;   skos:broader &lt;etma:1:1:49839:9&gt; ;   dcterms:modified "2023-06-20T08:57";  .</v>
      </c>
      <c r="AE320" s="8" t="s">
        <v>2591</v>
      </c>
    </row>
    <row r="321" spans="1:31" x14ac:dyDescent="0.25">
      <c r="A321" s="8">
        <v>288</v>
      </c>
      <c r="B321" s="8" t="s">
        <v>1450</v>
      </c>
      <c r="C321" s="8">
        <v>49847</v>
      </c>
      <c r="D321" s="8" t="s">
        <v>1448</v>
      </c>
      <c r="E321" s="8" t="s">
        <v>1449</v>
      </c>
      <c r="F321" s="9">
        <v>7</v>
      </c>
      <c r="G321" s="9" t="s">
        <v>14</v>
      </c>
      <c r="H321" s="1" t="s">
        <v>1451</v>
      </c>
      <c r="I321" s="8" t="str">
        <f t="shared" si="85"/>
        <v>https://www.mindat.org/min-49847.html</v>
      </c>
      <c r="J321" s="8">
        <v>49514</v>
      </c>
      <c r="K321" s="8" t="s">
        <v>2302</v>
      </c>
      <c r="N321" s="9">
        <v>1</v>
      </c>
      <c r="O321" s="9" t="s">
        <v>2249</v>
      </c>
      <c r="R321" s="8" t="s">
        <v>1452</v>
      </c>
      <c r="S321" s="11">
        <v>43049.470659722225</v>
      </c>
      <c r="U321" s="8" t="str">
        <f t="shared" si="86"/>
        <v xml:space="preserve">&lt;etma:1:1:49847:8&gt;  rdf:type skos:Concept ;  </v>
      </c>
      <c r="V321" s="8" t="str">
        <f t="shared" si="87"/>
        <v xml:space="preserve"> dcterms:source "https://www.mindat.org/min-49847.html" ; </v>
      </c>
      <c r="W321" s="8" t="str">
        <f t="shared" si="88"/>
        <v xml:space="preserve">skos:definition "A meteorite that has lost its chondritic texture due to heating and partial melting, but still has nearly chondritic composition."@en ; </v>
      </c>
      <c r="X321" s="8" t="str">
        <f t="shared" si="101"/>
        <v xml:space="preserve"> skos:inScheme &lt;https://mindat.org/etmat/cscheme&gt; ;  </v>
      </c>
      <c r="Y321" s="8" t="str">
        <f t="shared" si="89"/>
        <v xml:space="preserve">skos:prefLabel "Primitive achondrite meteorite"@en ; rdfs:label "Primitive achondrite meteorite"@en ; </v>
      </c>
      <c r="Z321" s="8" t="str">
        <f t="shared" si="90"/>
        <v xml:space="preserve"> skos:notation  "Achondrite-prim"@en ; </v>
      </c>
      <c r="AA321" s="8" t="str">
        <f t="shared" si="81"/>
        <v>dcterms:source "https://www.lpi.usra.edu/meteor/metbullclass.php?sea=Achondrite-prim";</v>
      </c>
      <c r="AB321" s="8" t="str">
        <f t="shared" si="82"/>
        <v xml:space="preserve">skos:broader &lt;etma:1:1:49514:3&gt; ; </v>
      </c>
      <c r="AC321" s="8" t="str">
        <f t="shared" si="83"/>
        <v>dcterms:modified "2017-11-10T11:17";  .</v>
      </c>
      <c r="AD321" s="10" t="str">
        <f t="shared" si="91"/>
        <v>&lt;etma:1:1:49847:8&gt;  rdf:type skos:Concept ;     dcterms:source "https://www.mindat.org/min-49847.html" ;   skos:definition "A meteorite that has lost its chondritic texture due to heating and partial melting, but still has nearly chondritic composition."@en ;    skos:inScheme &lt;https://mindat.org/etmat/cscheme&gt; ;    skos:prefLabel "Primitive achondrite meteorite"@en ; rdfs:label "Primitive achondrite meteorite"@en ;    skos:notation  "Achondrite-prim"@en ;   dcterms:source "https://www.lpi.usra.edu/meteor/metbullclass.php?sea=Achondrite-prim";  skos:broader &lt;etma:1:1:49514:3&gt; ;   dcterms:modified "2017-11-10T11:17";  .</v>
      </c>
      <c r="AE321" s="8" t="s">
        <v>2591</v>
      </c>
    </row>
    <row r="322" spans="1:31" x14ac:dyDescent="0.25">
      <c r="A322" s="8">
        <v>289</v>
      </c>
      <c r="B322" s="8" t="s">
        <v>1455</v>
      </c>
      <c r="C322" s="8">
        <v>49848</v>
      </c>
      <c r="D322" s="8" t="s">
        <v>1453</v>
      </c>
      <c r="E322" s="8" t="s">
        <v>1454</v>
      </c>
      <c r="F322" s="9">
        <v>7</v>
      </c>
      <c r="G322" s="9" t="s">
        <v>14</v>
      </c>
      <c r="H322" s="1" t="s">
        <v>2571</v>
      </c>
      <c r="I322" s="8" t="str">
        <f t="shared" si="85"/>
        <v>https://www.mindat.org/min-49848.html</v>
      </c>
      <c r="J322" s="8">
        <v>49847</v>
      </c>
      <c r="K322" s="8" t="s">
        <v>1448</v>
      </c>
      <c r="N322" s="9">
        <v>1</v>
      </c>
      <c r="O322" s="9" t="s">
        <v>2249</v>
      </c>
      <c r="R322" s="8" t="s">
        <v>1457</v>
      </c>
      <c r="S322" s="11">
        <v>43049.470914351848</v>
      </c>
      <c r="U322" s="8" t="str">
        <f t="shared" si="86"/>
        <v xml:space="preserve">&lt;etma:1:1:49848:7&gt;  rdf:type skos:Concept ;  </v>
      </c>
      <c r="V322" s="8" t="str">
        <f t="shared" si="87"/>
        <v xml:space="preserve"> dcterms:source "https://www.mindat.org/min-49848.html" ; </v>
      </c>
      <c r="W322" s="8" t="str">
        <f t="shared" si="88"/>
        <v xml:space="preserve">skos:definition "Acapulcoites, named after the Acapulco, Mexico, fall of 1913, and lodranites, named after the Lodran, Pakistan, fall of 1868, are closely related, equigranular meteorites; acapulcoites are finer grained than lodranites and contain rare, relict chondrules, and there are transitional meteorites between the two types (e.g., EET 84302, GRA 95209). Mineral assemblages are similar to, but distinct from those of ordinary chondrites. Compositions are subchondritic, with lodranites showing a higher degree of fractionation."@en ; </v>
      </c>
      <c r="X322" s="8" t="str">
        <f t="shared" si="101"/>
        <v xml:space="preserve"> skos:inScheme &lt;https://mindat.org/etmat/cscheme&gt; ;  </v>
      </c>
      <c r="Y322" s="8" t="str">
        <f t="shared" si="89"/>
        <v xml:space="preserve">skos:prefLabel "Acapulcoite meteorite"@en ; rdfs:label "Acapulcoite meteorite"@en ; </v>
      </c>
      <c r="Z322" s="8" t="str">
        <f t="shared" si="90"/>
        <v xml:space="preserve"> skos:notation  "Acapulcoite"@en ; </v>
      </c>
      <c r="AA322" s="8" t="str">
        <f t="shared" si="81"/>
        <v>dcterms:source "https://www.lpi.usra.edu/meteor/metbullclass.php?sea=Acapulcoite";</v>
      </c>
      <c r="AB322" s="8" t="str">
        <f t="shared" si="82"/>
        <v xml:space="preserve">skos:broader &lt;etma:1:1:49847:8&gt; ; </v>
      </c>
      <c r="AC322" s="8" t="str">
        <f t="shared" si="83"/>
        <v>dcterms:modified "2017-11-10T11:18";  .</v>
      </c>
      <c r="AD322" s="10" t="str">
        <f t="shared" si="91"/>
        <v>&lt;etma:1:1:49848:7&gt;  rdf:type skos:Concept ;     dcterms:source "https://www.mindat.org/min-49848.html" ;   skos:definition "Acapulcoites, named after the Acapulco, Mexico, fall of 1913, and lodranites, named after the Lodran, Pakistan, fall of 1868, are closely related, equigranular meteorites; acapulcoites are finer grained than lodranites and contain rare, relict chondrules, and there are transitional meteorites between the two types (e.g., EET 84302, GRA 95209). Mineral assemblages are similar to, but distinct from those of ordinary chondrites. Compositions are subchondritic, with lodranites showing a higher degree of fractionation."@en ;    skos:inScheme &lt;https://mindat.org/etmat/cscheme&gt; ;    skos:prefLabel "Acapulcoite meteorite"@en ; rdfs:label "Acapulcoite meteorite"@en ;    skos:notation  "Acapulcoite"@en ;   dcterms:source "https://www.lpi.usra.edu/meteor/metbullclass.php?sea=Acapulcoite";  skos:broader &lt;etma:1:1:49847:8&gt; ;   dcterms:modified "2017-11-10T11:18";  .</v>
      </c>
      <c r="AE322" s="8" t="s">
        <v>2591</v>
      </c>
    </row>
    <row r="323" spans="1:31" x14ac:dyDescent="0.25">
      <c r="A323" s="8">
        <v>290</v>
      </c>
      <c r="B323" s="8" t="s">
        <v>1460</v>
      </c>
      <c r="C323" s="8">
        <v>49849</v>
      </c>
      <c r="D323" s="8" t="s">
        <v>1458</v>
      </c>
      <c r="E323" s="8" t="s">
        <v>1459</v>
      </c>
      <c r="F323" s="9">
        <v>7</v>
      </c>
      <c r="G323" s="9" t="s">
        <v>14</v>
      </c>
      <c r="H323" s="1" t="s">
        <v>1461</v>
      </c>
      <c r="I323" s="8" t="str">
        <f t="shared" si="85"/>
        <v>https://www.mindat.org/min-49849.html</v>
      </c>
      <c r="J323" s="8">
        <v>49848</v>
      </c>
      <c r="K323" s="8" t="s">
        <v>1453</v>
      </c>
      <c r="L323" s="9">
        <v>11263</v>
      </c>
      <c r="M323" s="8" t="s">
        <v>11</v>
      </c>
      <c r="N323" s="9">
        <v>0</v>
      </c>
      <c r="O323" s="9" t="s">
        <v>2249</v>
      </c>
      <c r="R323" s="8" t="s">
        <v>1462</v>
      </c>
      <c r="S323" s="11">
        <v>43049.471122685187</v>
      </c>
      <c r="U323" s="8" t="str">
        <f t="shared" si="86"/>
        <v xml:space="preserve">&lt;etma:1:1:49849:6&gt;  rdf:type skos:Concept ;  </v>
      </c>
      <c r="V323" s="8" t="str">
        <f t="shared" si="87"/>
        <v xml:space="preserve"> dcterms:source "https://www.mindat.org/min-49849.html" ; </v>
      </c>
      <c r="W323" s="8" t="str">
        <f t="shared" si="88"/>
        <v xml:space="preserve">skos:definition "A transitional type between acapulcoite and lodranite."@en ; </v>
      </c>
      <c r="X323" s="8" t="str">
        <f t="shared" si="101"/>
        <v xml:space="preserve"> skos:inScheme &lt;https://mindat.org/etmat/cscheme&gt; ;  </v>
      </c>
      <c r="Y323" s="8" t="str">
        <f t="shared" si="89"/>
        <v xml:space="preserve">skos:prefLabel "Acapulcoite-lodranite meteorite"@en ; rdfs:label "Acapulcoite-lodranite meteorite"@en ; </v>
      </c>
      <c r="Z323" s="8" t="str">
        <f t="shared" si="90"/>
        <v xml:space="preserve"> skos:notation  "Acapulcoite/lodranite"@en ; </v>
      </c>
      <c r="AA323" s="8" t="str">
        <f t="shared" ref="AA323:AA386" si="103">IF(NOT(ISBLANK(R323)), "dcterms:source ""https://www.lpi.usra.edu/meteor/metbullclass.php?sea=" &amp; SUBSTITUTE(R323," ","%20") &amp; """;","")</f>
        <v>dcterms:source "https://www.lpi.usra.edu/meteor/metbullclass.php?sea=Acapulcoite/lodranite";</v>
      </c>
      <c r="AB323" s="8" t="str">
        <f t="shared" ref="AB323:AB386" si="104">"skos:broader &lt;etma:"&amp;K323&amp;"&gt;" &amp; IF(ISBLANK(M323),"", ", &lt;etma:"&amp;M323&amp;"&gt;") &amp; " ; "</f>
        <v xml:space="preserve">skos:broader &lt;etma:1:1:49848:7&gt;, &lt;etma:1:1:11263:9&gt; ; </v>
      </c>
      <c r="AC323" s="8" t="str">
        <f t="shared" ref="AC323:AC386" si="105">"dcterms:modified """&amp;  TEXT(S323,"YYYY-MM-DDTHH:MM") &amp;""";  ."</f>
        <v>dcterms:modified "2017-11-10T11:18";  .</v>
      </c>
      <c r="AD323" s="10" t="str">
        <f t="shared" si="91"/>
        <v>&lt;etma:1:1:49849:6&gt;  rdf:type skos:Concept ;     dcterms:source "https://www.mindat.org/min-49849.html" ;   skos:definition "A transitional type between acapulcoite and lodranite."@en ;    skos:inScheme &lt;https://mindat.org/etmat/cscheme&gt; ;    skos:prefLabel "Acapulcoite-lodranite meteorite"@en ; rdfs:label "Acapulcoite-lodranite meteorite"@en ;    skos:notation  "Acapulcoite/lodranite"@en ;   dcterms:source "https://www.lpi.usra.edu/meteor/metbullclass.php?sea=Acapulcoite/lodranite";  skos:broader &lt;etma:1:1:49848:7&gt;, &lt;etma:1:1:11263:9&gt; ;   dcterms:modified "2017-11-10T11:18";  .</v>
      </c>
      <c r="AE323" s="8" t="s">
        <v>2591</v>
      </c>
    </row>
    <row r="324" spans="1:31" x14ac:dyDescent="0.25">
      <c r="A324" s="8">
        <v>291</v>
      </c>
      <c r="B324" s="8" t="s">
        <v>1465</v>
      </c>
      <c r="C324" s="8">
        <v>49850</v>
      </c>
      <c r="D324" s="8" t="s">
        <v>1463</v>
      </c>
      <c r="E324" s="8" t="s">
        <v>1464</v>
      </c>
      <c r="F324" s="9">
        <v>7</v>
      </c>
      <c r="G324" s="9" t="s">
        <v>14</v>
      </c>
      <c r="H324" s="1" t="s">
        <v>2588</v>
      </c>
      <c r="I324" s="8" t="str">
        <f t="shared" si="85"/>
        <v>https://www.mindat.org/min-49850.html</v>
      </c>
      <c r="J324" s="8">
        <v>49847</v>
      </c>
      <c r="K324" s="8" t="s">
        <v>1448</v>
      </c>
      <c r="L324" s="9">
        <v>50270</v>
      </c>
      <c r="M324" s="8" t="s">
        <v>2257</v>
      </c>
      <c r="N324" s="9">
        <v>1</v>
      </c>
      <c r="O324" s="9" t="s">
        <v>2249</v>
      </c>
      <c r="R324" s="8" t="s">
        <v>1467</v>
      </c>
      <c r="S324" s="11">
        <v>44943.699699074074</v>
      </c>
      <c r="U324" s="8" t="str">
        <f t="shared" si="86"/>
        <v xml:space="preserve">&lt;etma:1:1:49850:2&gt;  rdf:type skos:Concept ;  </v>
      </c>
      <c r="V324" s="8" t="str">
        <f t="shared" si="87"/>
        <v xml:space="preserve"> dcterms:source "https://www.mindat.org/min-49850.html" ; </v>
      </c>
      <c r="W324" s="8" t="str">
        <f t="shared" si="88"/>
        <v xml:space="preserve">skos:definition "Primitive achondrite meteorites almost entirely made from olivine; the parent body might be the Nenetta Asteroid (289 Nenetta). Named after Brachina, a meteorite found in Australia in 1974."@en ; </v>
      </c>
      <c r="X324" s="8" t="str">
        <f t="shared" si="101"/>
        <v xml:space="preserve"> skos:inScheme &lt;https://mindat.org/etmat/cscheme&gt; ;  </v>
      </c>
      <c r="Y324" s="8" t="str">
        <f t="shared" si="89"/>
        <v xml:space="preserve">skos:prefLabel "Brachinite meteorite"@en ; rdfs:label "Brachinite meteorite"@en ; </v>
      </c>
      <c r="Z324" s="8" t="str">
        <f t="shared" si="90"/>
        <v xml:space="preserve"> skos:notation  "Brachinite"@en ; </v>
      </c>
      <c r="AA324" s="8" t="str">
        <f t="shared" si="103"/>
        <v>dcterms:source "https://www.lpi.usra.edu/meteor/metbullclass.php?sea=Brachinite";</v>
      </c>
      <c r="AB324" s="8" t="str">
        <f t="shared" si="104"/>
        <v xml:space="preserve">skos:broader &lt;etma:1:1:49847:8&gt;, &lt;etma:1:1:50270:8&gt; ; </v>
      </c>
      <c r="AC324" s="8" t="str">
        <f t="shared" si="105"/>
        <v>dcterms:modified "2023-01-17T16:47";  .</v>
      </c>
      <c r="AD324" s="10" t="str">
        <f t="shared" si="91"/>
        <v>&lt;etma:1:1:49850:2&gt;  rdf:type skos:Concept ;     dcterms:source "https://www.mindat.org/min-49850.html" ;   skos:definition "Primitive achondrite meteorites almost entirely made from olivine; the parent body might be the Nenetta Asteroid (289 Nenetta). Named after Brachina, a meteorite found in Australia in 1974."@en ;    skos:inScheme &lt;https://mindat.org/etmat/cscheme&gt; ;    skos:prefLabel "Brachinite meteorite"@en ; rdfs:label "Brachinite meteorite"@en ;    skos:notation  "Brachinite"@en ;   dcterms:source "https://www.lpi.usra.edu/meteor/metbullclass.php?sea=Brachinite";  skos:broader &lt;etma:1:1:49847:8&gt;, &lt;etma:1:1:50270:8&gt; ;   dcterms:modified "2023-01-17T16:47";  .</v>
      </c>
      <c r="AE324" s="8" t="s">
        <v>2591</v>
      </c>
    </row>
    <row r="325" spans="1:31" x14ac:dyDescent="0.25">
      <c r="A325" s="8">
        <v>292</v>
      </c>
      <c r="B325" s="8" t="s">
        <v>1470</v>
      </c>
      <c r="C325" s="8">
        <v>49851</v>
      </c>
      <c r="D325" s="8" t="s">
        <v>1468</v>
      </c>
      <c r="E325" s="8" t="s">
        <v>1469</v>
      </c>
      <c r="F325" s="9">
        <v>7</v>
      </c>
      <c r="G325" s="9" t="s">
        <v>14</v>
      </c>
      <c r="H325" s="1" t="s">
        <v>1471</v>
      </c>
      <c r="I325" s="8" t="str">
        <f t="shared" si="85"/>
        <v>https://www.mindat.org/min-49851.html</v>
      </c>
      <c r="J325" s="8">
        <v>49847</v>
      </c>
      <c r="K325" s="8" t="s">
        <v>1448</v>
      </c>
      <c r="L325" s="9">
        <v>49962</v>
      </c>
      <c r="M325" s="8" t="s">
        <v>2333</v>
      </c>
      <c r="N325" s="9">
        <v>1</v>
      </c>
      <c r="O325" s="9" t="s">
        <v>2249</v>
      </c>
      <c r="R325" s="8" t="s">
        <v>1472</v>
      </c>
      <c r="S325" s="11">
        <v>43049.468333333331</v>
      </c>
      <c r="U325" s="8" t="str">
        <f t="shared" si="86"/>
        <v xml:space="preserve">&lt;etma:1:1:49851:1&gt;  rdf:type skos:Concept ;  </v>
      </c>
      <c r="V325" s="8" t="str">
        <f t="shared" si="87"/>
        <v xml:space="preserve"> dcterms:source "https://www.mindat.org/min-49851.html" ; </v>
      </c>
      <c r="W325" s="8" t="str">
        <f t="shared" si="88"/>
        <v xml:space="preserve">skos:definition "Composed of meteoritic iron and silicate inclusions."@en ; </v>
      </c>
      <c r="X325" s="8" t="str">
        <f t="shared" si="101"/>
        <v xml:space="preserve"> skos:inScheme &lt;https://mindat.org/etmat/cscheme&gt; ;  </v>
      </c>
      <c r="Y325" s="8" t="str">
        <f t="shared" si="89"/>
        <v xml:space="preserve">skos:prefLabel "IAB complex iron meteorite"@en ; rdfs:label "IAB complex iron meteorite"@en ; </v>
      </c>
      <c r="Z325" s="8" t="str">
        <f t="shared" si="90"/>
        <v xml:space="preserve"> skos:notation  "Iron, IAB complex"@en ; </v>
      </c>
      <c r="AA325" s="8" t="str">
        <f t="shared" si="103"/>
        <v>dcterms:source "https://www.lpi.usra.edu/meteor/metbullclass.php?sea=Iron,%20IAB%20complex";</v>
      </c>
      <c r="AB325" s="8" t="str">
        <f t="shared" si="104"/>
        <v xml:space="preserve">skos:broader &lt;etma:1:1:49847:8&gt;, &lt;etma:1:1:49962:6&gt; ; </v>
      </c>
      <c r="AC325" s="8" t="str">
        <f t="shared" si="105"/>
        <v>dcterms:modified "2017-11-10T11:14";  .</v>
      </c>
      <c r="AD325" s="10" t="str">
        <f t="shared" si="91"/>
        <v>&lt;etma:1:1:49851:1&gt;  rdf:type skos:Concept ;     dcterms:source "https://www.mindat.org/min-49851.html" ;   skos:definition "Composed of meteoritic iron and silicate inclusions."@en ;    skos:inScheme &lt;https://mindat.org/etmat/cscheme&gt; ;    skos:prefLabel "IAB complex iron meteorite"@en ; rdfs:label "IAB complex iron meteorite"@en ;    skos:notation  "Iron, IAB complex"@en ;   dcterms:source "https://www.lpi.usra.edu/meteor/metbullclass.php?sea=Iron,%20IAB%20complex";  skos:broader &lt;etma:1:1:49847:8&gt;, &lt;etma:1:1:49962:6&gt; ;   dcterms:modified "2017-11-10T11:14";  .</v>
      </c>
      <c r="AE325" s="8" t="s">
        <v>2591</v>
      </c>
    </row>
    <row r="326" spans="1:31" x14ac:dyDescent="0.25">
      <c r="A326" s="8">
        <v>293</v>
      </c>
      <c r="B326" s="8" t="s">
        <v>1475</v>
      </c>
      <c r="C326" s="8">
        <v>49852</v>
      </c>
      <c r="D326" s="8" t="s">
        <v>1473</v>
      </c>
      <c r="E326" s="8" t="s">
        <v>1474</v>
      </c>
      <c r="F326" s="9">
        <v>7</v>
      </c>
      <c r="G326" s="9" t="s">
        <v>14</v>
      </c>
      <c r="H326" s="1" t="s">
        <v>1476</v>
      </c>
      <c r="I326" s="8" t="str">
        <f t="shared" si="85"/>
        <v>https://www.mindat.org/min-49852.html</v>
      </c>
      <c r="J326" s="8">
        <v>49851</v>
      </c>
      <c r="K326" s="8" t="s">
        <v>1468</v>
      </c>
      <c r="N326" s="9">
        <v>1</v>
      </c>
      <c r="O326" s="9" t="s">
        <v>2249</v>
      </c>
      <c r="R326" s="8" t="s">
        <v>1477</v>
      </c>
      <c r="S326" s="11">
        <v>43049.468518518515</v>
      </c>
      <c r="U326" s="8" t="str">
        <f t="shared" si="86"/>
        <v xml:space="preserve">&lt;etma:1:1:49852:0&gt;  rdf:type skos:Concept ;  </v>
      </c>
      <c r="V326" s="8" t="str">
        <f t="shared" si="87"/>
        <v xml:space="preserve"> dcterms:source "https://www.mindat.org/min-49852.html" ; </v>
      </c>
      <c r="W326" s="8" t="str">
        <f t="shared" si="88"/>
        <v xml:space="preserve">skos:definition "An IAB complex iron meteorite belonging to the main group (MG)."@en ; </v>
      </c>
      <c r="X326" s="8" t="str">
        <f t="shared" si="101"/>
        <v xml:space="preserve"> skos:inScheme &lt;https://mindat.org/etmat/cscheme&gt; ;  </v>
      </c>
      <c r="Y326" s="8" t="str">
        <f t="shared" si="89"/>
        <v xml:space="preserve">skos:prefLabel "IAB-MG iron meteorite"@en ; rdfs:label "IAB-MG iron meteorite"@en ; </v>
      </c>
      <c r="Z326" s="8" t="str">
        <f t="shared" si="90"/>
        <v xml:space="preserve"> skos:notation  "Iron, IAB-MG"@en ; </v>
      </c>
      <c r="AA326" s="8" t="str">
        <f t="shared" si="103"/>
        <v>dcterms:source "https://www.lpi.usra.edu/meteor/metbullclass.php?sea=Iron,%20IAB-MG";</v>
      </c>
      <c r="AB326" s="8" t="str">
        <f t="shared" si="104"/>
        <v xml:space="preserve">skos:broader &lt;etma:1:1:49851:1&gt; ; </v>
      </c>
      <c r="AC326" s="8" t="str">
        <f t="shared" si="105"/>
        <v>dcterms:modified "2017-11-10T11:14";  .</v>
      </c>
      <c r="AD326" s="10" t="str">
        <f t="shared" si="91"/>
        <v>&lt;etma:1:1:49852:0&gt;  rdf:type skos:Concept ;     dcterms:source "https://www.mindat.org/min-49852.html" ;   skos:definition "An IAB complex iron meteorite belonging to the main group (MG)."@en ;    skos:inScheme &lt;https://mindat.org/etmat/cscheme&gt; ;    skos:prefLabel "IAB-MG iron meteorite"@en ; rdfs:label "IAB-MG iron meteorite"@en ;    skos:notation  "Iron, IAB-MG"@en ;   dcterms:source "https://www.lpi.usra.edu/meteor/metbullclass.php?sea=Iron,%20IAB-MG";  skos:broader &lt;etma:1:1:49851:1&gt; ;   dcterms:modified "2017-11-10T11:14";  .</v>
      </c>
      <c r="AE326" s="8" t="s">
        <v>2591</v>
      </c>
    </row>
    <row r="327" spans="1:31" x14ac:dyDescent="0.25">
      <c r="A327" s="8">
        <v>294</v>
      </c>
      <c r="B327" s="8" t="s">
        <v>1480</v>
      </c>
      <c r="C327" s="8">
        <v>49853</v>
      </c>
      <c r="D327" s="8" t="s">
        <v>1478</v>
      </c>
      <c r="E327" s="8" t="s">
        <v>1479</v>
      </c>
      <c r="F327" s="9">
        <v>7</v>
      </c>
      <c r="G327" s="9" t="s">
        <v>14</v>
      </c>
      <c r="H327" s="1" t="s">
        <v>1481</v>
      </c>
      <c r="I327" s="8" t="str">
        <f t="shared" si="85"/>
        <v>https://www.mindat.org/min-49853.html</v>
      </c>
      <c r="J327" s="8">
        <v>49851</v>
      </c>
      <c r="K327" s="8" t="s">
        <v>1468</v>
      </c>
      <c r="N327" s="9">
        <v>1</v>
      </c>
      <c r="O327" s="9" t="s">
        <v>2249</v>
      </c>
      <c r="R327" s="8" t="s">
        <v>1482</v>
      </c>
      <c r="S327" s="11">
        <v>43049.470208333332</v>
      </c>
      <c r="U327" s="8" t="str">
        <f t="shared" si="86"/>
        <v xml:space="preserve">&lt;etma:1:1:49853:9&gt;  rdf:type skos:Concept ;  </v>
      </c>
      <c r="V327" s="8" t="str">
        <f t="shared" si="87"/>
        <v xml:space="preserve"> dcterms:source "https://www.mindat.org/min-49853.html" ; </v>
      </c>
      <c r="W327" s="8" t="str">
        <f t="shared" si="88"/>
        <v xml:space="preserve">skos:definition "An iron meteorite belonging to the low-Au, low-Ni subgroup (sLL) of the IAB complex."@en ; </v>
      </c>
      <c r="X327" s="8" t="str">
        <f t="shared" si="101"/>
        <v xml:space="preserve"> skos:inScheme &lt;https://mindat.org/etmat/cscheme&gt; ;  </v>
      </c>
      <c r="Y327" s="8" t="str">
        <f t="shared" si="89"/>
        <v xml:space="preserve">skos:prefLabel "IAB-sLL iron meteorite"@en ; rdfs:label "IAB-sLL iron meteorite"@en ; </v>
      </c>
      <c r="Z327" s="8" t="str">
        <f t="shared" si="90"/>
        <v xml:space="preserve"> skos:notation  "Iron, IAB-sLL"@en ; </v>
      </c>
      <c r="AA327" s="8" t="str">
        <f t="shared" si="103"/>
        <v>dcterms:source "https://www.lpi.usra.edu/meteor/metbullclass.php?sea=Iron,%20IAB-sLL";</v>
      </c>
      <c r="AB327" s="8" t="str">
        <f t="shared" si="104"/>
        <v xml:space="preserve">skos:broader &lt;etma:1:1:49851:1&gt; ; </v>
      </c>
      <c r="AC327" s="8" t="str">
        <f t="shared" si="105"/>
        <v>dcterms:modified "2017-11-10T11:17";  .</v>
      </c>
      <c r="AD327" s="10" t="str">
        <f t="shared" si="91"/>
        <v>&lt;etma:1:1:49853:9&gt;  rdf:type skos:Concept ;     dcterms:source "https://www.mindat.org/min-49853.html" ;   skos:definition "An iron meteorite belonging to the low-Au, low-Ni subgroup (sLL) of the IAB complex."@en ;    skos:inScheme &lt;https://mindat.org/etmat/cscheme&gt; ;    skos:prefLabel "IAB-sLL iron meteorite"@en ; rdfs:label "IAB-sLL iron meteorite"@en ;    skos:notation  "Iron, IAB-sLL"@en ;   dcterms:source "https://www.lpi.usra.edu/meteor/metbullclass.php?sea=Iron,%20IAB-sLL";  skos:broader &lt;etma:1:1:49851:1&gt; ;   dcterms:modified "2017-11-10T11:17";  .</v>
      </c>
      <c r="AE327" s="8" t="s">
        <v>2591</v>
      </c>
    </row>
    <row r="328" spans="1:31" x14ac:dyDescent="0.25">
      <c r="A328" s="8">
        <v>295</v>
      </c>
      <c r="B328" s="8" t="s">
        <v>1485</v>
      </c>
      <c r="C328" s="8">
        <v>49854</v>
      </c>
      <c r="D328" s="8" t="s">
        <v>1483</v>
      </c>
      <c r="E328" s="8" t="s">
        <v>1484</v>
      </c>
      <c r="F328" s="9">
        <v>7</v>
      </c>
      <c r="G328" s="9" t="s">
        <v>14</v>
      </c>
      <c r="H328" s="1" t="s">
        <v>1486</v>
      </c>
      <c r="I328" s="8" t="str">
        <f t="shared" si="85"/>
        <v>https://www.mindat.org/min-49854.html</v>
      </c>
      <c r="J328" s="8">
        <v>49851</v>
      </c>
      <c r="K328" s="8" t="s">
        <v>1468</v>
      </c>
      <c r="N328" s="9">
        <v>1</v>
      </c>
      <c r="O328" s="9" t="s">
        <v>2249</v>
      </c>
      <c r="R328" s="8" t="s">
        <v>1487</v>
      </c>
      <c r="S328" s="11">
        <v>43049.470439814817</v>
      </c>
      <c r="U328" s="8" t="str">
        <f t="shared" si="86"/>
        <v xml:space="preserve">&lt;etma:1:1:49854:8&gt;  rdf:type skos:Concept ;  </v>
      </c>
      <c r="V328" s="8" t="str">
        <f t="shared" si="87"/>
        <v xml:space="preserve"> dcterms:source "https://www.mindat.org/min-49854.html" ; </v>
      </c>
      <c r="W328" s="8" t="str">
        <f t="shared" si="88"/>
        <v xml:space="preserve">skos:definition "An iron meteorite belonging to the low-Au, medium-Ni subgroup (sLM) of the IAB complex."@en ; </v>
      </c>
      <c r="X328" s="8" t="str">
        <f t="shared" si="101"/>
        <v xml:space="preserve"> skos:inScheme &lt;https://mindat.org/etmat/cscheme&gt; ;  </v>
      </c>
      <c r="Y328" s="8" t="str">
        <f t="shared" si="89"/>
        <v xml:space="preserve">skos:prefLabel "IAB-sLM iron meteorite"@en ; rdfs:label "IAB-sLM iron meteorite"@en ; </v>
      </c>
      <c r="Z328" s="8" t="str">
        <f t="shared" si="90"/>
        <v xml:space="preserve"> skos:notation  "Iron, IAB-sLM"@en ; </v>
      </c>
      <c r="AA328" s="8" t="str">
        <f t="shared" si="103"/>
        <v>dcterms:source "https://www.lpi.usra.edu/meteor/metbullclass.php?sea=Iron,%20IAB-sLM";</v>
      </c>
      <c r="AB328" s="8" t="str">
        <f t="shared" si="104"/>
        <v xml:space="preserve">skos:broader &lt;etma:1:1:49851:1&gt; ; </v>
      </c>
      <c r="AC328" s="8" t="str">
        <f t="shared" si="105"/>
        <v>dcterms:modified "2017-11-10T11:17";  .</v>
      </c>
      <c r="AD328" s="10" t="str">
        <f t="shared" si="91"/>
        <v>&lt;etma:1:1:49854:8&gt;  rdf:type skos:Concept ;     dcterms:source "https://www.mindat.org/min-49854.html" ;   skos:definition "An iron meteorite belonging to the low-Au, medium-Ni subgroup (sLM) of the IAB complex."@en ;    skos:inScheme &lt;https://mindat.org/etmat/cscheme&gt; ;    skos:prefLabel "IAB-sLM iron meteorite"@en ; rdfs:label "IAB-sLM iron meteorite"@en ;    skos:notation  "Iron, IAB-sLM"@en ;   dcterms:source "https://www.lpi.usra.edu/meteor/metbullclass.php?sea=Iron,%20IAB-sLM";  skos:broader &lt;etma:1:1:49851:1&gt; ;   dcterms:modified "2017-11-10T11:17";  .</v>
      </c>
      <c r="AE328" s="8" t="s">
        <v>2591</v>
      </c>
    </row>
    <row r="329" spans="1:31" x14ac:dyDescent="0.25">
      <c r="A329" s="8">
        <v>296</v>
      </c>
      <c r="B329" s="8" t="s">
        <v>1490</v>
      </c>
      <c r="C329" s="8">
        <v>49856</v>
      </c>
      <c r="D329" s="8" t="s">
        <v>1488</v>
      </c>
      <c r="E329" s="8" t="s">
        <v>1489</v>
      </c>
      <c r="F329" s="9">
        <v>7</v>
      </c>
      <c r="G329" s="9" t="s">
        <v>14</v>
      </c>
      <c r="H329" s="1" t="s">
        <v>1491</v>
      </c>
      <c r="I329" s="8" t="str">
        <f t="shared" si="85"/>
        <v>https://www.mindat.org/min-49856.html</v>
      </c>
      <c r="J329" s="8">
        <v>49854</v>
      </c>
      <c r="K329" s="8" t="s">
        <v>1483</v>
      </c>
      <c r="N329" s="9">
        <v>0</v>
      </c>
      <c r="O329" s="9" t="s">
        <v>2249</v>
      </c>
      <c r="R329" s="8" t="s">
        <v>1492</v>
      </c>
      <c r="S329" s="11">
        <v>43051.011805555558</v>
      </c>
      <c r="U329" s="8" t="str">
        <f t="shared" si="86"/>
        <v xml:space="preserve">&lt;etma:1:1:49856:6&gt;  rdf:type skos:Concept ;  </v>
      </c>
      <c r="V329" s="8" t="str">
        <f t="shared" si="87"/>
        <v xml:space="preserve"> dcterms:source "https://www.mindat.org/min-49856.html" ; </v>
      </c>
      <c r="W329" s="8" t="str">
        <f t="shared" si="88"/>
        <v xml:space="preserve">skos:definition "An IAB-sLM iron meteorite that has anomalous properties."@en ; </v>
      </c>
      <c r="X329" s="8" t="str">
        <f t="shared" si="101"/>
        <v xml:space="preserve"> skos:inScheme &lt;https://mindat.org/etmat/cscheme&gt; ;  </v>
      </c>
      <c r="Y329" s="8" t="str">
        <f t="shared" si="89"/>
        <v xml:space="preserve">skos:prefLabel "Anomalous IAB-sLM iron meteorite"@en ; rdfs:label "Anomalous IAB-sLM iron meteorite"@en ; </v>
      </c>
      <c r="Z329" s="8" t="str">
        <f t="shared" si="90"/>
        <v xml:space="preserve"> skos:notation  "Iron, IAB-sLM-an"@en ; </v>
      </c>
      <c r="AA329" s="8" t="str">
        <f t="shared" si="103"/>
        <v>dcterms:source "https://www.lpi.usra.edu/meteor/metbullclass.php?sea=Iron,%20IAB-sLM-an";</v>
      </c>
      <c r="AB329" s="8" t="str">
        <f t="shared" si="104"/>
        <v xml:space="preserve">skos:broader &lt;etma:1:1:49854:8&gt; ; </v>
      </c>
      <c r="AC329" s="8" t="str">
        <f t="shared" si="105"/>
        <v>dcterms:modified "2017-11-12T00:17";  .</v>
      </c>
      <c r="AD329" s="10" t="str">
        <f t="shared" si="91"/>
        <v>&lt;etma:1:1:49856:6&gt;  rdf:type skos:Concept ;     dcterms:source "https://www.mindat.org/min-49856.html" ;   skos:definition "An IAB-sLM iron meteorite that has anomalous properties."@en ;    skos:inScheme &lt;https://mindat.org/etmat/cscheme&gt; ;    skos:prefLabel "Anomalous IAB-sLM iron meteorite"@en ; rdfs:label "Anomalous IAB-sLM iron meteorite"@en ;    skos:notation  "Iron, IAB-sLM-an"@en ;   dcterms:source "https://www.lpi.usra.edu/meteor/metbullclass.php?sea=Iron,%20IAB-sLM-an";  skos:broader &lt;etma:1:1:49854:8&gt; ;   dcterms:modified "2017-11-12T00:17";  .</v>
      </c>
      <c r="AE329" s="8" t="s">
        <v>2591</v>
      </c>
    </row>
    <row r="330" spans="1:31" x14ac:dyDescent="0.25">
      <c r="A330" s="8">
        <v>297</v>
      </c>
      <c r="B330" s="8" t="s">
        <v>1495</v>
      </c>
      <c r="C330" s="8">
        <v>49857</v>
      </c>
      <c r="D330" s="8" t="s">
        <v>1493</v>
      </c>
      <c r="E330" s="8" t="s">
        <v>1494</v>
      </c>
      <c r="F330" s="9">
        <v>7</v>
      </c>
      <c r="G330" s="9" t="s">
        <v>14</v>
      </c>
      <c r="H330" s="1" t="s">
        <v>1496</v>
      </c>
      <c r="I330" s="8" t="str">
        <f t="shared" si="85"/>
        <v>https://www.mindat.org/min-49857.html</v>
      </c>
      <c r="J330" s="8">
        <v>49851</v>
      </c>
      <c r="K330" s="8" t="s">
        <v>1468</v>
      </c>
      <c r="N330" s="9">
        <v>1</v>
      </c>
      <c r="O330" s="9" t="s">
        <v>2249</v>
      </c>
      <c r="R330" s="8" t="s">
        <v>1497</v>
      </c>
      <c r="S330" s="11">
        <v>43049.469988425924</v>
      </c>
      <c r="U330" s="8" t="str">
        <f t="shared" si="86"/>
        <v xml:space="preserve">&lt;etma:1:1:49857:5&gt;  rdf:type skos:Concept ;  </v>
      </c>
      <c r="V330" s="8" t="str">
        <f t="shared" si="87"/>
        <v xml:space="preserve"> dcterms:source "https://www.mindat.org/min-49857.html" ; </v>
      </c>
      <c r="W330" s="8" t="str">
        <f t="shared" si="88"/>
        <v xml:space="preserve">skos:definition "An iron meteorite belonging to the low-Au, high-Ni subgroup (sLH) of the IAB complex."@en ; </v>
      </c>
      <c r="X330" s="8" t="str">
        <f t="shared" si="101"/>
        <v xml:space="preserve"> skos:inScheme &lt;https://mindat.org/etmat/cscheme&gt; ;  </v>
      </c>
      <c r="Y330" s="8" t="str">
        <f t="shared" si="89"/>
        <v xml:space="preserve">skos:prefLabel "IAB-sLH iron meteorite"@en ; rdfs:label "IAB-sLH iron meteorite"@en ; </v>
      </c>
      <c r="Z330" s="8" t="str">
        <f t="shared" si="90"/>
        <v xml:space="preserve"> skos:notation  "Iron, IAB-sLH"@en ; </v>
      </c>
      <c r="AA330" s="8" t="str">
        <f t="shared" si="103"/>
        <v>dcterms:source "https://www.lpi.usra.edu/meteor/metbullclass.php?sea=Iron,%20IAB-sLH";</v>
      </c>
      <c r="AB330" s="8" t="str">
        <f t="shared" si="104"/>
        <v xml:space="preserve">skos:broader &lt;etma:1:1:49851:1&gt; ; </v>
      </c>
      <c r="AC330" s="8" t="str">
        <f t="shared" si="105"/>
        <v>dcterms:modified "2017-11-10T11:16";  .</v>
      </c>
      <c r="AD330" s="10" t="str">
        <f t="shared" si="91"/>
        <v>&lt;etma:1:1:49857:5&gt;  rdf:type skos:Concept ;     dcterms:source "https://www.mindat.org/min-49857.html" ;   skos:definition "An iron meteorite belonging to the low-Au, high-Ni subgroup (sLH) of the IAB complex."@en ;    skos:inScheme &lt;https://mindat.org/etmat/cscheme&gt; ;    skos:prefLabel "IAB-sLH iron meteorite"@en ; rdfs:label "IAB-sLH iron meteorite"@en ;    skos:notation  "Iron, IAB-sLH"@en ;   dcterms:source "https://www.lpi.usra.edu/meteor/metbullclass.php?sea=Iron,%20IAB-sLH";  skos:broader &lt;etma:1:1:49851:1&gt; ;   dcterms:modified "2017-11-10T11:16";  .</v>
      </c>
      <c r="AE330" s="8" t="s">
        <v>2591</v>
      </c>
    </row>
    <row r="331" spans="1:31" x14ac:dyDescent="0.25">
      <c r="A331" s="8">
        <v>298</v>
      </c>
      <c r="B331" s="8" t="s">
        <v>1500</v>
      </c>
      <c r="C331" s="8">
        <v>49859</v>
      </c>
      <c r="D331" s="8" t="s">
        <v>1498</v>
      </c>
      <c r="E331" s="8" t="s">
        <v>1499</v>
      </c>
      <c r="F331" s="9">
        <v>7</v>
      </c>
      <c r="G331" s="9" t="s">
        <v>14</v>
      </c>
      <c r="H331" s="1" t="s">
        <v>1501</v>
      </c>
      <c r="I331" s="8" t="str">
        <f t="shared" si="85"/>
        <v>https://www.mindat.org/min-49859.html</v>
      </c>
      <c r="J331" s="8">
        <v>49851</v>
      </c>
      <c r="K331" s="8" t="s">
        <v>1468</v>
      </c>
      <c r="N331" s="9">
        <v>1</v>
      </c>
      <c r="O331" s="9" t="s">
        <v>2249</v>
      </c>
      <c r="R331" s="8" t="s">
        <v>1502</v>
      </c>
      <c r="S331" s="11">
        <v>43049.46912037037</v>
      </c>
      <c r="U331" s="8" t="str">
        <f t="shared" si="86"/>
        <v xml:space="preserve">&lt;etma:1:1:49859:3&gt;  rdf:type skos:Concept ;  </v>
      </c>
      <c r="V331" s="8" t="str">
        <f t="shared" si="87"/>
        <v xml:space="preserve"> dcterms:source "https://www.mindat.org/min-49859.html" ; </v>
      </c>
      <c r="W331" s="8" t="str">
        <f t="shared" si="88"/>
        <v xml:space="preserve">skos:definition "An iron meteorite belonging to the high-Au, low-Ni subgroup (sHL) of the IAB complex."@en ; </v>
      </c>
      <c r="X331" s="8" t="str">
        <f t="shared" si="101"/>
        <v xml:space="preserve"> skos:inScheme &lt;https://mindat.org/etmat/cscheme&gt; ;  </v>
      </c>
      <c r="Y331" s="8" t="str">
        <f t="shared" si="89"/>
        <v xml:space="preserve">skos:prefLabel "IAB-sHL iron meteorite"@en ; rdfs:label "IAB-sHL iron meteorite"@en ; </v>
      </c>
      <c r="Z331" s="8" t="str">
        <f t="shared" si="90"/>
        <v xml:space="preserve"> skos:notation  "Iron, IAB-sHL"@en ; </v>
      </c>
      <c r="AA331" s="8" t="str">
        <f t="shared" si="103"/>
        <v>dcterms:source "https://www.lpi.usra.edu/meteor/metbullclass.php?sea=Iron,%20IAB-sHL";</v>
      </c>
      <c r="AB331" s="8" t="str">
        <f t="shared" si="104"/>
        <v xml:space="preserve">skos:broader &lt;etma:1:1:49851:1&gt; ; </v>
      </c>
      <c r="AC331" s="8" t="str">
        <f t="shared" si="105"/>
        <v>dcterms:modified "2017-11-10T11:15";  .</v>
      </c>
      <c r="AD331" s="10" t="str">
        <f t="shared" si="91"/>
        <v>&lt;etma:1:1:49859:3&gt;  rdf:type skos:Concept ;     dcterms:source "https://www.mindat.org/min-49859.html" ;   skos:definition "An iron meteorite belonging to the high-Au, low-Ni subgroup (sHL) of the IAB complex."@en ;    skos:inScheme &lt;https://mindat.org/etmat/cscheme&gt; ;    skos:prefLabel "IAB-sHL iron meteorite"@en ; rdfs:label "IAB-sHL iron meteorite"@en ;    skos:notation  "Iron, IAB-sHL"@en ;   dcterms:source "https://www.lpi.usra.edu/meteor/metbullclass.php?sea=Iron,%20IAB-sHL";  skos:broader &lt;etma:1:1:49851:1&gt; ;   dcterms:modified "2017-11-10T11:15";  .</v>
      </c>
      <c r="AE331" s="8" t="s">
        <v>2591</v>
      </c>
    </row>
    <row r="332" spans="1:31" x14ac:dyDescent="0.25">
      <c r="A332" s="8">
        <v>299</v>
      </c>
      <c r="B332" s="8" t="s">
        <v>1505</v>
      </c>
      <c r="C332" s="8">
        <v>49860</v>
      </c>
      <c r="D332" s="8" t="s">
        <v>1503</v>
      </c>
      <c r="E332" s="8" t="s">
        <v>1504</v>
      </c>
      <c r="F332" s="9">
        <v>7</v>
      </c>
      <c r="G332" s="9" t="s">
        <v>14</v>
      </c>
      <c r="H332" s="1" t="s">
        <v>1506</v>
      </c>
      <c r="I332" s="8" t="str">
        <f t="shared" si="85"/>
        <v>https://www.mindat.org/min-49860.html</v>
      </c>
      <c r="J332" s="8">
        <v>49859</v>
      </c>
      <c r="K332" s="8" t="s">
        <v>1498</v>
      </c>
      <c r="N332" s="9">
        <v>0</v>
      </c>
      <c r="O332" s="9">
        <v>52380</v>
      </c>
      <c r="P332" s="8" t="s">
        <v>2517</v>
      </c>
      <c r="Q332" s="8" t="s">
        <v>2518</v>
      </c>
      <c r="R332" s="8" t="s">
        <v>1507</v>
      </c>
      <c r="S332" s="11">
        <v>43051.011504629627</v>
      </c>
      <c r="U332" s="8" t="str">
        <f t="shared" si="86"/>
        <v xml:space="preserve">&lt;etma:1:1:49860:9&gt;  rdf:type skos:Concept ;  </v>
      </c>
      <c r="V332" s="8" t="str">
        <f t="shared" si="87"/>
        <v xml:space="preserve"> dcterms:source "https://www.mindat.org/min-49860.html" ; </v>
      </c>
      <c r="W332" s="8" t="str">
        <f t="shared" si="88"/>
        <v xml:space="preserve">skos:definition "An IAB-sHL iron meteorite that has anomalous properties."@en ; </v>
      </c>
      <c r="X332" s="8" t="str">
        <f t="shared" si="93"/>
        <v xml:space="preserve"> skos:inScheme &lt;http://example.org/mindat/etmat/cscheme&gt; ;  </v>
      </c>
      <c r="Y332" s="8" t="str">
        <f t="shared" si="89"/>
        <v xml:space="preserve">skos:prefLabel "Anomalous IAB-sHL iron meteorite"@en ; rdfs:label "Anomalous IAB-sHL iron meteorite"@en ; </v>
      </c>
      <c r="Z332" s="8" t="str">
        <f t="shared" si="90"/>
        <v xml:space="preserve">skos:altLabel "IAB-sHL-an iron meteorite"@en ; skos:exactMatch  &lt;etma:1:1:52380:8&gt; ;  skos:notation  "Iron, IAB-sHL-an"@en ; </v>
      </c>
      <c r="AA332" s="8" t="str">
        <f t="shared" si="103"/>
        <v>dcterms:source "https://www.lpi.usra.edu/meteor/metbullclass.php?sea=Iron,%20IAB-sHL-an";</v>
      </c>
      <c r="AB332" s="8" t="str">
        <f t="shared" si="104"/>
        <v xml:space="preserve">skos:broader &lt;etma:1:1:49859:3&gt; ; </v>
      </c>
      <c r="AC332" s="8" t="str">
        <f t="shared" si="105"/>
        <v>dcterms:modified "2017-11-12T00:16";  .</v>
      </c>
      <c r="AD332" s="10" t="str">
        <f t="shared" si="91"/>
        <v>&lt;etma:1:1:49860:9&gt;  rdf:type skos:Concept ;     dcterms:source "https://www.mindat.org/min-49860.html" ;   skos:definition "An IAB-sHL iron meteorite that has anomalous properties."@en ;    skos:inScheme &lt;http://example.org/mindat/etmat/cscheme&gt; ;    skos:prefLabel "Anomalous IAB-sHL iron meteorite"@en ; rdfs:label "Anomalous IAB-sHL iron meteorite"@en ;   skos:altLabel "IAB-sHL-an iron meteorite"@en ; skos:exactMatch  &lt;etma:1:1:52380:8&gt; ;  skos:notation  "Iron, IAB-sHL-an"@en ;   dcterms:source "https://www.lpi.usra.edu/meteor/metbullclass.php?sea=Iron,%20IAB-sHL-an";  skos:broader &lt;etma:1:1:49859:3&gt; ;   dcterms:modified "2017-11-12T00:16";  .</v>
      </c>
      <c r="AE332" s="8" t="s">
        <v>2591</v>
      </c>
    </row>
    <row r="333" spans="1:31" x14ac:dyDescent="0.25">
      <c r="A333" s="8">
        <v>300</v>
      </c>
      <c r="B333" s="8" t="s">
        <v>1510</v>
      </c>
      <c r="C333" s="8">
        <v>49861</v>
      </c>
      <c r="D333" s="8" t="s">
        <v>1508</v>
      </c>
      <c r="E333" s="8" t="s">
        <v>1509</v>
      </c>
      <c r="F333" s="9">
        <v>7</v>
      </c>
      <c r="G333" s="9" t="s">
        <v>14</v>
      </c>
      <c r="H333" s="1" t="s">
        <v>1511</v>
      </c>
      <c r="I333" s="8" t="str">
        <f t="shared" si="85"/>
        <v>https://www.mindat.org/min-49861.html</v>
      </c>
      <c r="J333" s="8">
        <v>49851</v>
      </c>
      <c r="K333" s="8" t="s">
        <v>1468</v>
      </c>
      <c r="N333" s="9">
        <v>1</v>
      </c>
      <c r="O333" s="9" t="s">
        <v>2249</v>
      </c>
      <c r="R333" s="8" t="s">
        <v>1512</v>
      </c>
      <c r="S333" s="11">
        <v>43049.468784722223</v>
      </c>
      <c r="U333" s="8" t="str">
        <f t="shared" si="86"/>
        <v xml:space="preserve">&lt;etma:1:1:49861:8&gt;  rdf:type skos:Concept ;  </v>
      </c>
      <c r="V333" s="8" t="str">
        <f t="shared" si="87"/>
        <v xml:space="preserve"> dcterms:source "https://www.mindat.org/min-49861.html" ; </v>
      </c>
      <c r="W333" s="8" t="str">
        <f t="shared" si="88"/>
        <v xml:space="preserve">skos:definition "An iron meteorite belonging to the high-Au, high-Ni subgroup (sHH) of the IAB complex."@en ; </v>
      </c>
      <c r="X333" s="8" t="str">
        <f>" skos:inScheme &lt;https://mindat.org/etmat/cscheme&gt; ;  "</f>
        <v xml:space="preserve"> skos:inScheme &lt;https://mindat.org/etmat/cscheme&gt; ;  </v>
      </c>
      <c r="Y333" s="8" t="str">
        <f t="shared" si="89"/>
        <v xml:space="preserve">skos:prefLabel "IAB-sHH iron meteorite"@en ; rdfs:label "IAB-sHH iron meteorite"@en ; </v>
      </c>
      <c r="Z333" s="8" t="str">
        <f t="shared" si="90"/>
        <v xml:space="preserve"> skos:notation  "Iron, IAB-sHH"@en ; </v>
      </c>
      <c r="AA333" s="8" t="str">
        <f t="shared" si="103"/>
        <v>dcterms:source "https://www.lpi.usra.edu/meteor/metbullclass.php?sea=Iron,%20IAB-sHH";</v>
      </c>
      <c r="AB333" s="8" t="str">
        <f t="shared" si="104"/>
        <v xml:space="preserve">skos:broader &lt;etma:1:1:49851:1&gt; ; </v>
      </c>
      <c r="AC333" s="8" t="str">
        <f t="shared" si="105"/>
        <v>dcterms:modified "2017-11-10T11:15";  .</v>
      </c>
      <c r="AD333" s="10" t="str">
        <f t="shared" si="91"/>
        <v>&lt;etma:1:1:49861:8&gt;  rdf:type skos:Concept ;     dcterms:source "https://www.mindat.org/min-49861.html" ;   skos:definition "An iron meteorite belonging to the high-Au, high-Ni subgroup (sHH) of the IAB complex."@en ;    skos:inScheme &lt;https://mindat.org/etmat/cscheme&gt; ;    skos:prefLabel "IAB-sHH iron meteorite"@en ; rdfs:label "IAB-sHH iron meteorite"@en ;    skos:notation  "Iron, IAB-sHH"@en ;   dcterms:source "https://www.lpi.usra.edu/meteor/metbullclass.php?sea=Iron,%20IAB-sHH";  skos:broader &lt;etma:1:1:49851:1&gt; ;   dcterms:modified "2017-11-10T11:15";  .</v>
      </c>
      <c r="AE333" s="8" t="s">
        <v>2591</v>
      </c>
    </row>
    <row r="334" spans="1:31" x14ac:dyDescent="0.25">
      <c r="A334" s="8">
        <v>301</v>
      </c>
      <c r="B334" s="8" t="s">
        <v>1515</v>
      </c>
      <c r="C334" s="8">
        <v>49862</v>
      </c>
      <c r="D334" s="8" t="s">
        <v>1513</v>
      </c>
      <c r="E334" s="8" t="s">
        <v>1514</v>
      </c>
      <c r="F334" s="9">
        <v>7</v>
      </c>
      <c r="G334" s="9" t="s">
        <v>14</v>
      </c>
      <c r="H334" s="1" t="s">
        <v>1516</v>
      </c>
      <c r="I334" s="8" t="str">
        <f t="shared" si="85"/>
        <v>https://www.mindat.org/min-49862.html</v>
      </c>
      <c r="J334" s="8">
        <v>49851</v>
      </c>
      <c r="K334" s="8" t="s">
        <v>1468</v>
      </c>
      <c r="N334" s="9">
        <v>0</v>
      </c>
      <c r="O334" s="9">
        <v>52392</v>
      </c>
      <c r="P334" s="8" t="s">
        <v>2519</v>
      </c>
      <c r="Q334" s="8" t="s">
        <v>2520</v>
      </c>
      <c r="R334" s="8" t="s">
        <v>1517</v>
      </c>
      <c r="S334" s="11">
        <v>43051.337789351855</v>
      </c>
      <c r="U334" s="8" t="str">
        <f t="shared" si="86"/>
        <v xml:space="preserve">&lt;etma:1:1:49862:7&gt;  rdf:type skos:Concept ;  </v>
      </c>
      <c r="V334" s="8" t="str">
        <f t="shared" si="87"/>
        <v xml:space="preserve"> dcterms:source "https://www.mindat.org/min-49862.html" ; </v>
      </c>
      <c r="W334" s="8" t="str">
        <f t="shared" si="88"/>
        <v xml:space="preserve">skos:definition "An iron meteorite belonging to the IAB complex that does not fit into the known subgroups."@en ; </v>
      </c>
      <c r="X334" s="8" t="str">
        <f t="shared" si="93"/>
        <v xml:space="preserve"> skos:inScheme &lt;http://example.org/mindat/etmat/cscheme&gt; ;  </v>
      </c>
      <c r="Y334" s="8" t="str">
        <f t="shared" si="89"/>
        <v xml:space="preserve">skos:prefLabel "Ungrouped IAB iron meteorite"@en ; rdfs:label "Ungrouped IAB iron meteorite"@en ; </v>
      </c>
      <c r="Z334" s="8" t="str">
        <f t="shared" si="90"/>
        <v xml:space="preserve">skos:altLabel "IAB-ung iron meteorite"@en ; skos:exactMatch  &lt;etma:1:1:52392:3&gt; ;  skos:notation  "Iron, IAB-ung"@en ; </v>
      </c>
      <c r="AA334" s="8" t="str">
        <f t="shared" si="103"/>
        <v>dcterms:source "https://www.lpi.usra.edu/meteor/metbullclass.php?sea=Iron,%20IAB-ung";</v>
      </c>
      <c r="AB334" s="8" t="str">
        <f t="shared" si="104"/>
        <v xml:space="preserve">skos:broader &lt;etma:1:1:49851:1&gt; ; </v>
      </c>
      <c r="AC334" s="8" t="str">
        <f t="shared" si="105"/>
        <v>dcterms:modified "2017-11-12T08:06";  .</v>
      </c>
      <c r="AD334" s="10" t="str">
        <f t="shared" si="91"/>
        <v>&lt;etma:1:1:49862:7&gt;  rdf:type skos:Concept ;     dcterms:source "https://www.mindat.org/min-49862.html" ;   skos:definition "An iron meteorite belonging to the IAB complex that does not fit into the known subgroups."@en ;    skos:inScheme &lt;http://example.org/mindat/etmat/cscheme&gt; ;    skos:prefLabel "Ungrouped IAB iron meteorite"@en ; rdfs:label "Ungrouped IAB iron meteorite"@en ;   skos:altLabel "IAB-ung iron meteorite"@en ; skos:exactMatch  &lt;etma:1:1:52392:3&gt; ;  skos:notation  "Iron, IAB-ung"@en ;   dcterms:source "https://www.lpi.usra.edu/meteor/metbullclass.php?sea=Iron,%20IAB-ung";  skos:broader &lt;etma:1:1:49851:1&gt; ;   dcterms:modified "2017-11-12T08:06";  .</v>
      </c>
      <c r="AE334" s="8" t="s">
        <v>2591</v>
      </c>
    </row>
    <row r="335" spans="1:31" x14ac:dyDescent="0.25">
      <c r="A335" s="8">
        <v>302</v>
      </c>
      <c r="B335" s="8" t="s">
        <v>1520</v>
      </c>
      <c r="C335" s="8">
        <v>49863</v>
      </c>
      <c r="D335" s="8" t="s">
        <v>1518</v>
      </c>
      <c r="E335" s="8" t="s">
        <v>1519</v>
      </c>
      <c r="F335" s="9">
        <v>7</v>
      </c>
      <c r="G335" s="9" t="s">
        <v>14</v>
      </c>
      <c r="H335" s="1" t="s">
        <v>1521</v>
      </c>
      <c r="I335" s="8" t="str">
        <f t="shared" si="85"/>
        <v>https://www.mindat.org/min-49863.html</v>
      </c>
      <c r="J335" s="8">
        <v>49851</v>
      </c>
      <c r="K335" s="8" t="s">
        <v>1468</v>
      </c>
      <c r="N335" s="9">
        <v>0</v>
      </c>
      <c r="O335" s="9" t="s">
        <v>2249</v>
      </c>
      <c r="R335" s="8" t="s">
        <v>1522</v>
      </c>
      <c r="S335" s="11">
        <v>43051.011192129627</v>
      </c>
      <c r="U335" s="8" t="str">
        <f t="shared" si="86"/>
        <v xml:space="preserve">&lt;etma:1:1:49863:6&gt;  rdf:type skos:Concept ;  </v>
      </c>
      <c r="V335" s="8" t="str">
        <f t="shared" si="87"/>
        <v xml:space="preserve"> dcterms:source "https://www.mindat.org/min-49863.html" ; </v>
      </c>
      <c r="W335" s="8" t="str">
        <f t="shared" si="88"/>
        <v xml:space="preserve">skos:definition "An IAB complex iron meteorite that has anomalous properties."@en ; </v>
      </c>
      <c r="X335" s="8" t="str">
        <f t="shared" ref="X335:X340" si="106">" skos:inScheme &lt;https://mindat.org/etmat/cscheme&gt; ;  "</f>
        <v xml:space="preserve"> skos:inScheme &lt;https://mindat.org/etmat/cscheme&gt; ;  </v>
      </c>
      <c r="Y335" s="8" t="str">
        <f t="shared" si="89"/>
        <v xml:space="preserve">skos:prefLabel "Anomalous IAB iron meteorite"@en ; rdfs:label "Anomalous IAB iron meteorite"@en ; </v>
      </c>
      <c r="Z335" s="8" t="str">
        <f t="shared" si="90"/>
        <v xml:space="preserve"> skos:notation  "Iron, IAB-an"@en ; </v>
      </c>
      <c r="AA335" s="8" t="str">
        <f t="shared" si="103"/>
        <v>dcterms:source "https://www.lpi.usra.edu/meteor/metbullclass.php?sea=Iron,%20IAB-an";</v>
      </c>
      <c r="AB335" s="8" t="str">
        <f t="shared" si="104"/>
        <v xml:space="preserve">skos:broader &lt;etma:1:1:49851:1&gt; ; </v>
      </c>
      <c r="AC335" s="8" t="str">
        <f t="shared" si="105"/>
        <v>dcterms:modified "2017-11-12T00:16";  .</v>
      </c>
      <c r="AD335" s="10" t="str">
        <f t="shared" si="91"/>
        <v>&lt;etma:1:1:49863:6&gt;  rdf:type skos:Concept ;     dcterms:source "https://www.mindat.org/min-49863.html" ;   skos:definition "An IAB complex iron meteorite that has anomalous properties."@en ;    skos:inScheme &lt;https://mindat.org/etmat/cscheme&gt; ;    skos:prefLabel "Anomalous IAB iron meteorite"@en ; rdfs:label "Anomalous IAB iron meteorite"@en ;    skos:notation  "Iron, IAB-an"@en ;   dcterms:source "https://www.lpi.usra.edu/meteor/metbullclass.php?sea=Iron,%20IAB-an";  skos:broader &lt;etma:1:1:49851:1&gt; ;   dcterms:modified "2017-11-12T00:16";  .</v>
      </c>
      <c r="AE335" s="8" t="s">
        <v>2591</v>
      </c>
    </row>
    <row r="336" spans="1:31" hidden="1" x14ac:dyDescent="0.25">
      <c r="A336" s="8">
        <v>40</v>
      </c>
      <c r="B336" s="8" t="s">
        <v>2329</v>
      </c>
      <c r="C336" s="8">
        <v>49864</v>
      </c>
      <c r="D336" s="8" t="s">
        <v>2330</v>
      </c>
      <c r="E336" s="8" t="s">
        <v>2331</v>
      </c>
      <c r="F336" s="9">
        <v>7</v>
      </c>
      <c r="G336" s="9" t="s">
        <v>14</v>
      </c>
      <c r="H336" s="1" t="s">
        <v>2332</v>
      </c>
      <c r="I336" s="8" t="str">
        <f t="shared" si="85"/>
        <v>https://www.mindat.org/min-49864.html</v>
      </c>
      <c r="J336" s="8">
        <v>49847</v>
      </c>
      <c r="K336" s="8" t="s">
        <v>1448</v>
      </c>
      <c r="L336" s="9">
        <v>49962</v>
      </c>
      <c r="M336" s="8" t="s">
        <v>2333</v>
      </c>
      <c r="N336" s="9">
        <v>1</v>
      </c>
      <c r="S336" s="11">
        <v>43049.479155092595</v>
      </c>
      <c r="U336" s="8" t="str">
        <f t="shared" si="86"/>
        <v xml:space="preserve">&lt;etma:1:1:49864:5&gt;  rdf:type skos:Concept ;  </v>
      </c>
      <c r="V336" s="8" t="str">
        <f t="shared" si="87"/>
        <v xml:space="preserve"> dcterms:source "https://www.mindat.org/min-49864.html" ; </v>
      </c>
      <c r="W336" s="8" t="str">
        <f t="shared" si="88"/>
        <v xml:space="preserve">skos:definition "Composed dominantly of meteoritic iron and silicate inclusions."@en ; </v>
      </c>
      <c r="X336" s="8" t="str">
        <f t="shared" si="106"/>
        <v xml:space="preserve"> skos:inScheme &lt;https://mindat.org/etmat/cscheme&gt; ;  </v>
      </c>
      <c r="Y336" s="8" t="str">
        <f t="shared" si="89"/>
        <v xml:space="preserve">skos:prefLabel "IIICD iron meteorite"@en ; rdfs:label "IIICD iron meteorite"@en ; </v>
      </c>
      <c r="Z336" s="8" t="str">
        <f t="shared" si="90"/>
        <v/>
      </c>
      <c r="AA336" s="8" t="str">
        <f t="shared" si="103"/>
        <v/>
      </c>
      <c r="AB336" s="8" t="str">
        <f t="shared" si="104"/>
        <v xml:space="preserve">skos:broader &lt;etma:1:1:49847:8&gt;, &lt;etma:1:1:49962:6&gt; ; </v>
      </c>
      <c r="AC336" s="8" t="str">
        <f t="shared" si="105"/>
        <v>dcterms:modified "2017-11-10T11:29";  .</v>
      </c>
      <c r="AD336" s="10" t="str">
        <f t="shared" si="91"/>
        <v>&lt;etma:1:1:49864:5&gt;  rdf:type skos:Concept ;     dcterms:source "https://www.mindat.org/min-49864.html" ;   skos:definition "Composed dominantly of meteoritic iron and silicate inclusions."@en ;    skos:inScheme &lt;https://mindat.org/etmat/cscheme&gt; ;    skos:prefLabel "IIICD iron meteorite"@en ; rdfs:label "IIICD iron meteorite"@en ;   skos:broader &lt;etma:1:1:49847:8&gt;, &lt;etma:1:1:49962:6&gt; ;   dcterms:modified "2017-11-10T11:29";  .</v>
      </c>
      <c r="AE336" s="8" t="s">
        <v>2591</v>
      </c>
    </row>
    <row r="337" spans="1:36" x14ac:dyDescent="0.25">
      <c r="A337" s="8">
        <v>303</v>
      </c>
      <c r="B337" s="8" t="s">
        <v>1525</v>
      </c>
      <c r="C337" s="8">
        <v>49865</v>
      </c>
      <c r="D337" s="8" t="s">
        <v>1523</v>
      </c>
      <c r="E337" s="8" t="s">
        <v>1524</v>
      </c>
      <c r="F337" s="9">
        <v>7</v>
      </c>
      <c r="G337" s="9" t="s">
        <v>14</v>
      </c>
      <c r="H337" s="1" t="s">
        <v>1526</v>
      </c>
      <c r="I337" s="8" t="str">
        <f t="shared" si="85"/>
        <v>https://www.mindat.org/min-49865.html</v>
      </c>
      <c r="J337" s="8">
        <v>11263</v>
      </c>
      <c r="K337" s="8" t="s">
        <v>11</v>
      </c>
      <c r="N337" s="9">
        <v>0</v>
      </c>
      <c r="O337" s="9" t="s">
        <v>2249</v>
      </c>
      <c r="R337" s="8" t="s">
        <v>1527</v>
      </c>
      <c r="S337" s="11">
        <v>43049.479641203703</v>
      </c>
      <c r="U337" s="8" t="str">
        <f t="shared" si="86"/>
        <v xml:space="preserve">&lt;etma:1:1:49865:4&gt;  rdf:type skos:Concept ;  </v>
      </c>
      <c r="V337" s="8" t="str">
        <f t="shared" si="87"/>
        <v xml:space="preserve"> dcterms:source "https://www.mindat.org/min-49865.html" ; </v>
      </c>
      <c r="W337" s="8" t="str">
        <f t="shared" si="88"/>
        <v xml:space="preserve">skos:definition "An lodranite that has anomalous properties."@en ; </v>
      </c>
      <c r="X337" s="8" t="str">
        <f t="shared" si="106"/>
        <v xml:space="preserve"> skos:inScheme &lt;https://mindat.org/etmat/cscheme&gt; ;  </v>
      </c>
      <c r="Y337" s="8" t="str">
        <f t="shared" si="89"/>
        <v xml:space="preserve">skos:prefLabel "Lodranite-an meteorite"@en ; rdfs:label "Lodranite-an meteorite"@en ; </v>
      </c>
      <c r="Z337" s="8" t="str">
        <f t="shared" si="90"/>
        <v xml:space="preserve"> skos:notation  "Lodranite-an"@en ; </v>
      </c>
      <c r="AA337" s="8" t="str">
        <f t="shared" si="103"/>
        <v>dcterms:source "https://www.lpi.usra.edu/meteor/metbullclass.php?sea=Lodranite-an";</v>
      </c>
      <c r="AB337" s="8" t="str">
        <f t="shared" si="104"/>
        <v xml:space="preserve">skos:broader &lt;etma:1:1:11263:9&gt; ; </v>
      </c>
      <c r="AC337" s="8" t="str">
        <f t="shared" si="105"/>
        <v>dcterms:modified "2017-11-10T11:30";  .</v>
      </c>
      <c r="AD337" s="10" t="str">
        <f t="shared" ref="AD337:AD354" si="107">_xlfn.TEXTJOIN("  ", TRUE, U337:AC337)</f>
        <v>&lt;etma:1:1:49865:4&gt;  rdf:type skos:Concept ;     dcterms:source "https://www.mindat.org/min-49865.html" ;   skos:definition "An lodranite that has anomalous properties."@en ;    skos:inScheme &lt;https://mindat.org/etmat/cscheme&gt; ;    skos:prefLabel "Lodranite-an meteorite"@en ; rdfs:label "Lodranite-an meteorite"@en ;    skos:notation  "Lodranite-an"@en ;   dcterms:source "https://www.lpi.usra.edu/meteor/metbullclass.php?sea=Lodranite-an";  skos:broader &lt;etma:1:1:11263:9&gt; ;   dcterms:modified "2017-11-10T11:30";  .</v>
      </c>
      <c r="AE337" s="8" t="s">
        <v>2591</v>
      </c>
    </row>
    <row r="338" spans="1:36" x14ac:dyDescent="0.25">
      <c r="A338" s="8">
        <v>304</v>
      </c>
      <c r="B338" s="8" t="s">
        <v>1530</v>
      </c>
      <c r="C338" s="8">
        <v>49866</v>
      </c>
      <c r="D338" s="8" t="s">
        <v>1528</v>
      </c>
      <c r="E338" s="8" t="s">
        <v>1529</v>
      </c>
      <c r="F338" s="9">
        <v>7</v>
      </c>
      <c r="G338" s="9" t="s">
        <v>14</v>
      </c>
      <c r="H338" s="1" t="s">
        <v>2586</v>
      </c>
      <c r="I338" s="8" t="str">
        <f t="shared" si="85"/>
        <v>https://www.mindat.org/min-49866.html</v>
      </c>
      <c r="J338" s="8">
        <v>49847</v>
      </c>
      <c r="K338" s="8" t="s">
        <v>1448</v>
      </c>
      <c r="N338" s="9">
        <v>1</v>
      </c>
      <c r="O338" s="9" t="s">
        <v>2249</v>
      </c>
      <c r="R338" s="8" t="s">
        <v>1532</v>
      </c>
      <c r="S338" s="11">
        <v>43049.47996527778</v>
      </c>
      <c r="U338" s="8" t="str">
        <f t="shared" si="86"/>
        <v xml:space="preserve">&lt;etma:1:1:49866:3&gt;  rdf:type skos:Concept ;  </v>
      </c>
      <c r="V338" s="8" t="str">
        <f t="shared" si="87"/>
        <v xml:space="preserve"> dcterms:source "https://www.mindat.org/min-49866.html" ; </v>
      </c>
      <c r="W338" s="8" t="str">
        <f t="shared" si="88"/>
        <v xml:space="preserve">skos:definition "Ureilites, named after the Novo-Urei, Russia, fall of 1886, are ultramafic achondrites that contain interstitial carbon as graphite or diamond. The majority consist of olivine + uninverted pigeonite. In a few, the pyroxene is augite and/or orthopyroxene instead. In addition, about 10 percent  of ureilites are polymict breccias, containing a few percent of feldspathic material in addition to typical ureilitic components."@en ; </v>
      </c>
      <c r="X338" s="8" t="str">
        <f t="shared" si="106"/>
        <v xml:space="preserve"> skos:inScheme &lt;https://mindat.org/etmat/cscheme&gt; ;  </v>
      </c>
      <c r="Y338" s="8" t="str">
        <f t="shared" si="89"/>
        <v xml:space="preserve">skos:prefLabel "Ureilite meteorite"@en ; rdfs:label "Ureilite meteorite"@en ; </v>
      </c>
      <c r="Z338" s="8" t="str">
        <f t="shared" si="90"/>
        <v xml:space="preserve"> skos:notation  "Ureilite"@en ; </v>
      </c>
      <c r="AA338" s="8" t="str">
        <f t="shared" si="103"/>
        <v>dcterms:source "https://www.lpi.usra.edu/meteor/metbullclass.php?sea=Ureilite";</v>
      </c>
      <c r="AB338" s="8" t="str">
        <f t="shared" si="104"/>
        <v xml:space="preserve">skos:broader &lt;etma:1:1:49847:8&gt; ; </v>
      </c>
      <c r="AC338" s="8" t="str">
        <f t="shared" si="105"/>
        <v>dcterms:modified "2017-11-10T11:31";  .</v>
      </c>
      <c r="AD338" s="10" t="str">
        <f t="shared" si="107"/>
        <v>&lt;etma:1:1:49866:3&gt;  rdf:type skos:Concept ;     dcterms:source "https://www.mindat.org/min-49866.html" ;   skos:definition "Ureilites, named after the Novo-Urei, Russia, fall of 1886, are ultramafic achondrites that contain interstitial carbon as graphite or diamond. The majority consist of olivine + uninverted pigeonite. In a few, the pyroxene is augite and/or orthopyroxene instead. In addition, about 10 percent  of ureilites are polymict breccias, containing a few percent of feldspathic material in addition to typical ureilitic components."@en ;    skos:inScheme &lt;https://mindat.org/etmat/cscheme&gt; ;    skos:prefLabel "Ureilite meteorite"@en ; rdfs:label "Ureilite meteorite"@en ;    skos:notation  "Ureilite"@en ;   dcterms:source "https://www.lpi.usra.edu/meteor/metbullclass.php?sea=Ureilite";  skos:broader &lt;etma:1:1:49847:8&gt; ;   dcterms:modified "2017-11-10T11:31";  .</v>
      </c>
      <c r="AE338" s="8" t="s">
        <v>2591</v>
      </c>
    </row>
    <row r="339" spans="1:36" x14ac:dyDescent="0.25">
      <c r="A339" s="8">
        <v>305</v>
      </c>
      <c r="B339" s="8" t="s">
        <v>1535</v>
      </c>
      <c r="C339" s="8">
        <v>49867</v>
      </c>
      <c r="D339" s="8" t="s">
        <v>1533</v>
      </c>
      <c r="E339" s="8" t="s">
        <v>1534</v>
      </c>
      <c r="F339" s="9">
        <v>7</v>
      </c>
      <c r="G339" s="9" t="s">
        <v>14</v>
      </c>
      <c r="H339" s="1" t="s">
        <v>1536</v>
      </c>
      <c r="I339" s="8" t="str">
        <f t="shared" ref="I339" si="108">"https://www.mindat.org/min-"&amp; C339 &amp; ".html"</f>
        <v>https://www.mindat.org/min-49867.html</v>
      </c>
      <c r="J339" s="8">
        <v>49866</v>
      </c>
      <c r="K339" s="8" t="s">
        <v>1528</v>
      </c>
      <c r="N339" s="9">
        <v>0</v>
      </c>
      <c r="O339" s="9" t="s">
        <v>2249</v>
      </c>
      <c r="R339" s="8" t="s">
        <v>1537</v>
      </c>
      <c r="S339" s="11">
        <v>43049.826192129629</v>
      </c>
      <c r="U339" s="8" t="str">
        <f t="shared" ref="U339" si="109">"&lt;etma:"&amp;D339&amp; "&gt;  rdf:type skos:Concept ;  "</f>
        <v xml:space="preserve">&lt;etma:1:1:49867:2&gt;  rdf:type skos:Concept ;  </v>
      </c>
      <c r="V339" s="8" t="str">
        <f t="shared" ref="V339" si="110" xml:space="preserve"> " dcterms:source """ &amp; I339 &amp; """ ; "</f>
        <v xml:space="preserve"> dcterms:source "https://www.mindat.org/min-49867.html" ; </v>
      </c>
      <c r="W339" s="8" t="str">
        <f t="shared" ref="W339" si="111">"skos:definition """ &amp; H339 &amp; """@en ; "</f>
        <v xml:space="preserve">skos:definition "An achondrite belonging to the ureilite group with anomalous properties."@en ; </v>
      </c>
      <c r="X339" s="8" t="str">
        <f t="shared" si="106"/>
        <v xml:space="preserve"> skos:inScheme &lt;https://mindat.org/etmat/cscheme&gt; ;  </v>
      </c>
      <c r="Y339" s="8" t="str">
        <f t="shared" ref="Y339" si="112">"skos:prefLabel """ &amp; B339 &amp; """@en ; rdfs:label """ &amp; B339 &amp; """@en ; "</f>
        <v xml:space="preserve">skos:prefLabel "Anomalous ureilite meteorite"@en ; rdfs:label "Anomalous ureilite meteorite"@en ; </v>
      </c>
      <c r="Z339" s="8" t="str">
        <f t="shared" ref="Z339" si="113">IF(ISBLANK(Q339),"", "skos:altLabel """&amp;Q339&amp;"""@en ; ") &amp; IF(ISBLANK(P339),"", "skos:exactMatch  &lt;etma:"&amp;P339&amp;"&gt; ; ") &amp;  IF(ISBLANK(R339),"", " skos:notation  """&amp; R339 &amp;"""@en ; ")</f>
        <v xml:space="preserve"> skos:notation  "Ureilite-an"@en ; </v>
      </c>
      <c r="AA339" s="8" t="str">
        <f t="shared" si="103"/>
        <v>dcterms:source "https://www.lpi.usra.edu/meteor/metbullclass.php?sea=Ureilite-an";</v>
      </c>
      <c r="AB339" s="8" t="str">
        <f t="shared" si="104"/>
        <v xml:space="preserve">skos:broader &lt;etma:1:1:49866:3&gt; ; </v>
      </c>
      <c r="AC339" s="8" t="str">
        <f t="shared" si="105"/>
        <v>dcterms:modified "2017-11-10T19:49";  .</v>
      </c>
      <c r="AD339" s="10" t="str">
        <f t="shared" si="107"/>
        <v>&lt;etma:1:1:49867:2&gt;  rdf:type skos:Concept ;     dcterms:source "https://www.mindat.org/min-49867.html" ;   skos:definition "An achondrite belonging to the ureilite group with anomalous properties."@en ;    skos:inScheme &lt;https://mindat.org/etmat/cscheme&gt; ;    skos:prefLabel "Anomalous ureilite meteorite"@en ; rdfs:label "Anomalous ureilite meteorite"@en ;    skos:notation  "Ureilite-an"@en ;   dcterms:source "https://www.lpi.usra.edu/meteor/metbullclass.php?sea=Ureilite-an";  skos:broader &lt;etma:1:1:49866:3&gt; ;   dcterms:modified "2017-11-10T19:49";  .</v>
      </c>
      <c r="AE339" s="8" t="s">
        <v>2591</v>
      </c>
    </row>
    <row r="340" spans="1:36" s="9" customFormat="1" x14ac:dyDescent="0.25">
      <c r="A340" s="9">
        <v>306</v>
      </c>
      <c r="B340" s="9" t="s">
        <v>1540</v>
      </c>
      <c r="C340" s="9">
        <v>49868</v>
      </c>
      <c r="D340" s="9" t="s">
        <v>1538</v>
      </c>
      <c r="E340" s="9" t="s">
        <v>1539</v>
      </c>
      <c r="F340" s="9">
        <v>7</v>
      </c>
      <c r="G340" s="9" t="s">
        <v>14</v>
      </c>
      <c r="H340" s="1" t="s">
        <v>2473</v>
      </c>
      <c r="I340" s="9" t="s">
        <v>2474</v>
      </c>
      <c r="J340" s="9">
        <v>49866</v>
      </c>
      <c r="K340" s="9" t="s">
        <v>1528</v>
      </c>
      <c r="N340" s="9">
        <v>0</v>
      </c>
      <c r="O340" s="9">
        <v>52338</v>
      </c>
      <c r="P340" s="9" t="s">
        <v>2521</v>
      </c>
      <c r="Q340" s="9" t="s">
        <v>2522</v>
      </c>
      <c r="R340" s="9" t="s">
        <v>1541</v>
      </c>
      <c r="S340" s="11">
        <f ca="1">NOW()</f>
        <v>45097.373057291668</v>
      </c>
      <c r="U340" s="8" t="str">
        <f t="shared" ref="U340" si="114">"&lt;etma:"&amp;D340&amp; "&gt;  rdf:type skos:Concept ;  "</f>
        <v xml:space="preserve">&lt;etma:1:1:49868:1&gt;  rdf:type skos:Concept ;  </v>
      </c>
      <c r="V340" s="8" t="str">
        <f t="shared" ref="V340" si="115" xml:space="preserve"> " dcterms:source """ &amp; I340 &amp; """ ; "</f>
        <v xml:space="preserve"> dcterms:source "https://www.lpi.usra.edu/meteor/metbullclass.php?sea=Ureilite-pmict" ; </v>
      </c>
      <c r="W340" s="8" t="str">
        <f t="shared" ref="W340" si="116">"skos:definition """ &amp; H340 &amp; """@en ; "</f>
        <v xml:space="preserve">skos:definition "A stony meteorite that, originated on a differentiated parent body, lacks chondrules, belongs to the ureilite group, and is a polymict breccia "@en ; </v>
      </c>
      <c r="X340" s="8" t="str">
        <f t="shared" si="106"/>
        <v xml:space="preserve"> skos:inScheme &lt;https://mindat.org/etmat/cscheme&gt; ;  </v>
      </c>
      <c r="Y340" s="8" t="str">
        <f t="shared" ref="Y340" si="117">"skos:prefLabel """ &amp; B340 &amp; """@en ; rdfs:label """ &amp; B340 &amp; """@en ; "</f>
        <v xml:space="preserve">skos:prefLabel "Polymict ureilite meteorite"@en ; rdfs:label "Polymict ureilite meteorite"@en ; </v>
      </c>
      <c r="Z340" s="8" t="str">
        <f t="shared" ref="Z340" si="118">IF(ISBLANK(Q340),"", "skos:altLabel """&amp;Q340&amp;"""@en ; ") &amp; IF(ISBLANK(P340),"", "skos:exactMatch  &lt;etma:"&amp;P340&amp;"&gt; ; ") &amp;  IF(ISBLANK(R340),"", " skos:notation  """&amp; R340 &amp;"""@en ; ")</f>
        <v xml:space="preserve">skos:altLabel "Ureilite-pmict meteorite"@en ; skos:exactMatch  &lt;etma:1:1:52338:5&gt; ;  skos:notation  "Ureilite-pmict"@en ; </v>
      </c>
      <c r="AA340" s="8" t="str">
        <f t="shared" si="103"/>
        <v>dcterms:source "https://www.lpi.usra.edu/meteor/metbullclass.php?sea=Ureilite-pmict";</v>
      </c>
      <c r="AB340" s="8" t="str">
        <f t="shared" si="104"/>
        <v xml:space="preserve">skos:broader &lt;etma:1:1:49866:3&gt; ; </v>
      </c>
      <c r="AC340" s="8" t="str">
        <f t="shared" ca="1" si="105"/>
        <v>dcterms:modified "2023-06-20T08:57";  .</v>
      </c>
      <c r="AD340" s="10" t="str">
        <f t="shared" ca="1" si="107"/>
        <v>&lt;etma:1:1:49868:1&gt;  rdf:type skos:Concept ;     dcterms:source "https://www.lpi.usra.edu/meteor/metbullclass.php?sea=Ureilite-pmict" ;   skos:definition "A stony meteorite that, originated on a differentiated parent body, lacks chondrules, belongs to the ureilite group, and is a polymict breccia "@en ;    skos:inScheme &lt;https://mindat.org/etmat/cscheme&gt; ;    skos:prefLabel "Polymict ureilite meteorite"@en ; rdfs:label "Polymict ureilite meteorite"@en ;   skos:altLabel "Ureilite-pmict meteorite"@en ; skos:exactMatch  &lt;etma:1:1:52338:5&gt; ;  skos:notation  "Ureilite-pmict"@en ;   dcterms:source "https://www.lpi.usra.edu/meteor/metbullclass.php?sea=Ureilite-pmict";  skos:broader &lt;etma:1:1:49866:3&gt; ;   dcterms:modified "2023-06-20T08:57";  .</v>
      </c>
      <c r="AE340" s="8" t="s">
        <v>2591</v>
      </c>
      <c r="AF340" s="8"/>
      <c r="AG340" s="8"/>
      <c r="AH340" s="8"/>
      <c r="AI340" s="8"/>
      <c r="AJ340" s="8"/>
    </row>
    <row r="341" spans="1:36" x14ac:dyDescent="0.25">
      <c r="A341" s="8">
        <v>307</v>
      </c>
      <c r="B341" s="8" t="s">
        <v>1544</v>
      </c>
      <c r="C341" s="8">
        <v>49869</v>
      </c>
      <c r="D341" s="8" t="s">
        <v>1542</v>
      </c>
      <c r="E341" s="8" t="s">
        <v>1543</v>
      </c>
      <c r="F341" s="9">
        <v>7</v>
      </c>
      <c r="G341" s="9" t="s">
        <v>14</v>
      </c>
      <c r="H341" s="1" t="s">
        <v>2572</v>
      </c>
      <c r="I341" s="8" t="str">
        <f t="shared" ref="I341:I404" si="119">"https://www.mindat.org/min-"&amp; C341 &amp; ".html"</f>
        <v>https://www.mindat.org/min-49869.html</v>
      </c>
      <c r="J341" s="8">
        <v>49847</v>
      </c>
      <c r="K341" s="8" t="s">
        <v>1448</v>
      </c>
      <c r="N341" s="9">
        <v>1</v>
      </c>
      <c r="O341" s="9" t="s">
        <v>2249</v>
      </c>
      <c r="R341" s="8" t="s">
        <v>1546</v>
      </c>
      <c r="S341" s="11">
        <v>43049.480590277781</v>
      </c>
      <c r="U341" s="8" t="str">
        <f t="shared" ref="U341:U404" si="120">"&lt;etma:"&amp;D341&amp; "&gt;  rdf:type skos:Concept ;  "</f>
        <v xml:space="preserve">&lt;etma:1:1:49869:0&gt;  rdf:type skos:Concept ;  </v>
      </c>
      <c r="V341" s="8" t="str">
        <f t="shared" ref="V341:V404" si="121" xml:space="preserve"> " dcterms:source """ &amp; I341 &amp; """ ; "</f>
        <v xml:space="preserve"> dcterms:source "https://www.mindat.org/min-49869.html" ; </v>
      </c>
      <c r="W341" s="8" t="str">
        <f t="shared" ref="W341:W404" si="122">"skos:definition """ &amp; H341 &amp; """@en ; "</f>
        <v xml:space="preserve">skos:definition "Winonaites, named after the Winona, Arizona, find of 1928, are equigranular rocks, some of which may contain relict chondrules, that have mineralogy and composition that are similar to chondrites.The mineral assemblage is more reduced than that of H chondrites. Winonaites are related to the silicate inclusions found in IAB complex irons."@en ; </v>
      </c>
      <c r="X341" s="8" t="str">
        <f t="shared" ref="X341:X385" si="123">" skos:inScheme &lt;https://mindat.org/etmat/cscheme&gt; ;  "</f>
        <v xml:space="preserve"> skos:inScheme &lt;https://mindat.org/etmat/cscheme&gt; ;  </v>
      </c>
      <c r="Y341" s="8" t="str">
        <f t="shared" ref="Y341:Y404" si="124">"skos:prefLabel """ &amp; B341 &amp; """@en ; rdfs:label """ &amp; B341 &amp; """@en ; "</f>
        <v xml:space="preserve">skos:prefLabel "Winonaite meteorite"@en ; rdfs:label "Winonaite meteorite"@en ; </v>
      </c>
      <c r="Z341" s="8" t="str">
        <f t="shared" ref="Z341:Z404" si="125">IF(ISBLANK(Q341),"", "skos:altLabel """&amp;Q341&amp;"""@en ; ") &amp; IF(ISBLANK(P341),"", "skos:exactMatch  &lt;etma:"&amp;P341&amp;"&gt; ; ") &amp;  IF(ISBLANK(R341),"", " skos:notation  """&amp; R341 &amp;"""@en ; ")</f>
        <v xml:space="preserve"> skos:notation  "Winonaite"@en ; </v>
      </c>
      <c r="AA341" s="8" t="str">
        <f t="shared" si="103"/>
        <v>dcterms:source "https://www.lpi.usra.edu/meteor/metbullclass.php?sea=Winonaite";</v>
      </c>
      <c r="AB341" s="8" t="str">
        <f t="shared" si="104"/>
        <v xml:space="preserve">skos:broader &lt;etma:1:1:49847:8&gt; ; </v>
      </c>
      <c r="AC341" s="8" t="str">
        <f t="shared" si="105"/>
        <v>dcterms:modified "2017-11-10T11:32";  .</v>
      </c>
      <c r="AD341" s="10" t="str">
        <f t="shared" si="107"/>
        <v>&lt;etma:1:1:49869:0&gt;  rdf:type skos:Concept ;     dcterms:source "https://www.mindat.org/min-49869.html" ;   skos:definition "Winonaites, named after the Winona, Arizona, find of 1928, are equigranular rocks, some of which may contain relict chondrules, that have mineralogy and composition that are similar to chondrites.The mineral assemblage is more reduced than that of H chondrites. Winonaites are related to the silicate inclusions found in IAB complex irons."@en ;    skos:inScheme &lt;https://mindat.org/etmat/cscheme&gt; ;    skos:prefLabel "Winonaite meteorite"@en ; rdfs:label "Winonaite meteorite"@en ;    skos:notation  "Winonaite"@en ;   dcterms:source "https://www.lpi.usra.edu/meteor/metbullclass.php?sea=Winonaite";  skos:broader &lt;etma:1:1:49847:8&gt; ;   dcterms:modified "2017-11-10T11:32";  .</v>
      </c>
      <c r="AE341" s="8" t="s">
        <v>2591</v>
      </c>
    </row>
    <row r="342" spans="1:36" x14ac:dyDescent="0.25">
      <c r="A342" s="8">
        <v>308</v>
      </c>
      <c r="B342" s="8" t="s">
        <v>1549</v>
      </c>
      <c r="C342" s="8">
        <v>49872</v>
      </c>
      <c r="D342" s="8" t="s">
        <v>1547</v>
      </c>
      <c r="E342" s="8" t="s">
        <v>1548</v>
      </c>
      <c r="F342" s="9">
        <v>7</v>
      </c>
      <c r="G342" s="9" t="s">
        <v>14</v>
      </c>
      <c r="H342" s="1" t="s">
        <v>2573</v>
      </c>
      <c r="I342" s="8" t="str">
        <f t="shared" si="119"/>
        <v>https://www.mindat.org/min-49872.html</v>
      </c>
      <c r="J342" s="8">
        <v>50270</v>
      </c>
      <c r="K342" s="8" t="s">
        <v>2257</v>
      </c>
      <c r="N342" s="9">
        <v>1</v>
      </c>
      <c r="O342" s="9" t="s">
        <v>2249</v>
      </c>
      <c r="R342" s="8" t="s">
        <v>1551</v>
      </c>
      <c r="S342" s="11">
        <v>43049.478125000001</v>
      </c>
      <c r="U342" s="8" t="str">
        <f t="shared" si="120"/>
        <v xml:space="preserve">&lt;etma:1:1:49872:4&gt;  rdf:type skos:Concept ;  </v>
      </c>
      <c r="V342" s="8" t="str">
        <f t="shared" si="121"/>
        <v xml:space="preserve"> dcterms:source "https://www.mindat.org/min-49872.html" ; </v>
      </c>
      <c r="W342" s="8" t="str">
        <f t="shared" si="122"/>
        <v xml:space="preserve">skos:definition "Angrites, named after the Angra dos Reis, Brazil, fall of 1869, are a relatively rare type of basaltic achondrite with low alkali contents, high Ca/Al ratios, and a distinctive mineral assemblage, generally including Al-Ca-Ti-rich pyroxene, Ca-rich plagioclase, and Ca-rich olivine that may have exsolved the mineral kirschsteinite."@en ; </v>
      </c>
      <c r="X342" s="8" t="str">
        <f t="shared" si="123"/>
        <v xml:space="preserve"> skos:inScheme &lt;https://mindat.org/etmat/cscheme&gt; ;  </v>
      </c>
      <c r="Y342" s="8" t="str">
        <f t="shared" si="124"/>
        <v xml:space="preserve">skos:prefLabel "Angrite meteorite"@en ; rdfs:label "Angrite meteorite"@en ; </v>
      </c>
      <c r="Z342" s="8" t="str">
        <f t="shared" si="125"/>
        <v xml:space="preserve"> skos:notation  "Angrite"@en ; </v>
      </c>
      <c r="AA342" s="8" t="str">
        <f t="shared" si="103"/>
        <v>dcterms:source "https://www.lpi.usra.edu/meteor/metbullclass.php?sea=Angrite";</v>
      </c>
      <c r="AB342" s="8" t="str">
        <f t="shared" si="104"/>
        <v xml:space="preserve">skos:broader &lt;etma:1:1:50270:8&gt; ; </v>
      </c>
      <c r="AC342" s="8" t="str">
        <f t="shared" si="105"/>
        <v>dcterms:modified "2017-11-10T11:28";  .</v>
      </c>
      <c r="AD342" s="10" t="str">
        <f t="shared" si="107"/>
        <v>&lt;etma:1:1:49872:4&gt;  rdf:type skos:Concept ;     dcterms:source "https://www.mindat.org/min-49872.html" ;   skos:definition "Angrites, named after the Angra dos Reis, Brazil, fall of 1869, are a relatively rare type of basaltic achondrite with low alkali contents, high Ca/Al ratios, and a distinctive mineral assemblage, generally including Al-Ca-Ti-rich pyroxene, Ca-rich plagioclase, and Ca-rich olivine that may have exsolved the mineral kirschsteinite."@en ;    skos:inScheme &lt;https://mindat.org/etmat/cscheme&gt; ;    skos:prefLabel "Angrite meteorite"@en ; rdfs:label "Angrite meteorite"@en ;    skos:notation  "Angrite"@en ;   dcterms:source "https://www.lpi.usra.edu/meteor/metbullclass.php?sea=Angrite";  skos:broader &lt;etma:1:1:50270:8&gt; ;   dcterms:modified "2017-11-10T11:28";  .</v>
      </c>
      <c r="AE342" s="8" t="s">
        <v>2591</v>
      </c>
    </row>
    <row r="343" spans="1:36" x14ac:dyDescent="0.25">
      <c r="A343" s="8">
        <v>309</v>
      </c>
      <c r="B343" s="8" t="s">
        <v>1554</v>
      </c>
      <c r="C343" s="8">
        <v>49873</v>
      </c>
      <c r="D343" s="8" t="s">
        <v>1552</v>
      </c>
      <c r="E343" s="8" t="s">
        <v>1553</v>
      </c>
      <c r="F343" s="9">
        <v>7</v>
      </c>
      <c r="G343" s="9" t="s">
        <v>14</v>
      </c>
      <c r="H343" s="1" t="s">
        <v>2574</v>
      </c>
      <c r="I343" s="8" t="str">
        <f t="shared" si="119"/>
        <v>https://www.mindat.org/min-49873.html</v>
      </c>
      <c r="J343" s="8">
        <v>50270</v>
      </c>
      <c r="K343" s="8" t="s">
        <v>2257</v>
      </c>
      <c r="N343" s="9">
        <v>1</v>
      </c>
      <c r="O343" s="9" t="s">
        <v>2249</v>
      </c>
      <c r="R343" s="8" t="s">
        <v>1556</v>
      </c>
      <c r="S343" s="11">
        <v>45083.493368055555</v>
      </c>
      <c r="U343" s="8" t="str">
        <f t="shared" si="120"/>
        <v xml:space="preserve">&lt;etma:1:1:49873:3&gt;  rdf:type skos:Concept ;  </v>
      </c>
      <c r="V343" s="8" t="str">
        <f t="shared" si="121"/>
        <v xml:space="preserve"> dcterms:source "https://www.mindat.org/min-49873.html" ; </v>
      </c>
      <c r="W343" s="8" t="str">
        <f t="shared" si="122"/>
        <v xml:space="preserve">skos:definition "Aubrites, named after the Aubres, France, fall of 1836, are enstatite achondrites. Most are breccias (Shallowater being a notable exception) containing igneous and impact-melted clasts. Like enstatite chondrites, aubrites have highly reduced mineralogy, but they probably do not come from the same parent asteroid as either EH or EL chondrites."@en ; </v>
      </c>
      <c r="X343" s="8" t="str">
        <f t="shared" si="123"/>
        <v xml:space="preserve"> skos:inScheme &lt;https://mindat.org/etmat/cscheme&gt; ;  </v>
      </c>
      <c r="Y343" s="8" t="str">
        <f t="shared" si="124"/>
        <v xml:space="preserve">skos:prefLabel "Aubrite meteorite"@en ; rdfs:label "Aubrite meteorite"@en ; </v>
      </c>
      <c r="Z343" s="8" t="str">
        <f t="shared" si="125"/>
        <v xml:space="preserve"> skos:notation  "Aubrite"@en ; </v>
      </c>
      <c r="AA343" s="8" t="str">
        <f t="shared" si="103"/>
        <v>dcterms:source "https://www.lpi.usra.edu/meteor/metbullclass.php?sea=Aubrite";</v>
      </c>
      <c r="AB343" s="8" t="str">
        <f t="shared" si="104"/>
        <v xml:space="preserve">skos:broader &lt;etma:1:1:50270:8&gt; ; </v>
      </c>
      <c r="AC343" s="8" t="str">
        <f t="shared" si="105"/>
        <v>dcterms:modified "2023-06-06T11:50";  .</v>
      </c>
      <c r="AD343" s="10" t="str">
        <f t="shared" si="107"/>
        <v>&lt;etma:1:1:49873:3&gt;  rdf:type skos:Concept ;     dcterms:source "https://www.mindat.org/min-49873.html" ;   skos:definition "Aubrites, named after the Aubres, France, fall of 1836, are enstatite achondrites. Most are breccias (Shallowater being a notable exception) containing igneous and impact-melted clasts. Like enstatite chondrites, aubrites have highly reduced mineralogy, but they probably do not come from the same parent asteroid as either EH or EL chondrites."@en ;    skos:inScheme &lt;https://mindat.org/etmat/cscheme&gt; ;    skos:prefLabel "Aubrite meteorite"@en ; rdfs:label "Aubrite meteorite"@en ;    skos:notation  "Aubrite"@en ;   dcterms:source "https://www.lpi.usra.edu/meteor/metbullclass.php?sea=Aubrite";  skos:broader &lt;etma:1:1:50270:8&gt; ;   dcterms:modified "2023-06-06T11:50";  .</v>
      </c>
      <c r="AE343" s="8" t="s">
        <v>2591</v>
      </c>
    </row>
    <row r="344" spans="1:36" x14ac:dyDescent="0.25">
      <c r="A344" s="8">
        <v>310</v>
      </c>
      <c r="B344" s="8" t="s">
        <v>1559</v>
      </c>
      <c r="C344" s="8">
        <v>49876</v>
      </c>
      <c r="D344" s="8" t="s">
        <v>1557</v>
      </c>
      <c r="E344" s="8" t="s">
        <v>1558</v>
      </c>
      <c r="F344" s="9">
        <v>7</v>
      </c>
      <c r="G344" s="9" t="s">
        <v>14</v>
      </c>
      <c r="H344" s="1" t="s">
        <v>1560</v>
      </c>
      <c r="I344" s="8" t="str">
        <f t="shared" si="119"/>
        <v>https://www.mindat.org/min-49876.html</v>
      </c>
      <c r="J344" s="8">
        <v>50269</v>
      </c>
      <c r="K344" s="8" t="s">
        <v>2260</v>
      </c>
      <c r="N344" s="9">
        <v>1</v>
      </c>
      <c r="O344" s="9" t="s">
        <v>2249</v>
      </c>
      <c r="R344" s="8" t="s">
        <v>1561</v>
      </c>
      <c r="S344" s="11">
        <v>43050.866875</v>
      </c>
      <c r="U344" s="8" t="str">
        <f t="shared" si="120"/>
        <v xml:space="preserve">&lt;etma:1:1:49876:0&gt;  rdf:type skos:Concept ;  </v>
      </c>
      <c r="V344" s="8" t="str">
        <f t="shared" si="121"/>
        <v xml:space="preserve"> dcterms:source "https://www.mindat.org/min-49876.html" ; </v>
      </c>
      <c r="W344" s="8" t="str">
        <f t="shared" si="122"/>
        <v xml:space="preserve">skos:definition "An enstatite-rich achondrite that is ungrouped."@en ; </v>
      </c>
      <c r="X344" s="8" t="str">
        <f t="shared" si="123"/>
        <v xml:space="preserve"> skos:inScheme &lt;https://mindat.org/etmat/cscheme&gt; ;  </v>
      </c>
      <c r="Y344" s="8" t="str">
        <f t="shared" si="124"/>
        <v xml:space="preserve">skos:prefLabel "Ungrouped enstatite-rich achondrite meteorite"@en ; rdfs:label "Ungrouped enstatite-rich achondrite meteorite"@en ; </v>
      </c>
      <c r="Z344" s="8" t="str">
        <f t="shared" si="125"/>
        <v xml:space="preserve"> skos:notation  "Enst achon-ung"@en ; </v>
      </c>
      <c r="AA344" s="8" t="str">
        <f t="shared" si="103"/>
        <v>dcterms:source "https://www.lpi.usra.edu/meteor/metbullclass.php?sea=Enst%20achon-ung";</v>
      </c>
      <c r="AB344" s="8" t="str">
        <f t="shared" si="104"/>
        <v xml:space="preserve">skos:broader &lt;etma:1:1:50269:2&gt; ; </v>
      </c>
      <c r="AC344" s="8" t="str">
        <f t="shared" si="105"/>
        <v>dcterms:modified "2017-11-11T20:48";  .</v>
      </c>
      <c r="AD344" s="10" t="str">
        <f t="shared" si="107"/>
        <v>&lt;etma:1:1:49876:0&gt;  rdf:type skos:Concept ;     dcterms:source "https://www.mindat.org/min-49876.html" ;   skos:definition "An enstatite-rich achondrite that is ungrouped."@en ;    skos:inScheme &lt;https://mindat.org/etmat/cscheme&gt; ;    skos:prefLabel "Ungrouped enstatite-rich achondrite meteorite"@en ; rdfs:label "Ungrouped enstatite-rich achondrite meteorite"@en ;    skos:notation  "Enst achon-ung"@en ;   dcterms:source "https://www.lpi.usra.edu/meteor/metbullclass.php?sea=Enst%20achon-ung";  skos:broader &lt;etma:1:1:50269:2&gt; ;   dcterms:modified "2017-11-11T20:48";  .</v>
      </c>
      <c r="AE344" s="8" t="s">
        <v>2591</v>
      </c>
    </row>
    <row r="345" spans="1:36" hidden="1" x14ac:dyDescent="0.25">
      <c r="A345" s="8">
        <v>238</v>
      </c>
      <c r="B345" s="8" t="s">
        <v>2316</v>
      </c>
      <c r="C345" s="8">
        <v>49877</v>
      </c>
      <c r="D345" s="8" t="s">
        <v>2317</v>
      </c>
      <c r="E345" s="8" t="s">
        <v>2318</v>
      </c>
      <c r="F345" s="9">
        <v>7</v>
      </c>
      <c r="G345" s="9" t="s">
        <v>14</v>
      </c>
      <c r="H345" s="1" t="s">
        <v>2319</v>
      </c>
      <c r="I345" s="8" t="str">
        <f t="shared" si="119"/>
        <v>https://www.mindat.org/min-49877.html</v>
      </c>
      <c r="J345" s="8">
        <v>50270</v>
      </c>
      <c r="K345" s="8" t="s">
        <v>2257</v>
      </c>
      <c r="N345" s="9">
        <v>1</v>
      </c>
      <c r="S345" s="11">
        <v>43049.486979166664</v>
      </c>
      <c r="U345" s="8" t="str">
        <f t="shared" si="120"/>
        <v xml:space="preserve">&lt;etma:1:1:49877:9&gt;  rdf:type skos:Concept ;  </v>
      </c>
      <c r="V345" s="8" t="str">
        <f t="shared" si="121"/>
        <v xml:space="preserve"> dcterms:source "https://www.mindat.org/min-49877.html" ; </v>
      </c>
      <c r="W345" s="8" t="str">
        <f t="shared" si="122"/>
        <v xml:space="preserve">skos:definition "A group of meteorites believed to have come from asteroid 4 Vesta."@en ; </v>
      </c>
      <c r="X345" s="8" t="str">
        <f t="shared" si="123"/>
        <v xml:space="preserve"> skos:inScheme &lt;https://mindat.org/etmat/cscheme&gt; ;  </v>
      </c>
      <c r="Y345" s="8" t="str">
        <f t="shared" si="124"/>
        <v xml:space="preserve">skos:prefLabel "HED achondrite meteorite"@en ; rdfs:label "HED achondrite meteorite"@en ; </v>
      </c>
      <c r="Z345" s="8" t="str">
        <f t="shared" si="125"/>
        <v/>
      </c>
      <c r="AA345" s="8" t="str">
        <f t="shared" si="103"/>
        <v/>
      </c>
      <c r="AB345" s="8" t="str">
        <f t="shared" si="104"/>
        <v xml:space="preserve">skos:broader &lt;etma:1:1:50270:8&gt; ; </v>
      </c>
      <c r="AC345" s="8" t="str">
        <f t="shared" si="105"/>
        <v>dcterms:modified "2017-11-10T11:41";  .</v>
      </c>
      <c r="AD345" s="10" t="str">
        <f t="shared" si="107"/>
        <v>&lt;etma:1:1:49877:9&gt;  rdf:type skos:Concept ;     dcterms:source "https://www.mindat.org/min-49877.html" ;   skos:definition "A group of meteorites believed to have come from asteroid 4 Vesta."@en ;    skos:inScheme &lt;https://mindat.org/etmat/cscheme&gt; ;    skos:prefLabel "HED achondrite meteorite"@en ; rdfs:label "HED achondrite meteorite"@en ;   skos:broader &lt;etma:1:1:50270:8&gt; ;   dcterms:modified "2017-11-10T11:41";  .</v>
      </c>
      <c r="AE345" s="8" t="s">
        <v>2591</v>
      </c>
    </row>
    <row r="346" spans="1:36" x14ac:dyDescent="0.25">
      <c r="A346" s="8">
        <v>311</v>
      </c>
      <c r="B346" s="8" t="s">
        <v>1564</v>
      </c>
      <c r="C346" s="8">
        <v>49878</v>
      </c>
      <c r="D346" s="8" t="s">
        <v>1562</v>
      </c>
      <c r="E346" s="8" t="s">
        <v>1563</v>
      </c>
      <c r="F346" s="9">
        <v>7</v>
      </c>
      <c r="G346" s="9" t="s">
        <v>14</v>
      </c>
      <c r="H346" s="1" t="s">
        <v>2575</v>
      </c>
      <c r="I346" s="8" t="str">
        <f t="shared" si="119"/>
        <v>https://www.mindat.org/min-49878.html</v>
      </c>
      <c r="J346" s="8">
        <v>49877</v>
      </c>
      <c r="K346" s="8" t="s">
        <v>2317</v>
      </c>
      <c r="N346" s="9">
        <v>1</v>
      </c>
      <c r="O346" s="9" t="s">
        <v>2249</v>
      </c>
      <c r="R346" s="8" t="s">
        <v>1566</v>
      </c>
      <c r="S346" s="11">
        <v>44168.657488425924</v>
      </c>
      <c r="U346" s="8" t="str">
        <f t="shared" si="120"/>
        <v xml:space="preserve">&lt;etma:1:1:49878:8&gt;  rdf:type skos:Concept ;  </v>
      </c>
      <c r="V346" s="8" t="str">
        <f t="shared" si="121"/>
        <v xml:space="preserve"> dcterms:source "https://www.mindat.org/min-49878.html" ; </v>
      </c>
      <c r="W346" s="8" t="str">
        <f t="shared" si="122"/>
        <v xml:space="preserve">skos:definition "Howardites are an abundant group of polymict-breccia achondrites that appear to represent mixtures of eucrites and diogenites (these three linked groups are collectively known as HED meteorites and may come from asteroid 4 Vesta). The main minerals in howardites are pyroxene (largely orthopyroxene) and Na-poor plagioclase. A minority of howardites are rich in solar-wind noble gases and thus inferred to be regolith breccias."@en ; </v>
      </c>
      <c r="X346" s="8" t="str">
        <f t="shared" si="123"/>
        <v xml:space="preserve"> skos:inScheme &lt;https://mindat.org/etmat/cscheme&gt; ;  </v>
      </c>
      <c r="Y346" s="8" t="str">
        <f t="shared" si="124"/>
        <v xml:space="preserve">skos:prefLabel "Howardite meteorite"@en ; rdfs:label "Howardite meteorite"@en ; </v>
      </c>
      <c r="Z346" s="8" t="str">
        <f t="shared" si="125"/>
        <v xml:space="preserve"> skos:notation  "Howardite"@en ; </v>
      </c>
      <c r="AA346" s="8" t="str">
        <f t="shared" si="103"/>
        <v>dcterms:source "https://www.lpi.usra.edu/meteor/metbullclass.php?sea=Howardite";</v>
      </c>
      <c r="AB346" s="8" t="str">
        <f t="shared" si="104"/>
        <v xml:space="preserve">skos:broader &lt;etma:1:1:49877:9&gt; ; </v>
      </c>
      <c r="AC346" s="8" t="str">
        <f t="shared" si="105"/>
        <v>dcterms:modified "2020-12-03T15:46";  .</v>
      </c>
      <c r="AD346" s="10" t="str">
        <f t="shared" si="107"/>
        <v>&lt;etma:1:1:49878:8&gt;  rdf:type skos:Concept ;     dcterms:source "https://www.mindat.org/min-49878.html" ;   skos:definition "Howardites are an abundant group of polymict-breccia achondrites that appear to represent mixtures of eucrites and diogenites (these three linked groups are collectively known as HED meteorites and may come from asteroid 4 Vesta). The main minerals in howardites are pyroxene (largely orthopyroxene) and Na-poor plagioclase. A minority of howardites are rich in solar-wind noble gases and thus inferred to be regolith breccias."@en ;    skos:inScheme &lt;https://mindat.org/etmat/cscheme&gt; ;    skos:prefLabel "Howardite meteorite"@en ; rdfs:label "Howardite meteorite"@en ;    skos:notation  "Howardite"@en ;   dcterms:source "https://www.lpi.usra.edu/meteor/metbullclass.php?sea=Howardite";  skos:broader &lt;etma:1:1:49877:9&gt; ;   dcterms:modified "2020-12-03T15:46";  .</v>
      </c>
      <c r="AE346" s="8" t="s">
        <v>2591</v>
      </c>
    </row>
    <row r="347" spans="1:36" x14ac:dyDescent="0.25">
      <c r="A347" s="8">
        <v>312</v>
      </c>
      <c r="B347" s="8" t="s">
        <v>1569</v>
      </c>
      <c r="C347" s="8">
        <v>49879</v>
      </c>
      <c r="D347" s="8" t="s">
        <v>1567</v>
      </c>
      <c r="E347" s="8" t="s">
        <v>1568</v>
      </c>
      <c r="F347" s="9">
        <v>7</v>
      </c>
      <c r="G347" s="9" t="s">
        <v>14</v>
      </c>
      <c r="H347" s="1" t="s">
        <v>1570</v>
      </c>
      <c r="I347" s="8" t="str">
        <f t="shared" si="119"/>
        <v>https://www.mindat.org/min-49879.html</v>
      </c>
      <c r="J347" s="8">
        <v>49878</v>
      </c>
      <c r="K347" s="8" t="s">
        <v>1562</v>
      </c>
      <c r="N347" s="9">
        <v>0</v>
      </c>
      <c r="O347" s="9" t="s">
        <v>2249</v>
      </c>
      <c r="R347" s="8" t="s">
        <v>1571</v>
      </c>
      <c r="S347" s="11">
        <v>43049.75582175926</v>
      </c>
      <c r="U347" s="8" t="str">
        <f t="shared" si="120"/>
        <v xml:space="preserve">&lt;etma:1:1:49879:7&gt;  rdf:type skos:Concept ;  </v>
      </c>
      <c r="V347" s="8" t="str">
        <f t="shared" si="121"/>
        <v xml:space="preserve"> dcterms:source "https://www.mindat.org/min-49879.html" ; </v>
      </c>
      <c r="W347" s="8" t="str">
        <f t="shared" si="122"/>
        <v xml:space="preserve">skos:definition "An howardite that has anomalous properties."@en ; </v>
      </c>
      <c r="X347" s="8" t="str">
        <f t="shared" si="123"/>
        <v xml:space="preserve"> skos:inScheme &lt;https://mindat.org/etmat/cscheme&gt; ;  </v>
      </c>
      <c r="Y347" s="8" t="str">
        <f t="shared" si="124"/>
        <v xml:space="preserve">skos:prefLabel "Anomalous howardite meteorite"@en ; rdfs:label "Anomalous howardite meteorite"@en ; </v>
      </c>
      <c r="Z347" s="8" t="str">
        <f t="shared" si="125"/>
        <v xml:space="preserve"> skos:notation  "Howardite-an"@en ; </v>
      </c>
      <c r="AA347" s="8" t="str">
        <f t="shared" si="103"/>
        <v>dcterms:source "https://www.lpi.usra.edu/meteor/metbullclass.php?sea=Howardite-an";</v>
      </c>
      <c r="AB347" s="8" t="str">
        <f t="shared" si="104"/>
        <v xml:space="preserve">skos:broader &lt;etma:1:1:49878:8&gt; ; </v>
      </c>
      <c r="AC347" s="8" t="str">
        <f t="shared" si="105"/>
        <v>dcterms:modified "2017-11-10T18:08";  .</v>
      </c>
      <c r="AD347" s="10" t="str">
        <f t="shared" si="107"/>
        <v>&lt;etma:1:1:49879:7&gt;  rdf:type skos:Concept ;     dcterms:source "https://www.mindat.org/min-49879.html" ;   skos:definition "An howardite that has anomalous properties."@en ;    skos:inScheme &lt;https://mindat.org/etmat/cscheme&gt; ;    skos:prefLabel "Anomalous howardite meteorite"@en ; rdfs:label "Anomalous howardite meteorite"@en ;    skos:notation  "Howardite-an"@en ;   dcterms:source "https://www.lpi.usra.edu/meteor/metbullclass.php?sea=Howardite-an";  skos:broader &lt;etma:1:1:49878:8&gt; ;   dcterms:modified "2017-11-10T18:08";  .</v>
      </c>
      <c r="AE347" s="8" t="s">
        <v>2591</v>
      </c>
    </row>
    <row r="348" spans="1:36" x14ac:dyDescent="0.25">
      <c r="A348" s="8">
        <v>313</v>
      </c>
      <c r="B348" s="8" t="s">
        <v>1574</v>
      </c>
      <c r="C348" s="8">
        <v>49880</v>
      </c>
      <c r="D348" s="8" t="s">
        <v>1572</v>
      </c>
      <c r="E348" s="8" t="s">
        <v>1573</v>
      </c>
      <c r="F348" s="9">
        <v>7</v>
      </c>
      <c r="G348" s="9" t="s">
        <v>14</v>
      </c>
      <c r="H348" s="1" t="s">
        <v>2576</v>
      </c>
      <c r="I348" s="8" t="str">
        <f t="shared" si="119"/>
        <v>https://www.mindat.org/min-49880.html</v>
      </c>
      <c r="J348" s="8">
        <v>49877</v>
      </c>
      <c r="K348" s="8" t="s">
        <v>2317</v>
      </c>
      <c r="N348" s="9">
        <v>1</v>
      </c>
      <c r="O348" s="9" t="s">
        <v>2249</v>
      </c>
      <c r="R348" s="8" t="s">
        <v>1576</v>
      </c>
      <c r="S348" s="11">
        <v>44168.65824074074</v>
      </c>
      <c r="U348" s="8" t="str">
        <f t="shared" si="120"/>
        <v xml:space="preserve">&lt;etma:1:1:49880:3&gt;  rdf:type skos:Concept ;  </v>
      </c>
      <c r="V348" s="8" t="str">
        <f t="shared" si="121"/>
        <v xml:space="preserve"> dcterms:source "https://www.mindat.org/min-49880.html" ; </v>
      </c>
      <c r="W348" s="8" t="str">
        <f t="shared" si="122"/>
        <v xml:space="preserve">skos:definition "Eucrites are the most abundant type of basaltic achondrite, linked by geochemical traits such as oxygen isotopic ratios and certain elemental ratios, of which Fe/Mn is the most widely cited. The main minerals in eucrites are Fe-rich pyroxene and Na-poor plagioclase. The eucrites are strongly linked with the diogenites and howardites; the three groups are collectively known as HED meteorites and may come from asteroid 4 Vesta.  Note that the name eucrite was previously improperly applied to varieties of gabbro, usually ophitic, where the plagioclase was bytownite with both ortho- and clino-pyroxenes and olivine. An important rock type in the Tertiary complexes of Scotland, UK. This term should no longer be used as a rock name."@en ; </v>
      </c>
      <c r="X348" s="8" t="str">
        <f t="shared" si="123"/>
        <v xml:space="preserve"> skos:inScheme &lt;https://mindat.org/etmat/cscheme&gt; ;  </v>
      </c>
      <c r="Y348" s="8" t="str">
        <f t="shared" si="124"/>
        <v xml:space="preserve">skos:prefLabel "Eucrite meteorite"@en ; rdfs:label "Eucrite meteorite"@en ; </v>
      </c>
      <c r="Z348" s="8" t="str">
        <f t="shared" si="125"/>
        <v xml:space="preserve"> skos:notation  "Eucrite"@en ; </v>
      </c>
      <c r="AA348" s="8" t="str">
        <f t="shared" si="103"/>
        <v>dcterms:source "https://www.lpi.usra.edu/meteor/metbullclass.php?sea=Eucrite";</v>
      </c>
      <c r="AB348" s="8" t="str">
        <f t="shared" si="104"/>
        <v xml:space="preserve">skos:broader &lt;etma:1:1:49877:9&gt; ; </v>
      </c>
      <c r="AC348" s="8" t="str">
        <f t="shared" si="105"/>
        <v>dcterms:modified "2020-12-03T15:47";  .</v>
      </c>
      <c r="AD348" s="10" t="str">
        <f t="shared" si="107"/>
        <v>&lt;etma:1:1:49880:3&gt;  rdf:type skos:Concept ;     dcterms:source "https://www.mindat.org/min-49880.html" ;   skos:definition "Eucrites are the most abundant type of basaltic achondrite, linked by geochemical traits such as oxygen isotopic ratios and certain elemental ratios, of which Fe/Mn is the most widely cited. The main minerals in eucrites are Fe-rich pyroxene and Na-poor plagioclase. The eucrites are strongly linked with the diogenites and howardites; the three groups are collectively known as HED meteorites and may come from asteroid 4 Vesta.  Note that the name eucrite was previously improperly applied to varieties of gabbro, usually ophitic, where the plagioclase was bytownite with both ortho- and clino-pyroxenes and olivine. An important rock type in the Tertiary complexes of Scotland, UK. This term should no longer be used as a rock name."@en ;    skos:inScheme &lt;https://mindat.org/etmat/cscheme&gt; ;    skos:prefLabel "Eucrite meteorite"@en ; rdfs:label "Eucrite meteorite"@en ;    skos:notation  "Eucrite"@en ;   dcterms:source "https://www.lpi.usra.edu/meteor/metbullclass.php?sea=Eucrite";  skos:broader &lt;etma:1:1:49877:9&gt; ;   dcterms:modified "2020-12-03T15:47";  .</v>
      </c>
      <c r="AE348" s="8" t="s">
        <v>2591</v>
      </c>
    </row>
    <row r="349" spans="1:36" x14ac:dyDescent="0.25">
      <c r="A349" s="8">
        <v>314</v>
      </c>
      <c r="B349" s="8" t="s">
        <v>1579</v>
      </c>
      <c r="C349" s="8">
        <v>49881</v>
      </c>
      <c r="D349" s="8" t="s">
        <v>1577</v>
      </c>
      <c r="E349" s="8" t="s">
        <v>1578</v>
      </c>
      <c r="F349" s="9">
        <v>7</v>
      </c>
      <c r="G349" s="9" t="s">
        <v>14</v>
      </c>
      <c r="H349" s="1" t="s">
        <v>1580</v>
      </c>
      <c r="I349" s="8" t="str">
        <f t="shared" si="119"/>
        <v>https://www.mindat.org/min-49881.html</v>
      </c>
      <c r="J349" s="8">
        <v>49880</v>
      </c>
      <c r="K349" s="8" t="s">
        <v>1572</v>
      </c>
      <c r="N349" s="9">
        <v>0</v>
      </c>
      <c r="O349" s="9" t="s">
        <v>2249</v>
      </c>
      <c r="R349" s="8" t="s">
        <v>1581</v>
      </c>
      <c r="S349" s="11">
        <v>43049.483969907407</v>
      </c>
      <c r="U349" s="8" t="str">
        <f t="shared" si="120"/>
        <v xml:space="preserve">&lt;etma:1:1:49881:2&gt;  rdf:type skos:Concept ;  </v>
      </c>
      <c r="V349" s="8" t="str">
        <f t="shared" si="121"/>
        <v xml:space="preserve"> dcterms:source "https://www.mindat.org/min-49881.html" ; </v>
      </c>
      <c r="W349" s="8" t="str">
        <f t="shared" si="122"/>
        <v xml:space="preserve">skos:definition "An anomalous Eucrite."@en ; </v>
      </c>
      <c r="X349" s="8" t="str">
        <f t="shared" si="123"/>
        <v xml:space="preserve"> skos:inScheme &lt;https://mindat.org/etmat/cscheme&gt; ;  </v>
      </c>
      <c r="Y349" s="8" t="str">
        <f t="shared" si="124"/>
        <v xml:space="preserve">skos:prefLabel "Anomalous eucrite meteorite"@en ; rdfs:label "Anomalous eucrite meteorite"@en ; </v>
      </c>
      <c r="Z349" s="8" t="str">
        <f t="shared" si="125"/>
        <v xml:space="preserve"> skos:notation  "Eucrite-an"@en ; </v>
      </c>
      <c r="AA349" s="8" t="str">
        <f t="shared" si="103"/>
        <v>dcterms:source "https://www.lpi.usra.edu/meteor/metbullclass.php?sea=Eucrite-an";</v>
      </c>
      <c r="AB349" s="8" t="str">
        <f t="shared" si="104"/>
        <v xml:space="preserve">skos:broader &lt;etma:1:1:49880:3&gt; ; </v>
      </c>
      <c r="AC349" s="8" t="str">
        <f t="shared" si="105"/>
        <v>dcterms:modified "2017-11-10T11:36";  .</v>
      </c>
      <c r="AD349" s="10" t="str">
        <f t="shared" si="107"/>
        <v>&lt;etma:1:1:49881:2&gt;  rdf:type skos:Concept ;     dcterms:source "https://www.mindat.org/min-49881.html" ;   skos:definition "An anomalous Eucrite."@en ;    skos:inScheme &lt;https://mindat.org/etmat/cscheme&gt; ;    skos:prefLabel "Anomalous eucrite meteorite"@en ; rdfs:label "Anomalous eucrite meteorite"@en ;    skos:notation  "Eucrite-an"@en ;   dcterms:source "https://www.lpi.usra.edu/meteor/metbullclass.php?sea=Eucrite-an";  skos:broader &lt;etma:1:1:49880:3&gt; ;   dcterms:modified "2017-11-10T11:36";  .</v>
      </c>
      <c r="AE349" s="8" t="s">
        <v>2591</v>
      </c>
    </row>
    <row r="350" spans="1:36" x14ac:dyDescent="0.25">
      <c r="A350" s="8">
        <v>315</v>
      </c>
      <c r="B350" s="8" t="s">
        <v>1584</v>
      </c>
      <c r="C350" s="8">
        <v>49882</v>
      </c>
      <c r="D350" s="8" t="s">
        <v>1582</v>
      </c>
      <c r="E350" s="8" t="s">
        <v>1583</v>
      </c>
      <c r="F350" s="9">
        <v>7</v>
      </c>
      <c r="G350" s="9" t="s">
        <v>14</v>
      </c>
      <c r="H350" s="1" t="s">
        <v>1585</v>
      </c>
      <c r="I350" s="8" t="str">
        <f t="shared" si="119"/>
        <v>https://www.mindat.org/min-49882.html</v>
      </c>
      <c r="J350" s="8">
        <v>49880</v>
      </c>
      <c r="K350" s="8" t="s">
        <v>1572</v>
      </c>
      <c r="N350" s="9">
        <v>0</v>
      </c>
      <c r="O350" s="9" t="s">
        <v>2249</v>
      </c>
      <c r="R350" s="8" t="s">
        <v>1586</v>
      </c>
      <c r="S350" s="11">
        <v>43049.484293981484</v>
      </c>
      <c r="U350" s="8" t="str">
        <f t="shared" si="120"/>
        <v xml:space="preserve">&lt;etma:1:1:49882:1&gt;  rdf:type skos:Concept ;  </v>
      </c>
      <c r="V350" s="8" t="str">
        <f t="shared" si="121"/>
        <v xml:space="preserve"> dcterms:source "https://www.mindat.org/min-49882.html" ; </v>
      </c>
      <c r="W350" s="8" t="str">
        <f t="shared" si="122"/>
        <v xml:space="preserve">skos:definition "An achondrite from the eucrite group; the meteorite is brecciated."@en ; </v>
      </c>
      <c r="X350" s="8" t="str">
        <f t="shared" si="123"/>
        <v xml:space="preserve"> skos:inScheme &lt;https://mindat.org/etmat/cscheme&gt; ;  </v>
      </c>
      <c r="Y350" s="8" t="str">
        <f t="shared" si="124"/>
        <v xml:space="preserve">skos:prefLabel "Eucrite breccia meteorite"@en ; rdfs:label "Eucrite breccia meteorite"@en ; </v>
      </c>
      <c r="Z350" s="8" t="str">
        <f t="shared" si="125"/>
        <v xml:space="preserve"> skos:notation  "Eucrite-br"@en ; </v>
      </c>
      <c r="AA350" s="8" t="str">
        <f t="shared" si="103"/>
        <v>dcterms:source "https://www.lpi.usra.edu/meteor/metbullclass.php?sea=Eucrite-br";</v>
      </c>
      <c r="AB350" s="8" t="str">
        <f t="shared" si="104"/>
        <v xml:space="preserve">skos:broader &lt;etma:1:1:49880:3&gt; ; </v>
      </c>
      <c r="AC350" s="8" t="str">
        <f t="shared" si="105"/>
        <v>dcterms:modified "2017-11-10T11:37";  .</v>
      </c>
      <c r="AD350" s="10" t="str">
        <f t="shared" si="107"/>
        <v>&lt;etma:1:1:49882:1&gt;  rdf:type skos:Concept ;     dcterms:source "https://www.mindat.org/min-49882.html" ;   skos:definition "An achondrite from the eucrite group; the meteorite is brecciated."@en ;    skos:inScheme &lt;https://mindat.org/etmat/cscheme&gt; ;    skos:prefLabel "Eucrite breccia meteorite"@en ; rdfs:label "Eucrite breccia meteorite"@en ;    skos:notation  "Eucrite-br"@en ;   dcterms:source "https://www.lpi.usra.edu/meteor/metbullclass.php?sea=Eucrite-br";  skos:broader &lt;etma:1:1:49880:3&gt; ;   dcterms:modified "2017-11-10T11:37";  .</v>
      </c>
      <c r="AE350" s="8" t="s">
        <v>2591</v>
      </c>
    </row>
    <row r="351" spans="1:36" x14ac:dyDescent="0.25">
      <c r="A351" s="8">
        <v>316</v>
      </c>
      <c r="B351" s="8" t="s">
        <v>1589</v>
      </c>
      <c r="C351" s="8">
        <v>49883</v>
      </c>
      <c r="D351" s="8" t="s">
        <v>1587</v>
      </c>
      <c r="E351" s="8" t="s">
        <v>1588</v>
      </c>
      <c r="F351" s="9">
        <v>7</v>
      </c>
      <c r="G351" s="9" t="s">
        <v>14</v>
      </c>
      <c r="H351" s="1" t="s">
        <v>1590</v>
      </c>
      <c r="I351" s="8" t="str">
        <f t="shared" si="119"/>
        <v>https://www.mindat.org/min-49883.html</v>
      </c>
      <c r="J351" s="8">
        <v>49880</v>
      </c>
      <c r="K351" s="8" t="s">
        <v>1572</v>
      </c>
      <c r="N351" s="9">
        <v>0</v>
      </c>
      <c r="O351" s="9" t="s">
        <v>2249</v>
      </c>
      <c r="R351" s="8" t="s">
        <v>1591</v>
      </c>
      <c r="S351" s="11">
        <v>43049.48510416667</v>
      </c>
      <c r="U351" s="8" t="str">
        <f t="shared" si="120"/>
        <v xml:space="preserve">&lt;etma:1:1:49883:0&gt;  rdf:type skos:Concept ;  </v>
      </c>
      <c r="V351" s="8" t="str">
        <f t="shared" si="121"/>
        <v xml:space="preserve"> dcterms:source "https://www.mindat.org/min-49883.html" ; </v>
      </c>
      <c r="W351" s="8" t="str">
        <f t="shared" si="122"/>
        <v xml:space="preserve">skos:definition "An achondrite from the eucrite group; the meteorite is a cumulate eucrite."@en ; </v>
      </c>
      <c r="X351" s="8" t="str">
        <f t="shared" si="123"/>
        <v xml:space="preserve"> skos:inScheme &lt;https://mindat.org/etmat/cscheme&gt; ;  </v>
      </c>
      <c r="Y351" s="8" t="str">
        <f t="shared" si="124"/>
        <v xml:space="preserve">skos:prefLabel "Eucrite cumulate meteorite"@en ; rdfs:label "Eucrite cumulate meteorite"@en ; </v>
      </c>
      <c r="Z351" s="8" t="str">
        <f t="shared" si="125"/>
        <v xml:space="preserve"> skos:notation  "Eucrite-cm"@en ; </v>
      </c>
      <c r="AA351" s="8" t="str">
        <f t="shared" si="103"/>
        <v>dcterms:source "https://www.lpi.usra.edu/meteor/metbullclass.php?sea=Eucrite-cm";</v>
      </c>
      <c r="AB351" s="8" t="str">
        <f t="shared" si="104"/>
        <v xml:space="preserve">skos:broader &lt;etma:1:1:49880:3&gt; ; </v>
      </c>
      <c r="AC351" s="8" t="str">
        <f t="shared" si="105"/>
        <v>dcterms:modified "2017-11-10T11:38";  .</v>
      </c>
      <c r="AD351" s="10" t="str">
        <f t="shared" si="107"/>
        <v>&lt;etma:1:1:49883:0&gt;  rdf:type skos:Concept ;     dcterms:source "https://www.mindat.org/min-49883.html" ;   skos:definition "An achondrite from the eucrite group; the meteorite is a cumulate eucrite."@en ;    skos:inScheme &lt;https://mindat.org/etmat/cscheme&gt; ;    skos:prefLabel "Eucrite cumulate meteorite"@en ; rdfs:label "Eucrite cumulate meteorite"@en ;    skos:notation  "Eucrite-cm"@en ;   dcterms:source "https://www.lpi.usra.edu/meteor/metbullclass.php?sea=Eucrite-cm";  skos:broader &lt;etma:1:1:49880:3&gt; ;   dcterms:modified "2017-11-10T11:38";  .</v>
      </c>
      <c r="AE351" s="8" t="s">
        <v>2591</v>
      </c>
    </row>
    <row r="352" spans="1:36" x14ac:dyDescent="0.25">
      <c r="A352" s="8">
        <v>317</v>
      </c>
      <c r="B352" s="8" t="s">
        <v>1594</v>
      </c>
      <c r="C352" s="8">
        <v>49884</v>
      </c>
      <c r="D352" s="8" t="s">
        <v>1592</v>
      </c>
      <c r="E352" s="8" t="s">
        <v>1593</v>
      </c>
      <c r="F352" s="9">
        <v>7</v>
      </c>
      <c r="G352" s="9" t="s">
        <v>14</v>
      </c>
      <c r="H352" s="1" t="s">
        <v>1595</v>
      </c>
      <c r="I352" s="8" t="str">
        <f t="shared" si="119"/>
        <v>https://www.mindat.org/min-49884.html</v>
      </c>
      <c r="J352" s="8">
        <v>49880</v>
      </c>
      <c r="K352" s="8" t="s">
        <v>1572</v>
      </c>
      <c r="N352" s="9">
        <v>0</v>
      </c>
      <c r="O352" s="9" t="s">
        <v>2249</v>
      </c>
      <c r="R352" s="8" t="s">
        <v>1596</v>
      </c>
      <c r="S352" s="11">
        <v>43049.485509259262</v>
      </c>
      <c r="U352" s="8" t="str">
        <f t="shared" si="120"/>
        <v xml:space="preserve">&lt;etma:1:1:49884:9&gt;  rdf:type skos:Concept ;  </v>
      </c>
      <c r="V352" s="8" t="str">
        <f t="shared" si="121"/>
        <v xml:space="preserve"> dcterms:source "https://www.mindat.org/min-49884.html" ; </v>
      </c>
      <c r="W352" s="8" t="str">
        <f t="shared" si="122"/>
        <v xml:space="preserve">skos:definition "An eucrite that is a breccia with melted material forming the matrix and for which the petrologic type has not been determined."@en ; </v>
      </c>
      <c r="X352" s="8" t="str">
        <f t="shared" si="123"/>
        <v xml:space="preserve"> skos:inScheme &lt;https://mindat.org/etmat/cscheme&gt; ;  </v>
      </c>
      <c r="Y352" s="8" t="str">
        <f t="shared" si="124"/>
        <v xml:space="preserve">skos:prefLabel "Eucrite melt breccia meteorite"@en ; rdfs:label "Eucrite melt breccia meteorite"@en ; </v>
      </c>
      <c r="Z352" s="8" t="str">
        <f t="shared" si="125"/>
        <v xml:space="preserve"> skos:notation  "Eucrite-melt breccia"@en ; </v>
      </c>
      <c r="AA352" s="8" t="str">
        <f t="shared" si="103"/>
        <v>dcterms:source "https://www.lpi.usra.edu/meteor/metbullclass.php?sea=Eucrite-melt%20breccia";</v>
      </c>
      <c r="AB352" s="8" t="str">
        <f t="shared" si="104"/>
        <v xml:space="preserve">skos:broader &lt;etma:1:1:49880:3&gt; ; </v>
      </c>
      <c r="AC352" s="8" t="str">
        <f t="shared" si="105"/>
        <v>dcterms:modified "2017-11-10T11:39";  .</v>
      </c>
      <c r="AD352" s="10" t="str">
        <f t="shared" si="107"/>
        <v>&lt;etma:1:1:49884:9&gt;  rdf:type skos:Concept ;     dcterms:source "https://www.mindat.org/min-49884.html" ;   skos:definition "An eucrite that is a breccia with melted material forming the matrix and for which the petrologic type has not been determined."@en ;    skos:inScheme &lt;https://mindat.org/etmat/cscheme&gt; ;    skos:prefLabel "Eucrite melt breccia meteorite"@en ; rdfs:label "Eucrite melt breccia meteorite"@en ;    skos:notation  "Eucrite-melt breccia"@en ;   dcterms:source "https://www.lpi.usra.edu/meteor/metbullclass.php?sea=Eucrite-melt%20breccia";  skos:broader &lt;etma:1:1:49880:3&gt; ;   dcterms:modified "2017-11-10T11:39";  .</v>
      </c>
      <c r="AE352" s="8" t="s">
        <v>2591</v>
      </c>
    </row>
    <row r="353" spans="1:31" x14ac:dyDescent="0.25">
      <c r="A353" s="8">
        <v>318</v>
      </c>
      <c r="B353" s="8" t="s">
        <v>1599</v>
      </c>
      <c r="C353" s="8">
        <v>49885</v>
      </c>
      <c r="D353" s="8" t="s">
        <v>1597</v>
      </c>
      <c r="E353" s="8" t="s">
        <v>1598</v>
      </c>
      <c r="F353" s="9">
        <v>7</v>
      </c>
      <c r="G353" s="9" t="s">
        <v>14</v>
      </c>
      <c r="H353" s="1" t="s">
        <v>1600</v>
      </c>
      <c r="I353" s="8" t="str">
        <f t="shared" si="119"/>
        <v>https://www.mindat.org/min-49885.html</v>
      </c>
      <c r="J353" s="8">
        <v>49880</v>
      </c>
      <c r="K353" s="8" t="s">
        <v>1572</v>
      </c>
      <c r="N353" s="9">
        <v>0</v>
      </c>
      <c r="O353" s="9" t="s">
        <v>2249</v>
      </c>
      <c r="R353" s="8" t="s">
        <v>1601</v>
      </c>
      <c r="S353" s="11">
        <v>43049.485856481479</v>
      </c>
      <c r="U353" s="8" t="str">
        <f t="shared" si="120"/>
        <v xml:space="preserve">&lt;etma:1:1:49885:8&gt;  rdf:type skos:Concept ;  </v>
      </c>
      <c r="V353" s="8" t="str">
        <f t="shared" si="121"/>
        <v xml:space="preserve"> dcterms:source "https://www.mindat.org/min-49885.html" ; </v>
      </c>
      <c r="W353" s="8" t="str">
        <f t="shared" si="122"/>
        <v xml:space="preserve">skos:definition "An achondrite from the eucrite group; the meteorite is magneisum-rich."@en ; </v>
      </c>
      <c r="X353" s="8" t="str">
        <f t="shared" si="123"/>
        <v xml:space="preserve"> skos:inScheme &lt;https://mindat.org/etmat/cscheme&gt; ;  </v>
      </c>
      <c r="Y353" s="8" t="str">
        <f t="shared" si="124"/>
        <v xml:space="preserve">skos:prefLabel "Mg-rich eucrite meteorite"@en ; rdfs:label "Mg-rich eucrite meteorite"@en ; </v>
      </c>
      <c r="Z353" s="8" t="str">
        <f t="shared" si="125"/>
        <v xml:space="preserve"> skos:notation  "Eucrite-Mg rich"@en ; </v>
      </c>
      <c r="AA353" s="8" t="str">
        <f t="shared" si="103"/>
        <v>dcterms:source "https://www.lpi.usra.edu/meteor/metbullclass.php?sea=Eucrite-Mg%20rich";</v>
      </c>
      <c r="AB353" s="8" t="str">
        <f t="shared" si="104"/>
        <v xml:space="preserve">skos:broader &lt;etma:1:1:49880:3&gt; ; </v>
      </c>
      <c r="AC353" s="8" t="str">
        <f t="shared" si="105"/>
        <v>dcterms:modified "2017-11-10T11:39";  .</v>
      </c>
      <c r="AD353" s="10" t="str">
        <f t="shared" si="107"/>
        <v>&lt;etma:1:1:49885:8&gt;  rdf:type skos:Concept ;     dcterms:source "https://www.mindat.org/min-49885.html" ;   skos:definition "An achondrite from the eucrite group; the meteorite is magneisum-rich."@en ;    skos:inScheme &lt;https://mindat.org/etmat/cscheme&gt; ;    skos:prefLabel "Mg-rich eucrite meteorite"@en ; rdfs:label "Mg-rich eucrite meteorite"@en ;    skos:notation  "Eucrite-Mg rich"@en ;   dcterms:source "https://www.lpi.usra.edu/meteor/metbullclass.php?sea=Eucrite-Mg%20rich";  skos:broader &lt;etma:1:1:49880:3&gt; ;   dcterms:modified "2017-11-10T11:39";  .</v>
      </c>
      <c r="AE353" s="8" t="s">
        <v>2591</v>
      </c>
    </row>
    <row r="354" spans="1:31" x14ac:dyDescent="0.25">
      <c r="A354" s="8">
        <v>319</v>
      </c>
      <c r="B354" s="8" t="s">
        <v>1604</v>
      </c>
      <c r="C354" s="8">
        <v>49886</v>
      </c>
      <c r="D354" s="8" t="s">
        <v>1602</v>
      </c>
      <c r="E354" s="8" t="s">
        <v>1603</v>
      </c>
      <c r="F354" s="9">
        <v>7</v>
      </c>
      <c r="G354" s="9" t="s">
        <v>14</v>
      </c>
      <c r="H354" s="1" t="s">
        <v>1605</v>
      </c>
      <c r="I354" s="8" t="str">
        <f t="shared" si="119"/>
        <v>https://www.mindat.org/min-49886.html</v>
      </c>
      <c r="J354" s="8">
        <v>49882</v>
      </c>
      <c r="K354" s="8" t="s">
        <v>1582</v>
      </c>
      <c r="N354" s="9">
        <v>0</v>
      </c>
      <c r="O354" s="9" t="s">
        <v>2249</v>
      </c>
      <c r="R354" s="8" t="s">
        <v>1606</v>
      </c>
      <c r="S354" s="11">
        <v>43049.484710648147</v>
      </c>
      <c r="U354" s="8" t="str">
        <f t="shared" si="120"/>
        <v xml:space="preserve">&lt;etma:1:1:49886:7&gt;  rdf:type skos:Concept ;  </v>
      </c>
      <c r="V354" s="8" t="str">
        <f t="shared" si="121"/>
        <v xml:space="preserve"> dcterms:source "https://www.mindat.org/min-49886.html" ; </v>
      </c>
      <c r="W354" s="8" t="str">
        <f t="shared" si="122"/>
        <v xml:space="preserve">skos:definition "An achondrite from the eucrite group; the meteorite is a monomict breccia."@en ; </v>
      </c>
      <c r="X354" s="8" t="str">
        <f t="shared" si="123"/>
        <v xml:space="preserve"> skos:inScheme &lt;https://mindat.org/etmat/cscheme&gt; ;  </v>
      </c>
      <c r="Y354" s="8" t="str">
        <f t="shared" si="124"/>
        <v xml:space="preserve">skos:prefLabel "Eucrite monomict breccia meteorite"@en ; rdfs:label "Eucrite monomict breccia meteorite"@en ; </v>
      </c>
      <c r="Z354" s="8" t="str">
        <f t="shared" si="125"/>
        <v xml:space="preserve"> skos:notation  "Eucrite-mmict"@en ; </v>
      </c>
      <c r="AA354" s="8" t="str">
        <f t="shared" si="103"/>
        <v>dcterms:source "https://www.lpi.usra.edu/meteor/metbullclass.php?sea=Eucrite-mmict";</v>
      </c>
      <c r="AB354" s="8" t="str">
        <f t="shared" si="104"/>
        <v xml:space="preserve">skos:broader &lt;etma:1:1:49882:1&gt; ; </v>
      </c>
      <c r="AC354" s="8" t="str">
        <f t="shared" si="105"/>
        <v>dcterms:modified "2017-11-10T11:37";  .</v>
      </c>
      <c r="AD354" s="10" t="str">
        <f t="shared" si="107"/>
        <v>&lt;etma:1:1:49886:7&gt;  rdf:type skos:Concept ;     dcterms:source "https://www.mindat.org/min-49886.html" ;   skos:definition "An achondrite from the eucrite group; the meteorite is a monomict breccia."@en ;    skos:inScheme &lt;https://mindat.org/etmat/cscheme&gt; ;    skos:prefLabel "Eucrite monomict breccia meteorite"@en ; rdfs:label "Eucrite monomict breccia meteorite"@en ;    skos:notation  "Eucrite-mmict"@en ;   dcterms:source "https://www.lpi.usra.edu/meteor/metbullclass.php?sea=Eucrite-mmict";  skos:broader &lt;etma:1:1:49882:1&gt; ;   dcterms:modified "2017-11-10T11:37";  .</v>
      </c>
      <c r="AE354" s="8" t="s">
        <v>2591</v>
      </c>
    </row>
    <row r="355" spans="1:31" x14ac:dyDescent="0.25">
      <c r="A355" s="8">
        <v>320</v>
      </c>
      <c r="B355" s="8" t="s">
        <v>1609</v>
      </c>
      <c r="C355" s="8">
        <v>49887</v>
      </c>
      <c r="D355" s="8" t="s">
        <v>1607</v>
      </c>
      <c r="E355" s="8" t="s">
        <v>1608</v>
      </c>
      <c r="F355" s="9">
        <v>7</v>
      </c>
      <c r="G355" s="9" t="s">
        <v>14</v>
      </c>
      <c r="H355" s="1" t="s">
        <v>1610</v>
      </c>
      <c r="I355" s="8" t="str">
        <f t="shared" si="119"/>
        <v>https://www.mindat.org/min-49887.html</v>
      </c>
      <c r="J355" s="8">
        <v>49882</v>
      </c>
      <c r="K355" s="8" t="s">
        <v>1582</v>
      </c>
      <c r="N355" s="9">
        <v>0</v>
      </c>
      <c r="O355" s="9" t="s">
        <v>2249</v>
      </c>
      <c r="R355" s="8" t="s">
        <v>1611</v>
      </c>
      <c r="S355" s="11">
        <v>43049.486250000002</v>
      </c>
      <c r="U355" s="8" t="str">
        <f t="shared" si="120"/>
        <v xml:space="preserve">&lt;etma:1:1:49887:6&gt;  rdf:type skos:Concept ;  </v>
      </c>
      <c r="V355" s="8" t="str">
        <f t="shared" si="121"/>
        <v xml:space="preserve"> dcterms:source "https://www.mindat.org/min-49887.html" ; </v>
      </c>
      <c r="W355" s="8" t="str">
        <f t="shared" si="122"/>
        <v xml:space="preserve">skos:definition "An achondrite from the eucrite group; the meteorite is a polymict breccia."@en ; </v>
      </c>
      <c r="X355" s="8" t="str">
        <f t="shared" si="123"/>
        <v xml:space="preserve"> skos:inScheme &lt;https://mindat.org/etmat/cscheme&gt; ;  </v>
      </c>
      <c r="Y355" s="8" t="str">
        <f t="shared" si="124"/>
        <v xml:space="preserve">skos:prefLabel "Eucrite polymict breccia meteorite"@en ; rdfs:label "Eucrite polymict breccia meteorite"@en ; </v>
      </c>
      <c r="Z355" s="8" t="str">
        <f t="shared" si="125"/>
        <v xml:space="preserve"> skos:notation  "Eucrite-pmict"@en ; </v>
      </c>
      <c r="AA355" s="8" t="str">
        <f t="shared" si="103"/>
        <v>dcterms:source "https://www.lpi.usra.edu/meteor/metbullclass.php?sea=Eucrite-pmict";</v>
      </c>
      <c r="AB355" s="8" t="str">
        <f t="shared" si="104"/>
        <v xml:space="preserve">skos:broader &lt;etma:1:1:49882:1&gt; ; </v>
      </c>
      <c r="AC355" s="8" t="str">
        <f t="shared" si="105"/>
        <v>dcterms:modified "2017-11-10T11:40";  .</v>
      </c>
      <c r="AD355" s="10" t="str">
        <f t="shared" ref="AD341:AD404" si="126">_xlfn.TEXTJOIN("  ", TRUE, U355:AC355)</f>
        <v>&lt;etma:1:1:49887:6&gt;  rdf:type skos:Concept ;     dcterms:source "https://www.mindat.org/min-49887.html" ;   skos:definition "An achondrite from the eucrite group; the meteorite is a polymict breccia."@en ;    skos:inScheme &lt;https://mindat.org/etmat/cscheme&gt; ;    skos:prefLabel "Eucrite polymict breccia meteorite"@en ; rdfs:label "Eucrite polymict breccia meteorite"@en ;    skos:notation  "Eucrite-pmict"@en ;   dcterms:source "https://www.lpi.usra.edu/meteor/metbullclass.php?sea=Eucrite-pmict";  skos:broader &lt;etma:1:1:49882:1&gt; ;   dcterms:modified "2017-11-10T11:40";  .</v>
      </c>
      <c r="AE355" s="8" t="s">
        <v>2591</v>
      </c>
    </row>
    <row r="356" spans="1:31" x14ac:dyDescent="0.25">
      <c r="A356" s="8">
        <v>321</v>
      </c>
      <c r="B356" s="8" t="s">
        <v>1614</v>
      </c>
      <c r="C356" s="8">
        <v>49888</v>
      </c>
      <c r="D356" s="8" t="s">
        <v>1612</v>
      </c>
      <c r="E356" s="8" t="s">
        <v>1613</v>
      </c>
      <c r="F356" s="9">
        <v>7</v>
      </c>
      <c r="G356" s="9" t="s">
        <v>14</v>
      </c>
      <c r="H356" s="1" t="s">
        <v>1615</v>
      </c>
      <c r="I356" s="8" t="str">
        <f t="shared" si="119"/>
        <v>https://www.mindat.org/min-49888.html</v>
      </c>
      <c r="J356" s="8">
        <v>49880</v>
      </c>
      <c r="K356" s="8" t="s">
        <v>1572</v>
      </c>
      <c r="N356" s="9">
        <v>1</v>
      </c>
      <c r="O356" s="9" t="s">
        <v>2249</v>
      </c>
      <c r="R356" s="8" t="s">
        <v>1616</v>
      </c>
      <c r="S356" s="11">
        <v>44645.840069444443</v>
      </c>
      <c r="U356" s="8" t="str">
        <f t="shared" si="120"/>
        <v xml:space="preserve">&lt;etma:1:1:49888:5&gt;  rdf:type skos:Concept ;  </v>
      </c>
      <c r="V356" s="8" t="str">
        <f t="shared" si="121"/>
        <v xml:space="preserve"> dcterms:source "https://www.mindat.org/min-49888.html" ; </v>
      </c>
      <c r="W356" s="8" t="str">
        <f t="shared" si="122"/>
        <v xml:space="preserve">skos:definition "An achondrite from the eucrite group; the meteorite is unbrecciated."@en ; </v>
      </c>
      <c r="X356" s="8" t="str">
        <f t="shared" si="123"/>
        <v xml:space="preserve"> skos:inScheme &lt;https://mindat.org/etmat/cscheme&gt; ;  </v>
      </c>
      <c r="Y356" s="8" t="str">
        <f t="shared" si="124"/>
        <v xml:space="preserve">skos:prefLabel "Unbrecciated eucrite meteorite"@en ; rdfs:label "Unbrecciated eucrite meteorite"@en ; </v>
      </c>
      <c r="Z356" s="8" t="str">
        <f t="shared" si="125"/>
        <v xml:space="preserve"> skos:notation  "Eucrite-unbr"@en ; </v>
      </c>
      <c r="AA356" s="8" t="str">
        <f t="shared" si="103"/>
        <v>dcterms:source "https://www.lpi.usra.edu/meteor/metbullclass.php?sea=Eucrite-unbr";</v>
      </c>
      <c r="AB356" s="8" t="str">
        <f t="shared" si="104"/>
        <v xml:space="preserve">skos:broader &lt;etma:1:1:49880:3&gt; ; </v>
      </c>
      <c r="AC356" s="8" t="str">
        <f t="shared" si="105"/>
        <v>dcterms:modified "2022-03-25T20:09";  .</v>
      </c>
      <c r="AD356" s="10" t="str">
        <f t="shared" si="126"/>
        <v>&lt;etma:1:1:49888:5&gt;  rdf:type skos:Concept ;     dcterms:source "https://www.mindat.org/min-49888.html" ;   skos:definition "An achondrite from the eucrite group; the meteorite is unbrecciated."@en ;    skos:inScheme &lt;https://mindat.org/etmat/cscheme&gt; ;    skos:prefLabel "Unbrecciated eucrite meteorite"@en ; rdfs:label "Unbrecciated eucrite meteorite"@en ;    skos:notation  "Eucrite-unbr"@en ;   dcterms:source "https://www.lpi.usra.edu/meteor/metbullclass.php?sea=Eucrite-unbr";  skos:broader &lt;etma:1:1:49880:3&gt; ;   dcterms:modified "2022-03-25T20:09";  .</v>
      </c>
      <c r="AE356" s="8" t="s">
        <v>2591</v>
      </c>
    </row>
    <row r="357" spans="1:31" x14ac:dyDescent="0.25">
      <c r="A357" s="8">
        <v>322</v>
      </c>
      <c r="B357" s="8" t="s">
        <v>1619</v>
      </c>
      <c r="C357" s="8">
        <v>49889</v>
      </c>
      <c r="D357" s="8" t="s">
        <v>1617</v>
      </c>
      <c r="E357" s="8" t="s">
        <v>1618</v>
      </c>
      <c r="F357" s="9">
        <v>7</v>
      </c>
      <c r="G357" s="9" t="s">
        <v>14</v>
      </c>
      <c r="H357" s="1" t="s">
        <v>2577</v>
      </c>
      <c r="I357" s="8" t="str">
        <f t="shared" si="119"/>
        <v>https://www.mindat.org/min-49889.html</v>
      </c>
      <c r="J357" s="8">
        <v>49877</v>
      </c>
      <c r="K357" s="8" t="s">
        <v>2317</v>
      </c>
      <c r="N357" s="9">
        <v>1</v>
      </c>
      <c r="O357" s="9" t="s">
        <v>2249</v>
      </c>
      <c r="R357" s="8" t="s">
        <v>1621</v>
      </c>
      <c r="S357" s="11">
        <v>43049.753287037034</v>
      </c>
      <c r="U357" s="8" t="str">
        <f t="shared" si="120"/>
        <v xml:space="preserve">&lt;etma:1:1:49889:4&gt;  rdf:type skos:Concept ;  </v>
      </c>
      <c r="V357" s="8" t="str">
        <f t="shared" si="121"/>
        <v xml:space="preserve"> dcterms:source "https://www.mindat.org/min-49889.html" ; </v>
      </c>
      <c r="W357" s="8" t="str">
        <f t="shared" si="122"/>
        <v xml:space="preserve">skos:definition "Diogenites are an abundant type of achondrite, linked by geochemical traits such as oxygen isotopic ratios and certain elemental ratios, of which Fe/Mn is the most widely cited. The dominant mineral in diogenites is orthopyroxene. The diogenites are strongly linked with two other achondrite groups: eucrites and howardites; the three groups are collectively known as HED meteorites and may come from asteroid 4 Vesta."@en ; </v>
      </c>
      <c r="X357" s="8" t="str">
        <f t="shared" si="123"/>
        <v xml:space="preserve"> skos:inScheme &lt;https://mindat.org/etmat/cscheme&gt; ;  </v>
      </c>
      <c r="Y357" s="8" t="str">
        <f t="shared" si="124"/>
        <v xml:space="preserve">skos:prefLabel "Diogenite meteorite"@en ; rdfs:label "Diogenite meteorite"@en ; </v>
      </c>
      <c r="Z357" s="8" t="str">
        <f t="shared" si="125"/>
        <v xml:space="preserve"> skos:notation  "Diogenite"@en ; </v>
      </c>
      <c r="AA357" s="8" t="str">
        <f t="shared" si="103"/>
        <v>dcterms:source "https://www.lpi.usra.edu/meteor/metbullclass.php?sea=Diogenite";</v>
      </c>
      <c r="AB357" s="8" t="str">
        <f t="shared" si="104"/>
        <v xml:space="preserve">skos:broader &lt;etma:1:1:49877:9&gt; ; </v>
      </c>
      <c r="AC357" s="8" t="str">
        <f t="shared" si="105"/>
        <v>dcterms:modified "2017-11-10T18:04";  .</v>
      </c>
      <c r="AD357" s="10" t="str">
        <f t="shared" si="126"/>
        <v>&lt;etma:1:1:49889:4&gt;  rdf:type skos:Concept ;     dcterms:source "https://www.mindat.org/min-49889.html" ;   skos:definition "Diogenites are an abundant type of achondrite, linked by geochemical traits such as oxygen isotopic ratios and certain elemental ratios, of which Fe/Mn is the most widely cited. The dominant mineral in diogenites is orthopyroxene. The diogenites are strongly linked with two other achondrite groups: eucrites and howardites; the three groups are collectively known as HED meteorites and may come from asteroid 4 Vesta."@en ;    skos:inScheme &lt;https://mindat.org/etmat/cscheme&gt; ;    skos:prefLabel "Diogenite meteorite"@en ; rdfs:label "Diogenite meteorite"@en ;    skos:notation  "Diogenite"@en ;   dcterms:source "https://www.lpi.usra.edu/meteor/metbullclass.php?sea=Diogenite";  skos:broader &lt;etma:1:1:49877:9&gt; ;   dcterms:modified "2017-11-10T18:04";  .</v>
      </c>
      <c r="AE357" s="8" t="s">
        <v>2591</v>
      </c>
    </row>
    <row r="358" spans="1:31" x14ac:dyDescent="0.25">
      <c r="A358" s="8">
        <v>323</v>
      </c>
      <c r="B358" s="8" t="s">
        <v>1624</v>
      </c>
      <c r="C358" s="8">
        <v>49890</v>
      </c>
      <c r="D358" s="8" t="s">
        <v>1622</v>
      </c>
      <c r="E358" s="8" t="s">
        <v>1623</v>
      </c>
      <c r="F358" s="9">
        <v>7</v>
      </c>
      <c r="G358" s="9" t="s">
        <v>14</v>
      </c>
      <c r="H358" s="1" t="s">
        <v>1625</v>
      </c>
      <c r="I358" s="8" t="str">
        <f t="shared" si="119"/>
        <v>https://www.mindat.org/min-49890.html</v>
      </c>
      <c r="J358" s="8">
        <v>49889</v>
      </c>
      <c r="K358" s="8" t="s">
        <v>1617</v>
      </c>
      <c r="N358" s="9">
        <v>0</v>
      </c>
      <c r="O358" s="9" t="s">
        <v>2249</v>
      </c>
      <c r="R358" s="8" t="s">
        <v>1626</v>
      </c>
      <c r="S358" s="11">
        <v>43049.754074074073</v>
      </c>
      <c r="U358" s="8" t="str">
        <f t="shared" si="120"/>
        <v xml:space="preserve">&lt;etma:1:1:49890:0&gt;  rdf:type skos:Concept ;  </v>
      </c>
      <c r="V358" s="8" t="str">
        <f t="shared" si="121"/>
        <v xml:space="preserve"> dcterms:source "https://www.mindat.org/min-49890.html" ; </v>
      </c>
      <c r="W358" s="8" t="str">
        <f t="shared" si="122"/>
        <v xml:space="preserve">skos:definition "A diogenite which is a polymict breccia."@en ; </v>
      </c>
      <c r="X358" s="8" t="str">
        <f t="shared" si="123"/>
        <v xml:space="preserve"> skos:inScheme &lt;https://mindat.org/etmat/cscheme&gt; ;  </v>
      </c>
      <c r="Y358" s="8" t="str">
        <f t="shared" si="124"/>
        <v xml:space="preserve">skos:prefLabel "Polymict breccia diogenite meteorite"@en ; rdfs:label "Polymict breccia diogenite meteorite"@en ; </v>
      </c>
      <c r="Z358" s="8" t="str">
        <f t="shared" si="125"/>
        <v xml:space="preserve"> skos:notation  "Diogenite-pm"@en ; </v>
      </c>
      <c r="AA358" s="8" t="str">
        <f t="shared" si="103"/>
        <v>dcterms:source "https://www.lpi.usra.edu/meteor/metbullclass.php?sea=Diogenite-pm";</v>
      </c>
      <c r="AB358" s="8" t="str">
        <f t="shared" si="104"/>
        <v xml:space="preserve">skos:broader &lt;etma:1:1:49889:4&gt; ; </v>
      </c>
      <c r="AC358" s="8" t="str">
        <f t="shared" si="105"/>
        <v>dcterms:modified "2017-11-10T18:05";  .</v>
      </c>
      <c r="AD358" s="10" t="str">
        <f t="shared" si="126"/>
        <v>&lt;etma:1:1:49890:0&gt;  rdf:type skos:Concept ;     dcterms:source "https://www.mindat.org/min-49890.html" ;   skos:definition "A diogenite which is a polymict breccia."@en ;    skos:inScheme &lt;https://mindat.org/etmat/cscheme&gt; ;    skos:prefLabel "Polymict breccia diogenite meteorite"@en ; rdfs:label "Polymict breccia diogenite meteorite"@en ;    skos:notation  "Diogenite-pm"@en ;   dcterms:source "https://www.lpi.usra.edu/meteor/metbullclass.php?sea=Diogenite-pm";  skos:broader &lt;etma:1:1:49889:4&gt; ;   dcterms:modified "2017-11-10T18:05";  .</v>
      </c>
      <c r="AE358" s="8" t="s">
        <v>2591</v>
      </c>
    </row>
    <row r="359" spans="1:31" x14ac:dyDescent="0.25">
      <c r="A359" s="8">
        <v>324</v>
      </c>
      <c r="B359" s="8" t="s">
        <v>1629</v>
      </c>
      <c r="C359" s="8">
        <v>49891</v>
      </c>
      <c r="D359" s="8" t="s">
        <v>1627</v>
      </c>
      <c r="E359" s="8" t="s">
        <v>1628</v>
      </c>
      <c r="F359" s="9">
        <v>7</v>
      </c>
      <c r="G359" s="9" t="s">
        <v>14</v>
      </c>
      <c r="H359" s="1" t="s">
        <v>1630</v>
      </c>
      <c r="I359" s="8" t="str">
        <f t="shared" si="119"/>
        <v>https://www.mindat.org/min-49891.html</v>
      </c>
      <c r="J359" s="8">
        <v>49889</v>
      </c>
      <c r="K359" s="8" t="s">
        <v>1617</v>
      </c>
      <c r="N359" s="9">
        <v>0</v>
      </c>
      <c r="O359" s="9" t="s">
        <v>2249</v>
      </c>
      <c r="R359" s="8" t="s">
        <v>1631</v>
      </c>
      <c r="S359" s="11">
        <v>43049.753784722219</v>
      </c>
      <c r="U359" s="8" t="str">
        <f t="shared" si="120"/>
        <v xml:space="preserve">&lt;etma:1:1:49891:9&gt;  rdf:type skos:Concept ;  </v>
      </c>
      <c r="V359" s="8" t="str">
        <f t="shared" si="121"/>
        <v xml:space="preserve"> dcterms:source "https://www.mindat.org/min-49891.html" ; </v>
      </c>
      <c r="W359" s="8" t="str">
        <f t="shared" si="122"/>
        <v xml:space="preserve">skos:definition "A diogenite which has anomalous properties."@en ; </v>
      </c>
      <c r="X359" s="8" t="str">
        <f t="shared" si="123"/>
        <v xml:space="preserve"> skos:inScheme &lt;https://mindat.org/etmat/cscheme&gt; ;  </v>
      </c>
      <c r="Y359" s="8" t="str">
        <f t="shared" si="124"/>
        <v xml:space="preserve">skos:prefLabel "Anomalous diogenite meteorite"@en ; rdfs:label "Anomalous diogenite meteorite"@en ; </v>
      </c>
      <c r="Z359" s="8" t="str">
        <f t="shared" si="125"/>
        <v xml:space="preserve"> skos:notation  "Diogenite-an"@en ; </v>
      </c>
      <c r="AA359" s="8" t="str">
        <f t="shared" si="103"/>
        <v>dcterms:source "https://www.lpi.usra.edu/meteor/metbullclass.php?sea=Diogenite-an";</v>
      </c>
      <c r="AB359" s="8" t="str">
        <f t="shared" si="104"/>
        <v xml:space="preserve">skos:broader &lt;etma:1:1:49889:4&gt; ; </v>
      </c>
      <c r="AC359" s="8" t="str">
        <f t="shared" si="105"/>
        <v>dcterms:modified "2017-11-10T18:05";  .</v>
      </c>
      <c r="AD359" s="10" t="str">
        <f t="shared" si="126"/>
        <v>&lt;etma:1:1:49891:9&gt;  rdf:type skos:Concept ;     dcterms:source "https://www.mindat.org/min-49891.html" ;   skos:definition "A diogenite which has anomalous properties."@en ;    skos:inScheme &lt;https://mindat.org/etmat/cscheme&gt; ;    skos:prefLabel "Anomalous diogenite meteorite"@en ; rdfs:label "Anomalous diogenite meteorite"@en ;    skos:notation  "Diogenite-an"@en ;   dcterms:source "https://www.lpi.usra.edu/meteor/metbullclass.php?sea=Diogenite-an";  skos:broader &lt;etma:1:1:49889:4&gt; ;   dcterms:modified "2017-11-10T18:05";  .</v>
      </c>
      <c r="AE359" s="8" t="s">
        <v>2591</v>
      </c>
    </row>
    <row r="360" spans="1:31" hidden="1" x14ac:dyDescent="0.25">
      <c r="A360" s="8">
        <v>450</v>
      </c>
      <c r="B360" s="8" t="s">
        <v>2438</v>
      </c>
      <c r="C360" s="8">
        <v>49892</v>
      </c>
      <c r="D360" s="8" t="s">
        <v>2446</v>
      </c>
      <c r="E360" s="8" t="s">
        <v>2463</v>
      </c>
      <c r="H360" s="1" t="s">
        <v>2555</v>
      </c>
      <c r="I360" s="8" t="str">
        <f t="shared" si="119"/>
        <v>https://www.mindat.org/min-49892.html</v>
      </c>
      <c r="J360" s="8">
        <v>49889</v>
      </c>
      <c r="K360" s="8" t="s">
        <v>1617</v>
      </c>
      <c r="S360" s="11">
        <v>43049.755219907405</v>
      </c>
      <c r="U360" s="8" t="str">
        <f t="shared" si="120"/>
        <v xml:space="preserve">&lt;etma:1:1:49892:8&gt;  rdf:type skos:Concept ;  </v>
      </c>
      <c r="V360" s="8" t="str">
        <f t="shared" si="121"/>
        <v xml:space="preserve"> dcterms:source "https://www.mindat.org/min-49892.html" ; </v>
      </c>
      <c r="W360" s="8" t="str">
        <f t="shared" si="122"/>
        <v xml:space="preserve">skos:definition "A diogenite composed of ≥90 volume percent orthopyroxene."@en ; </v>
      </c>
      <c r="X360" s="8" t="str">
        <f t="shared" si="123"/>
        <v xml:space="preserve"> skos:inScheme &lt;https://mindat.org/etmat/cscheme&gt; ;  </v>
      </c>
      <c r="Y360" s="8" t="str">
        <f t="shared" si="124"/>
        <v xml:space="preserve">skos:prefLabel "Orthopyroxenitic diogenite meteorite"@en ; rdfs:label "Orthopyroxenitic diogenite meteorite"@en ; </v>
      </c>
      <c r="Z360" s="8" t="str">
        <f t="shared" si="125"/>
        <v/>
      </c>
      <c r="AA360" s="8" t="str">
        <f t="shared" si="103"/>
        <v/>
      </c>
      <c r="AB360" s="8" t="str">
        <f t="shared" si="104"/>
        <v xml:space="preserve">skos:broader &lt;etma:1:1:49889:4&gt; ; </v>
      </c>
      <c r="AC360" s="8" t="str">
        <f t="shared" si="105"/>
        <v>dcterms:modified "2017-11-10T18:07";  .</v>
      </c>
      <c r="AD360" s="10" t="str">
        <f t="shared" si="126"/>
        <v>&lt;etma:1:1:49892:8&gt;  rdf:type skos:Concept ;     dcterms:source "https://www.mindat.org/min-49892.html" ;   skos:definition "A diogenite composed of ≥90 volume percent orthopyroxene."@en ;    skos:inScheme &lt;https://mindat.org/etmat/cscheme&gt; ;    skos:prefLabel "Orthopyroxenitic diogenite meteorite"@en ; rdfs:label "Orthopyroxenitic diogenite meteorite"@en ;   skos:broader &lt;etma:1:1:49889:4&gt; ;   dcterms:modified "2017-11-10T18:07";  .</v>
      </c>
      <c r="AE360" s="8" t="s">
        <v>2591</v>
      </c>
    </row>
    <row r="361" spans="1:31" hidden="1" x14ac:dyDescent="0.25">
      <c r="A361" s="8">
        <v>446</v>
      </c>
      <c r="B361" s="8" t="s">
        <v>2439</v>
      </c>
      <c r="C361" s="8">
        <v>49893</v>
      </c>
      <c r="D361" s="8" t="s">
        <v>2445</v>
      </c>
      <c r="E361" s="8" t="s">
        <v>2465</v>
      </c>
      <c r="H361" s="1" t="s">
        <v>2556</v>
      </c>
      <c r="I361" s="8" t="str">
        <f t="shared" si="119"/>
        <v>https://www.mindat.org/min-49893.html</v>
      </c>
      <c r="J361" s="8">
        <v>49889</v>
      </c>
      <c r="K361" s="8" t="s">
        <v>1617</v>
      </c>
      <c r="S361" s="11">
        <v>43049.754976851851</v>
      </c>
      <c r="U361" s="8" t="str">
        <f t="shared" si="120"/>
        <v xml:space="preserve">&lt;etma:1:1:49893:7&gt;  rdf:type skos:Concept ;  </v>
      </c>
      <c r="V361" s="8" t="str">
        <f t="shared" si="121"/>
        <v xml:space="preserve"> dcterms:source "https://www.mindat.org/min-49893.html" ; </v>
      </c>
      <c r="W361" s="8" t="str">
        <f t="shared" si="122"/>
        <v xml:space="preserve">skos:definition "A diogenite containing 10 to 40 volume percent olivine and up to 10 volume percent plagioclase."@en ; </v>
      </c>
      <c r="X361" s="8" t="str">
        <f t="shared" si="123"/>
        <v xml:space="preserve"> skos:inScheme &lt;https://mindat.org/etmat/cscheme&gt; ;  </v>
      </c>
      <c r="Y361" s="8" t="str">
        <f t="shared" si="124"/>
        <v xml:space="preserve">skos:prefLabel "Olivine orthopyroxenitic diogenite meteorite"@en ; rdfs:label "Olivine orthopyroxenitic diogenite meteorite"@en ; </v>
      </c>
      <c r="Z361" s="8" t="str">
        <f t="shared" si="125"/>
        <v/>
      </c>
      <c r="AA361" s="8" t="str">
        <f t="shared" si="103"/>
        <v/>
      </c>
      <c r="AB361" s="8" t="str">
        <f t="shared" si="104"/>
        <v xml:space="preserve">skos:broader &lt;etma:1:1:49889:4&gt; ; </v>
      </c>
      <c r="AC361" s="8" t="str">
        <f t="shared" si="105"/>
        <v>dcterms:modified "2017-11-10T18:07";  .</v>
      </c>
      <c r="AD361" s="10" t="str">
        <f t="shared" si="126"/>
        <v>&lt;etma:1:1:49893:7&gt;  rdf:type skos:Concept ;     dcterms:source "https://www.mindat.org/min-49893.html" ;   skos:definition "A diogenite containing 10 to 40 volume percent olivine and up to 10 volume percent plagioclase."@en ;    skos:inScheme &lt;https://mindat.org/etmat/cscheme&gt; ;    skos:prefLabel "Olivine orthopyroxenitic diogenite meteorite"@en ; rdfs:label "Olivine orthopyroxenitic diogenite meteorite"@en ;   skos:broader &lt;etma:1:1:49889:4&gt; ;   dcterms:modified "2017-11-10T18:07";  .</v>
      </c>
      <c r="AE361" s="8" t="s">
        <v>2591</v>
      </c>
    </row>
    <row r="362" spans="1:31" hidden="1" x14ac:dyDescent="0.25">
      <c r="A362" s="8">
        <v>208</v>
      </c>
      <c r="B362" s="8" t="s">
        <v>2440</v>
      </c>
      <c r="C362" s="8">
        <v>49894</v>
      </c>
      <c r="D362" s="8" t="s">
        <v>2443</v>
      </c>
      <c r="E362" s="8" t="s">
        <v>2467</v>
      </c>
      <c r="H362" s="1" t="s">
        <v>2557</v>
      </c>
      <c r="I362" s="8" t="str">
        <f t="shared" si="119"/>
        <v>https://www.mindat.org/min-49894.html</v>
      </c>
      <c r="J362" s="8">
        <v>49889</v>
      </c>
      <c r="K362" s="8" t="s">
        <v>1617</v>
      </c>
      <c r="S362" s="11">
        <v>43049.754513888889</v>
      </c>
      <c r="U362" s="8" t="str">
        <f t="shared" si="120"/>
        <v xml:space="preserve">&lt;etma:1:1:49894:6&gt;  rdf:type skos:Concept ;  </v>
      </c>
      <c r="V362" s="8" t="str">
        <f t="shared" si="121"/>
        <v xml:space="preserve"> dcterms:source "https://www.mindat.org/min-49894.html" ; </v>
      </c>
      <c r="W362" s="8" t="str">
        <f t="shared" si="122"/>
        <v xml:space="preserve">skos:definition "A diogenite composed of 40-90 volume percent olivine."@en ; </v>
      </c>
      <c r="X362" s="8" t="str">
        <f t="shared" si="123"/>
        <v xml:space="preserve"> skos:inScheme &lt;https://mindat.org/etmat/cscheme&gt; ;  </v>
      </c>
      <c r="Y362" s="8" t="str">
        <f t="shared" si="124"/>
        <v xml:space="preserve">skos:prefLabel "Harzburgitic diogenite meteorite"@en ; rdfs:label "Harzburgitic diogenite meteorite"@en ; </v>
      </c>
      <c r="Z362" s="8" t="str">
        <f t="shared" si="125"/>
        <v/>
      </c>
      <c r="AA362" s="8" t="str">
        <f t="shared" si="103"/>
        <v/>
      </c>
      <c r="AB362" s="8" t="str">
        <f t="shared" si="104"/>
        <v xml:space="preserve">skos:broader &lt;etma:1:1:49889:4&gt; ; </v>
      </c>
      <c r="AC362" s="8" t="str">
        <f t="shared" si="105"/>
        <v>dcterms:modified "2017-11-10T18:06";  .</v>
      </c>
      <c r="AD362" s="10" t="str">
        <f t="shared" si="126"/>
        <v>&lt;etma:1:1:49894:6&gt;  rdf:type skos:Concept ;     dcterms:source "https://www.mindat.org/min-49894.html" ;   skos:definition "A diogenite composed of 40-90 volume percent olivine."@en ;    skos:inScheme &lt;https://mindat.org/etmat/cscheme&gt; ;    skos:prefLabel "Harzburgitic diogenite meteorite"@en ; rdfs:label "Harzburgitic diogenite meteorite"@en ;   skos:broader &lt;etma:1:1:49889:4&gt; ;   dcterms:modified "2017-11-10T18:06";  .</v>
      </c>
      <c r="AE362" s="8" t="s">
        <v>2591</v>
      </c>
    </row>
    <row r="363" spans="1:31" hidden="1" x14ac:dyDescent="0.25">
      <c r="A363" s="8">
        <v>440</v>
      </c>
      <c r="B363" s="8" t="s">
        <v>2441</v>
      </c>
      <c r="C363" s="8">
        <v>49895</v>
      </c>
      <c r="D363" s="8" t="s">
        <v>2444</v>
      </c>
      <c r="E363" s="8" t="s">
        <v>2469</v>
      </c>
      <c r="H363" s="1" t="s">
        <v>2558</v>
      </c>
      <c r="I363" s="8" t="str">
        <f t="shared" si="119"/>
        <v>https://www.mindat.org/min-49895.html</v>
      </c>
      <c r="J363" s="8">
        <v>49889</v>
      </c>
      <c r="K363" s="8" t="s">
        <v>1617</v>
      </c>
      <c r="S363" s="11">
        <v>43049.754756944443</v>
      </c>
      <c r="U363" s="8" t="str">
        <f t="shared" si="120"/>
        <v xml:space="preserve">&lt;etma:1:1:49895:5&gt;  rdf:type skos:Concept ;  </v>
      </c>
      <c r="V363" s="8" t="str">
        <f t="shared" si="121"/>
        <v xml:space="preserve"> dcterms:source "https://www.mindat.org/min-49895.html" ; </v>
      </c>
      <c r="W363" s="8" t="str">
        <f t="shared" si="122"/>
        <v xml:space="preserve">skos:definition "A pyroxene-rich diogenite with &gt;10% volume percent plagioclase."@en ; </v>
      </c>
      <c r="X363" s="8" t="str">
        <f t="shared" si="123"/>
        <v xml:space="preserve"> skos:inScheme &lt;https://mindat.org/etmat/cscheme&gt; ;  </v>
      </c>
      <c r="Y363" s="8" t="str">
        <f t="shared" si="124"/>
        <v xml:space="preserve">skos:prefLabel "Noritic diogenite meteorite"@en ; rdfs:label "Noritic diogenite meteorite"@en ; </v>
      </c>
      <c r="Z363" s="8" t="str">
        <f t="shared" si="125"/>
        <v/>
      </c>
      <c r="AA363" s="8" t="str">
        <f t="shared" si="103"/>
        <v/>
      </c>
      <c r="AB363" s="8" t="str">
        <f t="shared" si="104"/>
        <v xml:space="preserve">skos:broader &lt;etma:1:1:49889:4&gt; ; </v>
      </c>
      <c r="AC363" s="8" t="str">
        <f t="shared" si="105"/>
        <v>dcterms:modified "2017-11-10T18:06";  .</v>
      </c>
      <c r="AD363" s="10" t="str">
        <f t="shared" si="126"/>
        <v>&lt;etma:1:1:49895:5&gt;  rdf:type skos:Concept ;     dcterms:source "https://www.mindat.org/min-49895.html" ;   skos:definition "A pyroxene-rich diogenite with &gt;10% volume percent plagioclase."@en ;    skos:inScheme &lt;https://mindat.org/etmat/cscheme&gt; ;    skos:prefLabel "Noritic diogenite meteorite"@en ; rdfs:label "Noritic diogenite meteorite"@en ;   skos:broader &lt;etma:1:1:49889:4&gt; ;   dcterms:modified "2017-11-10T18:06";  .</v>
      </c>
      <c r="AE363" s="8" t="s">
        <v>2591</v>
      </c>
    </row>
    <row r="364" spans="1:31" x14ac:dyDescent="0.25">
      <c r="A364" s="8">
        <v>325</v>
      </c>
      <c r="B364" s="8" t="s">
        <v>1634</v>
      </c>
      <c r="C364" s="8">
        <v>49896</v>
      </c>
      <c r="D364" s="8" t="s">
        <v>1632</v>
      </c>
      <c r="E364" s="8" t="s">
        <v>1633</v>
      </c>
      <c r="F364" s="9">
        <v>7</v>
      </c>
      <c r="G364" s="9" t="s">
        <v>14</v>
      </c>
      <c r="H364" s="1" t="s">
        <v>2559</v>
      </c>
      <c r="I364" s="8" t="str">
        <f t="shared" si="119"/>
        <v>https://www.mindat.org/min-49896.html</v>
      </c>
      <c r="J364" s="8">
        <v>49889</v>
      </c>
      <c r="K364" s="8" t="s">
        <v>1617</v>
      </c>
      <c r="N364" s="9">
        <v>0</v>
      </c>
      <c r="O364" s="9" t="s">
        <v>2249</v>
      </c>
      <c r="R364" s="8" t="s">
        <v>1636</v>
      </c>
      <c r="S364" s="11">
        <v>43049.754259259258</v>
      </c>
      <c r="U364" s="8" t="str">
        <f t="shared" si="120"/>
        <v xml:space="preserve">&lt;etma:1:1:49896:4&gt;  rdf:type skos:Concept ;  </v>
      </c>
      <c r="V364" s="8" t="str">
        <f t="shared" si="121"/>
        <v xml:space="preserve"> dcterms:source "https://www.mindat.org/min-49896.html" ; </v>
      </c>
      <c r="W364" s="8" t="str">
        <f t="shared" si="122"/>
        <v xml:space="preserve">skos:definition "A diogenite composed of â‰¥90 volume percent olivine"@en ; </v>
      </c>
      <c r="X364" s="8" t="str">
        <f t="shared" si="123"/>
        <v xml:space="preserve"> skos:inScheme &lt;https://mindat.org/etmat/cscheme&gt; ;  </v>
      </c>
      <c r="Y364" s="8" t="str">
        <f t="shared" si="124"/>
        <v xml:space="preserve">skos:prefLabel "Dunitic diogenite meteorite"@en ; rdfs:label "Dunitic diogenite meteorite"@en ; </v>
      </c>
      <c r="Z364" s="8" t="str">
        <f t="shared" si="125"/>
        <v xml:space="preserve"> skos:notation  "Diogenite-olivine"@en ; </v>
      </c>
      <c r="AA364" s="8" t="str">
        <f t="shared" si="103"/>
        <v>dcterms:source "https://www.lpi.usra.edu/meteor/metbullclass.php?sea=Diogenite-olivine";</v>
      </c>
      <c r="AB364" s="8" t="str">
        <f t="shared" si="104"/>
        <v xml:space="preserve">skos:broader &lt;etma:1:1:49889:4&gt; ; </v>
      </c>
      <c r="AC364" s="8" t="str">
        <f t="shared" si="105"/>
        <v>dcterms:modified "2017-11-10T18:06";  .</v>
      </c>
      <c r="AD364" s="10" t="str">
        <f t="shared" si="126"/>
        <v>&lt;etma:1:1:49896:4&gt;  rdf:type skos:Concept ;     dcterms:source "https://www.mindat.org/min-49896.html" ;   skos:definition "A diogenite composed of â‰¥90 volume percent olivine"@en ;    skos:inScheme &lt;https://mindat.org/etmat/cscheme&gt; ;    skos:prefLabel "Dunitic diogenite meteorite"@en ; rdfs:label "Dunitic diogenite meteorite"@en ;    skos:notation  "Diogenite-olivine"@en ;   dcterms:source "https://www.lpi.usra.edu/meteor/metbullclass.php?sea=Diogenite-olivine";  skos:broader &lt;etma:1:1:49889:4&gt; ;   dcterms:modified "2017-11-10T18:06";  .</v>
      </c>
      <c r="AE364" s="8" t="s">
        <v>2591</v>
      </c>
    </row>
    <row r="365" spans="1:31" x14ac:dyDescent="0.25">
      <c r="A365" s="8">
        <v>326</v>
      </c>
      <c r="B365" s="8" t="s">
        <v>1639</v>
      </c>
      <c r="C365" s="8">
        <v>49898</v>
      </c>
      <c r="D365" s="8" t="s">
        <v>1637</v>
      </c>
      <c r="E365" s="8" t="s">
        <v>1638</v>
      </c>
      <c r="F365" s="9">
        <v>7</v>
      </c>
      <c r="G365" s="9" t="s">
        <v>14</v>
      </c>
      <c r="H365" s="1" t="s">
        <v>2578</v>
      </c>
      <c r="I365" s="8" t="str">
        <f t="shared" si="119"/>
        <v>https://www.mindat.org/min-49898.html</v>
      </c>
      <c r="J365" s="8">
        <v>50269</v>
      </c>
      <c r="K365" s="8" t="s">
        <v>2260</v>
      </c>
      <c r="L365" s="9">
        <v>49963</v>
      </c>
      <c r="M365" s="8" t="s">
        <v>2432</v>
      </c>
      <c r="N365" s="9">
        <v>1</v>
      </c>
      <c r="O365" s="9" t="s">
        <v>2249</v>
      </c>
      <c r="R365" s="8" t="s">
        <v>1641</v>
      </c>
      <c r="S365" s="11">
        <v>44777.010497685187</v>
      </c>
      <c r="U365" s="8" t="str">
        <f t="shared" si="120"/>
        <v xml:space="preserve">&lt;etma:1:1:49898:2&gt;  rdf:type skos:Concept ;  </v>
      </c>
      <c r="V365" s="8" t="str">
        <f t="shared" si="121"/>
        <v xml:space="preserve"> dcterms:source "https://www.mindat.org/min-49898.html" ; </v>
      </c>
      <c r="W365" s="8" t="str">
        <f t="shared" si="122"/>
        <v xml:space="preserve">skos:definition "A stony-iron meteorite composed essentially of large single glassy crystals of olivine (forsterite) embedded in a network of nickel-iron, with accessory troilite, chromite, phosphide, various phosphate minerals, and sometimes pyroxene. Pallasites are believed to have been formed at the interface of the stony mantle and metal core of layered planetoids. For a long time, pallasites have been divided into two groups, Main Group (MGP) and the Eagle Station grouplet (PES), based on their oxygen isotopic signatures and forsterite compositions. However, with the new millennium came not only new pallasite samples, but new pallasite subtypes. Thus, in only a few years, the number of pallasite parent bodies has increased from two to five isotopically and/or mineralogically distinct objects, with Scott (2007) suggesting as many as seven."@en ; </v>
      </c>
      <c r="X365" s="8" t="str">
        <f t="shared" si="123"/>
        <v xml:space="preserve"> skos:inScheme &lt;https://mindat.org/etmat/cscheme&gt; ;  </v>
      </c>
      <c r="Y365" s="8" t="str">
        <f t="shared" si="124"/>
        <v xml:space="preserve">skos:prefLabel "Pallasite meteorite"@en ; rdfs:label "Pallasite meteorite"@en ; </v>
      </c>
      <c r="Z365" s="8" t="str">
        <f t="shared" si="125"/>
        <v xml:space="preserve"> skos:notation  "Pallasite"@en ; </v>
      </c>
      <c r="AA365" s="8" t="str">
        <f t="shared" si="103"/>
        <v>dcterms:source "https://www.lpi.usra.edu/meteor/metbullclass.php?sea=Pallasite";</v>
      </c>
      <c r="AB365" s="8" t="str">
        <f t="shared" si="104"/>
        <v xml:space="preserve">skos:broader &lt;etma:1:1:50269:2&gt;, &lt;etma:1:1:49963:5&gt; ; </v>
      </c>
      <c r="AC365" s="8" t="str">
        <f t="shared" si="105"/>
        <v>dcterms:modified "2022-08-04T00:15";  .</v>
      </c>
      <c r="AD365" s="10" t="str">
        <f t="shared" si="126"/>
        <v>&lt;etma:1:1:49898:2&gt;  rdf:type skos:Concept ;     dcterms:source "https://www.mindat.org/min-49898.html" ;   skos:definition "A stony-iron meteorite composed essentially of large single glassy crystals of olivine (forsterite) embedded in a network of nickel-iron, with accessory troilite, chromite, phosphide, various phosphate minerals, and sometimes pyroxene. Pallasites are believed to have been formed at the interface of the stony mantle and metal core of layered planetoids. For a long time, pallasites have been divided into two groups, Main Group (MGP) and the Eagle Station grouplet (PES), based on their oxygen isotopic signatures and forsterite compositions. However, with the new millennium came not only new pallasite samples, but new pallasite subtypes. Thus, in only a few years, the number of pallasite parent bodies has increased from two to five isotopically and/or mineralogically distinct objects, with Scott (2007) suggesting as many as seven."@en ;    skos:inScheme &lt;https://mindat.org/etmat/cscheme&gt; ;    skos:prefLabel "Pallasite meteorite"@en ; rdfs:label "Pallasite meteorite"@en ;    skos:notation  "Pallasite"@en ;   dcterms:source "https://www.lpi.usra.edu/meteor/metbullclass.php?sea=Pallasite";  skos:broader &lt;etma:1:1:50269:2&gt;, &lt;etma:1:1:49963:5&gt; ;   dcterms:modified "2022-08-04T00:15";  .</v>
      </c>
      <c r="AE365" s="8" t="s">
        <v>2591</v>
      </c>
    </row>
    <row r="366" spans="1:31" x14ac:dyDescent="0.25">
      <c r="A366" s="8">
        <v>327</v>
      </c>
      <c r="B366" s="8" t="s">
        <v>1644</v>
      </c>
      <c r="C366" s="8">
        <v>49899</v>
      </c>
      <c r="D366" s="8" t="s">
        <v>1642</v>
      </c>
      <c r="E366" s="8" t="s">
        <v>1643</v>
      </c>
      <c r="F366" s="9">
        <v>7</v>
      </c>
      <c r="G366" s="9" t="s">
        <v>14</v>
      </c>
      <c r="H366" s="1" t="s">
        <v>2579</v>
      </c>
      <c r="I366" s="8" t="str">
        <f t="shared" si="119"/>
        <v>https://www.mindat.org/min-49899.html</v>
      </c>
      <c r="J366" s="8">
        <v>49898</v>
      </c>
      <c r="K366" s="8" t="s">
        <v>1637</v>
      </c>
      <c r="N366" s="9">
        <v>1</v>
      </c>
      <c r="O366" s="9" t="s">
        <v>2249</v>
      </c>
      <c r="R366" s="8" t="s">
        <v>1646</v>
      </c>
      <c r="S366" s="11">
        <v>44777.005833333336</v>
      </c>
      <c r="U366" s="8" t="str">
        <f t="shared" si="120"/>
        <v xml:space="preserve">&lt;etma:1:1:49899:1&gt;  rdf:type skos:Concept ;  </v>
      </c>
      <c r="V366" s="8" t="str">
        <f t="shared" si="121"/>
        <v xml:space="preserve"> dcterms:source "https://www.mindat.org/min-49899.html" ; </v>
      </c>
      <c r="W366" s="8" t="str">
        <f t="shared" si="122"/>
        <v xml:space="preserve">skos:definition "A pallasite belonging to the main chemical group. Metal compositions in all PMG are closely related to those in evolved IIIAB irons, and are generally consistent with their formation in the IIIAB parent asteroid. The O-isotope composition of their olivine (forsterite) is a main parameter to separate the main-group pallasites (PMG) and Eagle-Station pallasites (PES). The mean PMG delta 17O (=delta17O- 0.52·delta 18O) value is -0.28 +/- 0.06 per mil. The mean PES delta17O value is much lower, about -4.6 per mil. The major mineral assemblages of most PMG are quite simple, consisting of troilite and schreibersite in addition to olivine (forsterite), kamacite and taenite; olivine Fa values range from 11 to 18 mole percent , with  greater than 80 percent of the values in the range 11.6–13.5 mole percent (Buseck and Goldstein, 1969). Zaisho (Fa18.3) has the highest Fa among PMG (Buseck and Clark, 1984). In addition, several characteristic minor minerals have been reported. Chromite is relatively abundant; some grains have euhedral shapes and seem to have crystallised from a melt (Buseck, 1977). A few chromites are quite massive; a large (10-cm) chromite-olivine assemblage in Brenham was described in detail by Wasson et al. (1999). Phosphates are minor phases in all PMG (common only in Springwater); the identified phosphates are farringtonite, stanfieldite, and merrillite (Buseck and Holdsworth, 1977). Phosphoran olivine is rare in most pallasites but minor amounts may be ubiquitous in the more oxidized PMG (Buseck, 1977; Buseck and Clark, 1984). Low-Ca pyroxene is a rare accessory phase (Buseck, 1977). Some PMG are assigned to an anomalous subset (PMG-an) because of their anomalous properties (deviant metal compositions or appreciably higher olivine Fa contents)."@en ; </v>
      </c>
      <c r="X366" s="8" t="str">
        <f t="shared" si="123"/>
        <v xml:space="preserve"> skos:inScheme &lt;https://mindat.org/etmat/cscheme&gt; ;  </v>
      </c>
      <c r="Y366" s="8" t="str">
        <f t="shared" si="124"/>
        <v xml:space="preserve">skos:prefLabel "PMG pallasite meteorite"@en ; rdfs:label "PMG pallasite meteorite"@en ; </v>
      </c>
      <c r="Z366" s="8" t="str">
        <f t="shared" si="125"/>
        <v xml:space="preserve"> skos:notation  "Pallasite, PMG"@en ; </v>
      </c>
      <c r="AA366" s="8" t="str">
        <f t="shared" si="103"/>
        <v>dcterms:source "https://www.lpi.usra.edu/meteor/metbullclass.php?sea=Pallasite,%20PMG";</v>
      </c>
      <c r="AB366" s="8" t="str">
        <f t="shared" si="104"/>
        <v xml:space="preserve">skos:broader &lt;etma:1:1:49898:2&gt; ; </v>
      </c>
      <c r="AC366" s="8" t="str">
        <f t="shared" si="105"/>
        <v>dcterms:modified "2022-08-04T00:08";  .</v>
      </c>
      <c r="AD366" s="10" t="str">
        <f t="shared" si="126"/>
        <v>&lt;etma:1:1:49899:1&gt;  rdf:type skos:Concept ;     dcterms:source "https://www.mindat.org/min-49899.html" ;   skos:definition "A pallasite belonging to the main chemical group. Metal compositions in all PMG are closely related to those in evolved IIIAB irons, and are generally consistent with their formation in the IIIAB parent asteroid. The O-isotope composition of their olivine (forsterite) is a main parameter to separate the main-group pallasites (PMG) and Eagle-Station pallasites (PES). The mean PMG delta 17O (=delta17O- 0.52·delta 18O) value is -0.28 +/- 0.06 per mil. The mean PES delta17O value is much lower, about -4.6 per mil. The major mineral assemblages of most PMG are quite simple, consisting of troilite and schreibersite in addition to olivine (forsterite), kamacite and taenite; olivine Fa values range from 11 to 18 mole percent , with  greater than 80 percent of the values in the range 11.6–13.5 mole percent (Buseck and Goldstein, 1969). Zaisho (Fa18.3) has the highest Fa among PMG (Buseck and Clark, 1984). In addition, several characteristic minor minerals have been reported. Chromite is relatively abundant; some grains have euhedral shapes and seem to have crystallised from a melt (Buseck, 1977). A few chromites are quite massive; a large (10-cm) chromite-olivine assemblage in Brenham was described in detail by Wasson et al. (1999). Phosphates are minor phases in all PMG (common only in Springwater); the identified phosphates are farringtonite, stanfieldite, and merrillite (Buseck and Holdsworth, 1977). Phosphoran olivine is rare in most pallasites but minor amounts may be ubiquitous in the more oxidized PMG (Buseck, 1977; Buseck and Clark, 1984). Low-Ca pyroxene is a rare accessory phase (Buseck, 1977). Some PMG are assigned to an anomalous subset (PMG-an) because of their anomalous properties (deviant metal compositions or appreciably higher olivine Fa contents)."@en ;    skos:inScheme &lt;https://mindat.org/etmat/cscheme&gt; ;    skos:prefLabel "PMG pallasite meteorite"@en ; rdfs:label "PMG pallasite meteorite"@en ;    skos:notation  "Pallasite, PMG"@en ;   dcterms:source "https://www.lpi.usra.edu/meteor/metbullclass.php?sea=Pallasite,%20PMG";  skos:broader &lt;etma:1:1:49898:2&gt; ;   dcterms:modified "2022-08-04T00:08";  .</v>
      </c>
      <c r="AE366" s="8" t="s">
        <v>2591</v>
      </c>
    </row>
    <row r="367" spans="1:31" x14ac:dyDescent="0.25">
      <c r="A367" s="8">
        <v>328</v>
      </c>
      <c r="B367" s="8" t="s">
        <v>1649</v>
      </c>
      <c r="C367" s="8">
        <v>49901</v>
      </c>
      <c r="D367" s="8" t="s">
        <v>1647</v>
      </c>
      <c r="E367" s="8" t="s">
        <v>1648</v>
      </c>
      <c r="F367" s="9">
        <v>7</v>
      </c>
      <c r="G367" s="9" t="s">
        <v>14</v>
      </c>
      <c r="H367" s="1" t="s">
        <v>1650</v>
      </c>
      <c r="I367" s="8" t="str">
        <f t="shared" si="119"/>
        <v>https://www.mindat.org/min-49901.html</v>
      </c>
      <c r="J367" s="8">
        <v>49899</v>
      </c>
      <c r="K367" s="8" t="s">
        <v>1642</v>
      </c>
      <c r="N367" s="9">
        <v>0</v>
      </c>
      <c r="O367" s="9" t="s">
        <v>2249</v>
      </c>
      <c r="R367" s="8" t="s">
        <v>1651</v>
      </c>
      <c r="S367" s="11">
        <v>44776.661585648151</v>
      </c>
      <c r="U367" s="8" t="str">
        <f t="shared" si="120"/>
        <v xml:space="preserve">&lt;etma:1:1:49901:5&gt;  rdf:type skos:Concept ;  </v>
      </c>
      <c r="V367" s="8" t="str">
        <f t="shared" si="121"/>
        <v xml:space="preserve"> dcterms:source "https://www.mindat.org/min-49901.html" ; </v>
      </c>
      <c r="W367" s="8" t="str">
        <f t="shared" si="122"/>
        <v xml:space="preserve">skos:definition "A PMG pallasite with anomalous properties (deviant metal composition or appreciably higher olivine Fa content)."@en ; </v>
      </c>
      <c r="X367" s="8" t="str">
        <f t="shared" si="123"/>
        <v xml:space="preserve"> skos:inScheme &lt;https://mindat.org/etmat/cscheme&gt; ;  </v>
      </c>
      <c r="Y367" s="8" t="str">
        <f t="shared" si="124"/>
        <v xml:space="preserve">skos:prefLabel "Anomalous PMG pallasite meteorite"@en ; rdfs:label "Anomalous PMG pallasite meteorite"@en ; </v>
      </c>
      <c r="Z367" s="8" t="str">
        <f t="shared" si="125"/>
        <v xml:space="preserve"> skos:notation  "Pallasite, PMG-an"@en ; </v>
      </c>
      <c r="AA367" s="8" t="str">
        <f t="shared" si="103"/>
        <v>dcterms:source "https://www.lpi.usra.edu/meteor/metbullclass.php?sea=Pallasite,%20PMG-an";</v>
      </c>
      <c r="AB367" s="8" t="str">
        <f t="shared" si="104"/>
        <v xml:space="preserve">skos:broader &lt;etma:1:1:49899:1&gt; ; </v>
      </c>
      <c r="AC367" s="8" t="str">
        <f t="shared" si="105"/>
        <v>dcterms:modified "2022-08-03T15:52";  .</v>
      </c>
      <c r="AD367" s="10" t="str">
        <f t="shared" si="126"/>
        <v>&lt;etma:1:1:49901:5&gt;  rdf:type skos:Concept ;     dcterms:source "https://www.mindat.org/min-49901.html" ;   skos:definition "A PMG pallasite with anomalous properties (deviant metal composition or appreciably higher olivine Fa content)."@en ;    skos:inScheme &lt;https://mindat.org/etmat/cscheme&gt; ;    skos:prefLabel "Anomalous PMG pallasite meteorite"@en ; rdfs:label "Anomalous PMG pallasite meteorite"@en ;    skos:notation  "Pallasite, PMG-an"@en ;   dcterms:source "https://www.lpi.usra.edu/meteor/metbullclass.php?sea=Pallasite,%20PMG-an";  skos:broader &lt;etma:1:1:49899:1&gt; ;   dcterms:modified "2022-08-03T15:52";  .</v>
      </c>
      <c r="AE367" s="8" t="s">
        <v>2591</v>
      </c>
    </row>
    <row r="368" spans="1:31" x14ac:dyDescent="0.25">
      <c r="A368" s="8">
        <v>329</v>
      </c>
      <c r="B368" s="8" t="s">
        <v>1654</v>
      </c>
      <c r="C368" s="8">
        <v>49902</v>
      </c>
      <c r="D368" s="8" t="s">
        <v>1652</v>
      </c>
      <c r="E368" s="8" t="s">
        <v>1653</v>
      </c>
      <c r="F368" s="9">
        <v>7</v>
      </c>
      <c r="G368" s="9" t="s">
        <v>14</v>
      </c>
      <c r="H368" s="1" t="s">
        <v>2580</v>
      </c>
      <c r="I368" s="8" t="str">
        <f t="shared" si="119"/>
        <v>https://www.mindat.org/min-49902.html</v>
      </c>
      <c r="J368" s="8">
        <v>49898</v>
      </c>
      <c r="K368" s="8" t="s">
        <v>1637</v>
      </c>
      <c r="N368" s="9">
        <v>1</v>
      </c>
      <c r="O368" s="9" t="s">
        <v>2249</v>
      </c>
      <c r="R368" s="8" t="s">
        <v>1656</v>
      </c>
      <c r="S368" s="11">
        <v>44777.009629629632</v>
      </c>
      <c r="U368" s="8" t="str">
        <f t="shared" si="120"/>
        <v xml:space="preserve">&lt;etma:1:1:49902:4&gt;  rdf:type skos:Concept ;  </v>
      </c>
      <c r="V368" s="8" t="str">
        <f t="shared" si="121"/>
        <v xml:space="preserve"> dcterms:source "https://www.mindat.org/min-49902.html" ; </v>
      </c>
      <c r="W368" s="8" t="str">
        <f t="shared" si="122"/>
        <v xml:space="preserve">skos:definition "A grouplet named for a pallasite that was found near Eagle Station, Kentucky, in 1880. They all contain highly fragmented olivines, intermixed with small, irregular olivine splinters, in a nickel-iron matrix. Although their mineral assemblage is similar to PMG pallasites, they have different metal and olivine (forsterite) compositions. In fact, the mean Ni content of the metal is higher, and olivine Fa contents are slightly higher (about Fa20) than those in the Zaisho (Fa18.3), which has the highest Fa among PMG. The O-isotope composition of their olivine (forsterite) is a main parameter to separate the Eagle-Station pallasites (PES) and main-group pallasites (PMG). The mean PMG delta 17O (= delta17O-0.52·delta18O) value is -0.28 +/- 0.06 per mil. The mean PES delta 17O value is much lower, about -4.6 per mil."@en ; </v>
      </c>
      <c r="X368" s="8" t="str">
        <f t="shared" si="123"/>
        <v xml:space="preserve"> skos:inScheme &lt;https://mindat.org/etmat/cscheme&gt; ;  </v>
      </c>
      <c r="Y368" s="8" t="str">
        <f t="shared" si="124"/>
        <v xml:space="preserve">skos:prefLabel "PES pallasite meteorite"@en ; rdfs:label "PES pallasite meteorite"@en ; </v>
      </c>
      <c r="Z368" s="8" t="str">
        <f t="shared" si="125"/>
        <v xml:space="preserve"> skos:notation  "Pallasite, PES"@en ; </v>
      </c>
      <c r="AA368" s="8" t="str">
        <f t="shared" si="103"/>
        <v>dcterms:source "https://www.lpi.usra.edu/meteor/metbullclass.php?sea=Pallasite,%20PES";</v>
      </c>
      <c r="AB368" s="8" t="str">
        <f t="shared" si="104"/>
        <v xml:space="preserve">skos:broader &lt;etma:1:1:49898:2&gt; ; </v>
      </c>
      <c r="AC368" s="8" t="str">
        <f t="shared" si="105"/>
        <v>dcterms:modified "2022-08-04T00:13";  .</v>
      </c>
      <c r="AD368" s="10" t="str">
        <f t="shared" si="126"/>
        <v>&lt;etma:1:1:49902:4&gt;  rdf:type skos:Concept ;     dcterms:source "https://www.mindat.org/min-49902.html" ;   skos:definition "A grouplet named for a pallasite that was found near Eagle Station, Kentucky, in 1880. They all contain highly fragmented olivines, intermixed with small, irregular olivine splinters, in a nickel-iron matrix. Although their mineral assemblage is similar to PMG pallasites, they have different metal and olivine (forsterite) compositions. In fact, the mean Ni content of the metal is higher, and olivine Fa contents are slightly higher (about Fa20) than those in the Zaisho (Fa18.3), which has the highest Fa among PMG. The O-isotope composition of their olivine (forsterite) is a main parameter to separate the Eagle-Station pallasites (PES) and main-group pallasites (PMG). The mean PMG delta 17O (= delta17O-0.52·delta18O) value is -0.28 +/- 0.06 per mil. The mean PES delta 17O value is much lower, about -4.6 per mil."@en ;    skos:inScheme &lt;https://mindat.org/etmat/cscheme&gt; ;    skos:prefLabel "PES pallasite meteorite"@en ; rdfs:label "PES pallasite meteorite"@en ;    skos:notation  "Pallasite, PES"@en ;   dcterms:source "https://www.lpi.usra.edu/meteor/metbullclass.php?sea=Pallasite,%20PES";  skos:broader &lt;etma:1:1:49898:2&gt; ;   dcterms:modified "2022-08-04T00:13";  .</v>
      </c>
      <c r="AE368" s="8" t="s">
        <v>2591</v>
      </c>
    </row>
    <row r="369" spans="1:31" hidden="1" x14ac:dyDescent="0.25">
      <c r="A369" s="8">
        <v>23</v>
      </c>
      <c r="B369" s="8" t="s">
        <v>2420</v>
      </c>
      <c r="C369" s="8">
        <v>49904</v>
      </c>
      <c r="D369" s="8" t="s">
        <v>2421</v>
      </c>
      <c r="E369" s="8" t="s">
        <v>2422</v>
      </c>
      <c r="F369" s="9">
        <v>7</v>
      </c>
      <c r="G369" s="9" t="s">
        <v>14</v>
      </c>
      <c r="H369" s="1" t="s">
        <v>2423</v>
      </c>
      <c r="I369" s="8" t="str">
        <f t="shared" si="119"/>
        <v>https://www.mindat.org/min-49904.html</v>
      </c>
      <c r="J369" s="8">
        <v>49898</v>
      </c>
      <c r="K369" s="8" t="s">
        <v>1637</v>
      </c>
      <c r="N369" s="9">
        <v>1</v>
      </c>
      <c r="S369" s="11">
        <v>43049.784490740742</v>
      </c>
      <c r="U369" s="8" t="str">
        <f t="shared" si="120"/>
        <v xml:space="preserve">&lt;etma:1:1:49904:2&gt;  rdf:type skos:Concept ;  </v>
      </c>
      <c r="V369" s="8" t="str">
        <f t="shared" si="121"/>
        <v xml:space="preserve"> dcterms:source "https://www.mindat.org/min-49904.html" ; </v>
      </c>
      <c r="W369" s="8" t="str">
        <f t="shared" si="122"/>
        <v xml:space="preserve">skos:definition "A pallasite containing pyroxene as inclusions in the olivine crystals, as large grains in the nickel-iron matrix and as grains bordering the olivines."@en ; </v>
      </c>
      <c r="X369" s="8" t="str">
        <f t="shared" si="123"/>
        <v xml:space="preserve"> skos:inScheme &lt;https://mindat.org/etmat/cscheme&gt; ;  </v>
      </c>
      <c r="Y369" s="8" t="str">
        <f t="shared" si="124"/>
        <v xml:space="preserve">skos:prefLabel "Pyroxene pallasite meteorite"@en ; rdfs:label "Pyroxene pallasite meteorite"@en ; </v>
      </c>
      <c r="Z369" s="8" t="str">
        <f t="shared" si="125"/>
        <v/>
      </c>
      <c r="AA369" s="8" t="str">
        <f t="shared" si="103"/>
        <v/>
      </c>
      <c r="AB369" s="8" t="str">
        <f t="shared" si="104"/>
        <v xml:space="preserve">skos:broader &lt;etma:1:1:49898:2&gt; ; </v>
      </c>
      <c r="AC369" s="8" t="str">
        <f t="shared" si="105"/>
        <v>dcterms:modified "2017-11-10T18:49";  .</v>
      </c>
      <c r="AD369" s="10" t="str">
        <f t="shared" si="126"/>
        <v>&lt;etma:1:1:49904:2&gt;  rdf:type skos:Concept ;     dcterms:source "https://www.mindat.org/min-49904.html" ;   skos:definition "A pallasite containing pyroxene as inclusions in the olivine crystals, as large grains in the nickel-iron matrix and as grains bordering the olivines."@en ;    skos:inScheme &lt;https://mindat.org/etmat/cscheme&gt; ;    skos:prefLabel "Pyroxene pallasite meteorite"@en ; rdfs:label "Pyroxene pallasite meteorite"@en ;   skos:broader &lt;etma:1:1:49898:2&gt; ;   dcterms:modified "2017-11-10T18:49";  .</v>
      </c>
      <c r="AE369" s="8" t="s">
        <v>2591</v>
      </c>
    </row>
    <row r="370" spans="1:31" x14ac:dyDescent="0.25">
      <c r="A370" s="8">
        <v>330</v>
      </c>
      <c r="B370" s="8" t="s">
        <v>1659</v>
      </c>
      <c r="C370" s="8">
        <v>49905</v>
      </c>
      <c r="D370" s="8" t="s">
        <v>1657</v>
      </c>
      <c r="E370" s="8" t="s">
        <v>1658</v>
      </c>
      <c r="F370" s="9">
        <v>7</v>
      </c>
      <c r="G370" s="9" t="s">
        <v>14</v>
      </c>
      <c r="H370" s="1" t="s">
        <v>1660</v>
      </c>
      <c r="I370" s="8" t="str">
        <f t="shared" si="119"/>
        <v>https://www.mindat.org/min-49905.html</v>
      </c>
      <c r="J370" s="8">
        <v>50269</v>
      </c>
      <c r="K370" s="8" t="s">
        <v>2260</v>
      </c>
      <c r="L370" s="9">
        <v>49960</v>
      </c>
      <c r="M370" s="8" t="s">
        <v>1887</v>
      </c>
      <c r="N370" s="9">
        <v>1</v>
      </c>
      <c r="O370" s="9" t="s">
        <v>2249</v>
      </c>
      <c r="R370" s="8" t="s">
        <v>1661</v>
      </c>
      <c r="S370" s="11">
        <v>43049.775370370371</v>
      </c>
      <c r="U370" s="8" t="str">
        <f t="shared" si="120"/>
        <v xml:space="preserve">&lt;etma:1:1:49905:1&gt;  rdf:type skos:Concept ;  </v>
      </c>
      <c r="V370" s="8" t="str">
        <f t="shared" si="121"/>
        <v xml:space="preserve"> dcterms:source "https://www.mindat.org/min-49905.html" ; </v>
      </c>
      <c r="W370" s="8" t="str">
        <f t="shared" si="122"/>
        <v xml:space="preserve">skos:definition "A brecciated meteorite containing subequal silicate (mostly igneous rock fragments) and metallic components."@en ; </v>
      </c>
      <c r="X370" s="8" t="str">
        <f t="shared" si="123"/>
        <v xml:space="preserve"> skos:inScheme &lt;https://mindat.org/etmat/cscheme&gt; ;  </v>
      </c>
      <c r="Y370" s="8" t="str">
        <f t="shared" si="124"/>
        <v xml:space="preserve">skos:prefLabel "Mesosiderite meteorite"@en ; rdfs:label "Mesosiderite meteorite"@en ; </v>
      </c>
      <c r="Z370" s="8" t="str">
        <f t="shared" si="125"/>
        <v xml:space="preserve"> skos:notation  "Mesosiderite"@en ; </v>
      </c>
      <c r="AA370" s="8" t="str">
        <f t="shared" si="103"/>
        <v>dcterms:source "https://www.lpi.usra.edu/meteor/metbullclass.php?sea=Mesosiderite";</v>
      </c>
      <c r="AB370" s="8" t="str">
        <f t="shared" si="104"/>
        <v xml:space="preserve">skos:broader &lt;etma:1:1:50269:2&gt;, &lt;etma:1:1:49960:8&gt; ; </v>
      </c>
      <c r="AC370" s="8" t="str">
        <f t="shared" si="105"/>
        <v>dcterms:modified "2017-11-10T18:36";  .</v>
      </c>
      <c r="AD370" s="10" t="str">
        <f t="shared" si="126"/>
        <v>&lt;etma:1:1:49905:1&gt;  rdf:type skos:Concept ;     dcterms:source "https://www.mindat.org/min-49905.html" ;   skos:definition "A brecciated meteorite containing subequal silicate (mostly igneous rock fragments) and metallic components."@en ;    skos:inScheme &lt;https://mindat.org/etmat/cscheme&gt; ;    skos:prefLabel "Mesosiderite meteorite"@en ; rdfs:label "Mesosiderite meteorite"@en ;    skos:notation  "Mesosiderite"@en ;   dcterms:source "https://www.lpi.usra.edu/meteor/metbullclass.php?sea=Mesosiderite";  skos:broader &lt;etma:1:1:50269:2&gt;, &lt;etma:1:1:49960:8&gt; ;   dcterms:modified "2017-11-10T18:36";  .</v>
      </c>
      <c r="AE370" s="8" t="s">
        <v>2591</v>
      </c>
    </row>
    <row r="371" spans="1:31" x14ac:dyDescent="0.25">
      <c r="A371" s="8">
        <v>331</v>
      </c>
      <c r="B371" s="8" t="s">
        <v>1664</v>
      </c>
      <c r="C371" s="8">
        <v>49906</v>
      </c>
      <c r="D371" s="8" t="s">
        <v>1662</v>
      </c>
      <c r="E371" s="8" t="s">
        <v>1663</v>
      </c>
      <c r="F371" s="9">
        <v>7</v>
      </c>
      <c r="G371" s="9" t="s">
        <v>14</v>
      </c>
      <c r="H371" s="1" t="s">
        <v>1665</v>
      </c>
      <c r="I371" s="8" t="str">
        <f t="shared" si="119"/>
        <v>https://www.mindat.org/min-49906.html</v>
      </c>
      <c r="J371" s="8">
        <v>49905</v>
      </c>
      <c r="K371" s="8" t="s">
        <v>1657</v>
      </c>
      <c r="N371" s="9">
        <v>1</v>
      </c>
      <c r="O371" s="9" t="s">
        <v>2249</v>
      </c>
      <c r="R371" s="8" t="s">
        <v>1666</v>
      </c>
      <c r="S371" s="11">
        <v>43049.77553240741</v>
      </c>
      <c r="U371" s="8" t="str">
        <f t="shared" si="120"/>
        <v xml:space="preserve">&lt;etma:1:1:49906:0&gt;  rdf:type skos:Concept ;  </v>
      </c>
      <c r="V371" s="8" t="str">
        <f t="shared" si="121"/>
        <v xml:space="preserve"> dcterms:source "https://www.mindat.org/min-49906.html" ; </v>
      </c>
      <c r="W371" s="8" t="str">
        <f t="shared" si="122"/>
        <v xml:space="preserve">skos:definition "A mesosiderite of petrologic class A."@en ; </v>
      </c>
      <c r="X371" s="8" t="str">
        <f t="shared" si="123"/>
        <v xml:space="preserve"> skos:inScheme &lt;https://mindat.org/etmat/cscheme&gt; ;  </v>
      </c>
      <c r="Y371" s="8" t="str">
        <f t="shared" si="124"/>
        <v xml:space="preserve">skos:prefLabel "Mesosiderite-A meteorite"@en ; rdfs:label "Mesosiderite-A meteorite"@en ; </v>
      </c>
      <c r="Z371" s="8" t="str">
        <f t="shared" si="125"/>
        <v xml:space="preserve"> skos:notation  "Mesosiderite-A"@en ; </v>
      </c>
      <c r="AA371" s="8" t="str">
        <f t="shared" si="103"/>
        <v>dcterms:source "https://www.lpi.usra.edu/meteor/metbullclass.php?sea=Mesosiderite-A";</v>
      </c>
      <c r="AB371" s="8" t="str">
        <f t="shared" si="104"/>
        <v xml:space="preserve">skos:broader &lt;etma:1:1:49905:1&gt; ; </v>
      </c>
      <c r="AC371" s="8" t="str">
        <f t="shared" si="105"/>
        <v>dcterms:modified "2017-11-10T18:36";  .</v>
      </c>
      <c r="AD371" s="10" t="str">
        <f t="shared" si="126"/>
        <v>&lt;etma:1:1:49906:0&gt;  rdf:type skos:Concept ;     dcterms:source "https://www.mindat.org/min-49906.html" ;   skos:definition "A mesosiderite of petrologic class A."@en ;    skos:inScheme &lt;https://mindat.org/etmat/cscheme&gt; ;    skos:prefLabel "Mesosiderite-A meteorite"@en ; rdfs:label "Mesosiderite-A meteorite"@en ;    skos:notation  "Mesosiderite-A"@en ;   dcterms:source "https://www.lpi.usra.edu/meteor/metbullclass.php?sea=Mesosiderite-A";  skos:broader &lt;etma:1:1:49905:1&gt; ;   dcterms:modified "2017-11-10T18:36";  .</v>
      </c>
      <c r="AE371" s="8" t="s">
        <v>2591</v>
      </c>
    </row>
    <row r="372" spans="1:31" x14ac:dyDescent="0.25">
      <c r="A372" s="8">
        <v>332</v>
      </c>
      <c r="B372" s="8" t="s">
        <v>1669</v>
      </c>
      <c r="C372" s="8">
        <v>49907</v>
      </c>
      <c r="D372" s="8" t="s">
        <v>1667</v>
      </c>
      <c r="E372" s="8" t="s">
        <v>1668</v>
      </c>
      <c r="F372" s="9">
        <v>7</v>
      </c>
      <c r="G372" s="9" t="s">
        <v>14</v>
      </c>
      <c r="H372" s="1" t="s">
        <v>1670</v>
      </c>
      <c r="I372" s="8" t="str">
        <f t="shared" si="119"/>
        <v>https://www.mindat.org/min-49907.html</v>
      </c>
      <c r="J372" s="8">
        <v>49906</v>
      </c>
      <c r="K372" s="8" t="s">
        <v>1662</v>
      </c>
      <c r="N372" s="9">
        <v>1</v>
      </c>
      <c r="O372" s="9" t="s">
        <v>2249</v>
      </c>
      <c r="R372" s="8" t="s">
        <v>1671</v>
      </c>
      <c r="S372" s="11">
        <v>43049.775671296295</v>
      </c>
      <c r="U372" s="8" t="str">
        <f t="shared" si="120"/>
        <v xml:space="preserve">&lt;etma:1:1:49907:9&gt;  rdf:type skos:Concept ;  </v>
      </c>
      <c r="V372" s="8" t="str">
        <f t="shared" si="121"/>
        <v xml:space="preserve"> dcterms:source "https://www.mindat.org/min-49907.html" ; </v>
      </c>
      <c r="W372" s="8" t="str">
        <f t="shared" si="122"/>
        <v xml:space="preserve">skos:definition "A mesosiderite of petrologic class A and metamorphic grade 1."@en ; </v>
      </c>
      <c r="X372" s="8" t="str">
        <f t="shared" si="123"/>
        <v xml:space="preserve"> skos:inScheme &lt;https://mindat.org/etmat/cscheme&gt; ;  </v>
      </c>
      <c r="Y372" s="8" t="str">
        <f t="shared" si="124"/>
        <v xml:space="preserve">skos:prefLabel "Mesosiderite-A1 meteorite"@en ; rdfs:label "Mesosiderite-A1 meteorite"@en ; </v>
      </c>
      <c r="Z372" s="8" t="str">
        <f t="shared" si="125"/>
        <v xml:space="preserve"> skos:notation  "Mesosiderite-A1"@en ; </v>
      </c>
      <c r="AA372" s="8" t="str">
        <f t="shared" si="103"/>
        <v>dcterms:source "https://www.lpi.usra.edu/meteor/metbullclass.php?sea=Mesosiderite-A1";</v>
      </c>
      <c r="AB372" s="8" t="str">
        <f t="shared" si="104"/>
        <v xml:space="preserve">skos:broader &lt;etma:1:1:49906:0&gt; ; </v>
      </c>
      <c r="AC372" s="8" t="str">
        <f t="shared" si="105"/>
        <v>dcterms:modified "2017-11-10T18:36";  .</v>
      </c>
      <c r="AD372" s="10" t="str">
        <f t="shared" si="126"/>
        <v>&lt;etma:1:1:49907:9&gt;  rdf:type skos:Concept ;     dcterms:source "https://www.mindat.org/min-49907.html" ;   skos:definition "A mesosiderite of petrologic class A and metamorphic grade 1."@en ;    skos:inScheme &lt;https://mindat.org/etmat/cscheme&gt; ;    skos:prefLabel "Mesosiderite-A1 meteorite"@en ; rdfs:label "Mesosiderite-A1 meteorite"@en ;    skos:notation  "Mesosiderite-A1"@en ;   dcterms:source "https://www.lpi.usra.edu/meteor/metbullclass.php?sea=Mesosiderite-A1";  skos:broader &lt;etma:1:1:49906:0&gt; ;   dcterms:modified "2017-11-10T18:36";  .</v>
      </c>
      <c r="AE372" s="8" t="s">
        <v>2591</v>
      </c>
    </row>
    <row r="373" spans="1:31" x14ac:dyDescent="0.25">
      <c r="A373" s="8">
        <v>333</v>
      </c>
      <c r="B373" s="8" t="s">
        <v>1674</v>
      </c>
      <c r="C373" s="8">
        <v>49908</v>
      </c>
      <c r="D373" s="8" t="s">
        <v>1672</v>
      </c>
      <c r="E373" s="8" t="s">
        <v>1673</v>
      </c>
      <c r="F373" s="9">
        <v>7</v>
      </c>
      <c r="G373" s="9" t="s">
        <v>14</v>
      </c>
      <c r="H373" s="1" t="s">
        <v>1675</v>
      </c>
      <c r="I373" s="8" t="str">
        <f t="shared" si="119"/>
        <v>https://www.mindat.org/min-49908.html</v>
      </c>
      <c r="J373" s="8">
        <v>49906</v>
      </c>
      <c r="K373" s="8" t="s">
        <v>1662</v>
      </c>
      <c r="N373" s="9">
        <v>1</v>
      </c>
      <c r="O373" s="9" t="s">
        <v>2249</v>
      </c>
      <c r="R373" s="8" t="s">
        <v>1676</v>
      </c>
      <c r="S373" s="11">
        <v>43049.775879629633</v>
      </c>
      <c r="U373" s="8" t="str">
        <f t="shared" si="120"/>
        <v xml:space="preserve">&lt;etma:1:1:49908:8&gt;  rdf:type skos:Concept ;  </v>
      </c>
      <c r="V373" s="8" t="str">
        <f t="shared" si="121"/>
        <v xml:space="preserve"> dcterms:source "https://www.mindat.org/min-49908.html" ; </v>
      </c>
      <c r="W373" s="8" t="str">
        <f t="shared" si="122"/>
        <v xml:space="preserve">skos:definition "A mesosiderite of petrologic class A and metamorphic grade 2."@en ; </v>
      </c>
      <c r="X373" s="8" t="str">
        <f t="shared" si="123"/>
        <v xml:space="preserve"> skos:inScheme &lt;https://mindat.org/etmat/cscheme&gt; ;  </v>
      </c>
      <c r="Y373" s="8" t="str">
        <f t="shared" si="124"/>
        <v xml:space="preserve">skos:prefLabel "Mesosiderite-A2 meteorite"@en ; rdfs:label "Mesosiderite-A2 meteorite"@en ; </v>
      </c>
      <c r="Z373" s="8" t="str">
        <f t="shared" si="125"/>
        <v xml:space="preserve"> skos:notation  "Mesosiderite-A2"@en ; </v>
      </c>
      <c r="AA373" s="8" t="str">
        <f t="shared" si="103"/>
        <v>dcterms:source "https://www.lpi.usra.edu/meteor/metbullclass.php?sea=Mesosiderite-A2";</v>
      </c>
      <c r="AB373" s="8" t="str">
        <f t="shared" si="104"/>
        <v xml:space="preserve">skos:broader &lt;etma:1:1:49906:0&gt; ; </v>
      </c>
      <c r="AC373" s="8" t="str">
        <f t="shared" si="105"/>
        <v>dcterms:modified "2017-11-10T18:37";  .</v>
      </c>
      <c r="AD373" s="10" t="str">
        <f t="shared" si="126"/>
        <v>&lt;etma:1:1:49908:8&gt;  rdf:type skos:Concept ;     dcterms:source "https://www.mindat.org/min-49908.html" ;   skos:definition "A mesosiderite of petrologic class A and metamorphic grade 2."@en ;    skos:inScheme &lt;https://mindat.org/etmat/cscheme&gt; ;    skos:prefLabel "Mesosiderite-A2 meteorite"@en ; rdfs:label "Mesosiderite-A2 meteorite"@en ;    skos:notation  "Mesosiderite-A2"@en ;   dcterms:source "https://www.lpi.usra.edu/meteor/metbullclass.php?sea=Mesosiderite-A2";  skos:broader &lt;etma:1:1:49906:0&gt; ;   dcterms:modified "2017-11-10T18:37";  .</v>
      </c>
      <c r="AE373" s="8" t="s">
        <v>2591</v>
      </c>
    </row>
    <row r="374" spans="1:31" x14ac:dyDescent="0.25">
      <c r="A374" s="8">
        <v>334</v>
      </c>
      <c r="B374" s="8" t="s">
        <v>1679</v>
      </c>
      <c r="C374" s="8">
        <v>49909</v>
      </c>
      <c r="D374" s="8" t="s">
        <v>1677</v>
      </c>
      <c r="E374" s="8" t="s">
        <v>1678</v>
      </c>
      <c r="F374" s="9">
        <v>7</v>
      </c>
      <c r="G374" s="9" t="s">
        <v>14</v>
      </c>
      <c r="H374" s="1" t="s">
        <v>1680</v>
      </c>
      <c r="I374" s="8" t="str">
        <f t="shared" si="119"/>
        <v>https://www.mindat.org/min-49909.html</v>
      </c>
      <c r="J374" s="8">
        <v>49906</v>
      </c>
      <c r="K374" s="8" t="s">
        <v>1662</v>
      </c>
      <c r="N374" s="9">
        <v>1</v>
      </c>
      <c r="O374" s="9" t="s">
        <v>2249</v>
      </c>
      <c r="R374" s="8" t="s">
        <v>1681</v>
      </c>
      <c r="S374" s="11">
        <v>43049.776064814818</v>
      </c>
      <c r="U374" s="8" t="str">
        <f t="shared" si="120"/>
        <v xml:space="preserve">&lt;etma:1:1:49909:7&gt;  rdf:type skos:Concept ;  </v>
      </c>
      <c r="V374" s="8" t="str">
        <f t="shared" si="121"/>
        <v xml:space="preserve"> dcterms:source "https://www.mindat.org/min-49909.html" ; </v>
      </c>
      <c r="W374" s="8" t="str">
        <f t="shared" si="122"/>
        <v xml:space="preserve">skos:definition "A mesosiderite of petrologic class A and metamorphic grade 3."@en ; </v>
      </c>
      <c r="X374" s="8" t="str">
        <f t="shared" si="123"/>
        <v xml:space="preserve"> skos:inScheme &lt;https://mindat.org/etmat/cscheme&gt; ;  </v>
      </c>
      <c r="Y374" s="8" t="str">
        <f t="shared" si="124"/>
        <v xml:space="preserve">skos:prefLabel "Mesosiderite-A3 meteorite"@en ; rdfs:label "Mesosiderite-A3 meteorite"@en ; </v>
      </c>
      <c r="Z374" s="8" t="str">
        <f t="shared" si="125"/>
        <v xml:space="preserve"> skos:notation  "Mesosiderite-A3"@en ; </v>
      </c>
      <c r="AA374" s="8" t="str">
        <f t="shared" si="103"/>
        <v>dcterms:source "https://www.lpi.usra.edu/meteor/metbullclass.php?sea=Mesosiderite-A3";</v>
      </c>
      <c r="AB374" s="8" t="str">
        <f t="shared" si="104"/>
        <v xml:space="preserve">skos:broader &lt;etma:1:1:49906:0&gt; ; </v>
      </c>
      <c r="AC374" s="8" t="str">
        <f t="shared" si="105"/>
        <v>dcterms:modified "2017-11-10T18:37";  .</v>
      </c>
      <c r="AD374" s="10" t="str">
        <f t="shared" si="126"/>
        <v>&lt;etma:1:1:49909:7&gt;  rdf:type skos:Concept ;     dcterms:source "https://www.mindat.org/min-49909.html" ;   skos:definition "A mesosiderite of petrologic class A and metamorphic grade 3."@en ;    skos:inScheme &lt;https://mindat.org/etmat/cscheme&gt; ;    skos:prefLabel "Mesosiderite-A3 meteorite"@en ; rdfs:label "Mesosiderite-A3 meteorite"@en ;    skos:notation  "Mesosiderite-A3"@en ;   dcterms:source "https://www.lpi.usra.edu/meteor/metbullclass.php?sea=Mesosiderite-A3";  skos:broader &lt;etma:1:1:49906:0&gt; ;   dcterms:modified "2017-11-10T18:37";  .</v>
      </c>
      <c r="AE374" s="8" t="s">
        <v>2591</v>
      </c>
    </row>
    <row r="375" spans="1:31" x14ac:dyDescent="0.25">
      <c r="A375" s="8">
        <v>335</v>
      </c>
      <c r="B375" s="8" t="s">
        <v>1684</v>
      </c>
      <c r="C375" s="8">
        <v>49910</v>
      </c>
      <c r="D375" s="8" t="s">
        <v>1682</v>
      </c>
      <c r="E375" s="8" t="s">
        <v>1683</v>
      </c>
      <c r="F375" s="9">
        <v>7</v>
      </c>
      <c r="G375" s="9" t="s">
        <v>14</v>
      </c>
      <c r="H375" s="1" t="s">
        <v>1685</v>
      </c>
      <c r="I375" s="8" t="str">
        <f t="shared" si="119"/>
        <v>https://www.mindat.org/min-49910.html</v>
      </c>
      <c r="J375" s="8">
        <v>49906</v>
      </c>
      <c r="K375" s="8" t="s">
        <v>1662</v>
      </c>
      <c r="N375" s="9">
        <v>1</v>
      </c>
      <c r="O375" s="9" t="s">
        <v>2249</v>
      </c>
      <c r="R375" s="8" t="s">
        <v>1686</v>
      </c>
      <c r="S375" s="11">
        <v>43049.777118055557</v>
      </c>
      <c r="U375" s="8" t="str">
        <f t="shared" si="120"/>
        <v xml:space="preserve">&lt;etma:1:1:49910:3&gt;  rdf:type skos:Concept ;  </v>
      </c>
      <c r="V375" s="8" t="str">
        <f t="shared" si="121"/>
        <v xml:space="preserve"> dcterms:source "https://www.mindat.org/min-49910.html" ; </v>
      </c>
      <c r="W375" s="8" t="str">
        <f t="shared" si="122"/>
        <v xml:space="preserve">skos:definition "A mesosiderite of petrologic class A and metamorphic grade 4."@en ; </v>
      </c>
      <c r="X375" s="8" t="str">
        <f t="shared" si="123"/>
        <v xml:space="preserve"> skos:inScheme &lt;https://mindat.org/etmat/cscheme&gt; ;  </v>
      </c>
      <c r="Y375" s="8" t="str">
        <f t="shared" si="124"/>
        <v xml:space="preserve">skos:prefLabel "Mesosiderite-A4 meteorite"@en ; rdfs:label "Mesosiderite-A4 meteorite"@en ; </v>
      </c>
      <c r="Z375" s="8" t="str">
        <f t="shared" si="125"/>
        <v xml:space="preserve"> skos:notation  "Mesosiderite-A4"@en ; </v>
      </c>
      <c r="AA375" s="8" t="str">
        <f t="shared" si="103"/>
        <v>dcterms:source "https://www.lpi.usra.edu/meteor/metbullclass.php?sea=Mesosiderite-A4";</v>
      </c>
      <c r="AB375" s="8" t="str">
        <f t="shared" si="104"/>
        <v xml:space="preserve">skos:broader &lt;etma:1:1:49906:0&gt; ; </v>
      </c>
      <c r="AC375" s="8" t="str">
        <f t="shared" si="105"/>
        <v>dcterms:modified "2017-11-10T18:39";  .</v>
      </c>
      <c r="AD375" s="10" t="str">
        <f t="shared" si="126"/>
        <v>&lt;etma:1:1:49910:3&gt;  rdf:type skos:Concept ;     dcterms:source "https://www.mindat.org/min-49910.html" ;   skos:definition "A mesosiderite of petrologic class A and metamorphic grade 4."@en ;    skos:inScheme &lt;https://mindat.org/etmat/cscheme&gt; ;    skos:prefLabel "Mesosiderite-A4 meteorite"@en ; rdfs:label "Mesosiderite-A4 meteorite"@en ;    skos:notation  "Mesosiderite-A4"@en ;   dcterms:source "https://www.lpi.usra.edu/meteor/metbullclass.php?sea=Mesosiderite-A4";  skos:broader &lt;etma:1:1:49906:0&gt; ;   dcterms:modified "2017-11-10T18:39";  .</v>
      </c>
      <c r="AE375" s="8" t="s">
        <v>2591</v>
      </c>
    </row>
    <row r="376" spans="1:31" x14ac:dyDescent="0.25">
      <c r="A376" s="8">
        <v>336</v>
      </c>
      <c r="B376" s="8" t="s">
        <v>1689</v>
      </c>
      <c r="C376" s="8">
        <v>49911</v>
      </c>
      <c r="D376" s="8" t="s">
        <v>1687</v>
      </c>
      <c r="E376" s="8" t="s">
        <v>1688</v>
      </c>
      <c r="F376" s="9">
        <v>7</v>
      </c>
      <c r="G376" s="9" t="s">
        <v>14</v>
      </c>
      <c r="H376" s="1" t="s">
        <v>1690</v>
      </c>
      <c r="I376" s="8" t="str">
        <f t="shared" si="119"/>
        <v>https://www.mindat.org/min-49911.html</v>
      </c>
      <c r="J376" s="8">
        <v>49906</v>
      </c>
      <c r="K376" s="8" t="s">
        <v>1662</v>
      </c>
      <c r="N376" s="9">
        <v>0</v>
      </c>
      <c r="O376" s="9" t="s">
        <v>2249</v>
      </c>
      <c r="R376" s="8" t="s">
        <v>1691</v>
      </c>
      <c r="S376" s="11">
        <v>43049.77684027778</v>
      </c>
      <c r="U376" s="8" t="str">
        <f t="shared" si="120"/>
        <v xml:space="preserve">&lt;etma:1:1:49911:2&gt;  rdf:type skos:Concept ;  </v>
      </c>
      <c r="V376" s="8" t="str">
        <f t="shared" si="121"/>
        <v xml:space="preserve"> dcterms:source "https://www.mindat.org/min-49911.html" ; </v>
      </c>
      <c r="W376" s="8" t="str">
        <f t="shared" si="122"/>
        <v xml:space="preserve">skos:definition "A mesosiderite with anomalous properties."@en ; </v>
      </c>
      <c r="X376" s="8" t="str">
        <f t="shared" si="123"/>
        <v xml:space="preserve"> skos:inScheme &lt;https://mindat.org/etmat/cscheme&gt; ;  </v>
      </c>
      <c r="Y376" s="8" t="str">
        <f t="shared" si="124"/>
        <v xml:space="preserve">skos:prefLabel "Anomalous mesosiderite meteorite"@en ; rdfs:label "Anomalous mesosiderite meteorite"@en ; </v>
      </c>
      <c r="Z376" s="8" t="str">
        <f t="shared" si="125"/>
        <v xml:space="preserve"> skos:notation  "Mesosiderite-an"@en ; </v>
      </c>
      <c r="AA376" s="8" t="str">
        <f t="shared" si="103"/>
        <v>dcterms:source "https://www.lpi.usra.edu/meteor/metbullclass.php?sea=Mesosiderite-an";</v>
      </c>
      <c r="AB376" s="8" t="str">
        <f t="shared" si="104"/>
        <v xml:space="preserve">skos:broader &lt;etma:1:1:49906:0&gt; ; </v>
      </c>
      <c r="AC376" s="8" t="str">
        <f t="shared" si="105"/>
        <v>dcterms:modified "2017-11-10T18:38";  .</v>
      </c>
      <c r="AD376" s="10" t="str">
        <f t="shared" si="126"/>
        <v>&lt;etma:1:1:49911:2&gt;  rdf:type skos:Concept ;     dcterms:source "https://www.mindat.org/min-49911.html" ;   skos:definition "A mesosiderite with anomalous properties."@en ;    skos:inScheme &lt;https://mindat.org/etmat/cscheme&gt; ;    skos:prefLabel "Anomalous mesosiderite meteorite"@en ; rdfs:label "Anomalous mesosiderite meteorite"@en ;    skos:notation  "Mesosiderite-an"@en ;   dcterms:source "https://www.lpi.usra.edu/meteor/metbullclass.php?sea=Mesosiderite-an";  skos:broader &lt;etma:1:1:49906:0&gt; ;   dcterms:modified "2017-11-10T18:38";  .</v>
      </c>
      <c r="AE376" s="8" t="s">
        <v>2591</v>
      </c>
    </row>
    <row r="377" spans="1:31" x14ac:dyDescent="0.25">
      <c r="A377" s="8">
        <v>337</v>
      </c>
      <c r="B377" s="8" t="s">
        <v>1694</v>
      </c>
      <c r="C377" s="8">
        <v>49912</v>
      </c>
      <c r="D377" s="8" t="s">
        <v>1692</v>
      </c>
      <c r="E377" s="8" t="s">
        <v>1693</v>
      </c>
      <c r="F377" s="9">
        <v>7</v>
      </c>
      <c r="G377" s="9" t="s">
        <v>14</v>
      </c>
      <c r="H377" s="1" t="s">
        <v>1695</v>
      </c>
      <c r="I377" s="8" t="str">
        <f t="shared" si="119"/>
        <v>https://www.mindat.org/min-49912.html</v>
      </c>
      <c r="J377" s="8">
        <v>49905</v>
      </c>
      <c r="K377" s="8" t="s">
        <v>1657</v>
      </c>
      <c r="N377" s="9">
        <v>1</v>
      </c>
      <c r="O377" s="9" t="s">
        <v>2249</v>
      </c>
      <c r="R377" s="8" t="s">
        <v>1696</v>
      </c>
      <c r="S377" s="11">
        <v>43049.777326388888</v>
      </c>
      <c r="U377" s="8" t="str">
        <f t="shared" si="120"/>
        <v xml:space="preserve">&lt;etma:1:1:49912:1&gt;  rdf:type skos:Concept ;  </v>
      </c>
      <c r="V377" s="8" t="str">
        <f t="shared" si="121"/>
        <v xml:space="preserve"> dcterms:source "https://www.mindat.org/min-49912.html" ; </v>
      </c>
      <c r="W377" s="8" t="str">
        <f t="shared" si="122"/>
        <v xml:space="preserve">skos:definition "A mesosiderite of petrologic class B."@en ; </v>
      </c>
      <c r="X377" s="8" t="str">
        <f t="shared" si="123"/>
        <v xml:space="preserve"> skos:inScheme &lt;https://mindat.org/etmat/cscheme&gt; ;  </v>
      </c>
      <c r="Y377" s="8" t="str">
        <f t="shared" si="124"/>
        <v xml:space="preserve">skos:prefLabel "Mesosiderite-B meteorite"@en ; rdfs:label "Mesosiderite-B meteorite"@en ; </v>
      </c>
      <c r="Z377" s="8" t="str">
        <f t="shared" si="125"/>
        <v xml:space="preserve"> skos:notation  "Mesosiderite-B"@en ; </v>
      </c>
      <c r="AA377" s="8" t="str">
        <f t="shared" si="103"/>
        <v>dcterms:source "https://www.lpi.usra.edu/meteor/metbullclass.php?sea=Mesosiderite-B";</v>
      </c>
      <c r="AB377" s="8" t="str">
        <f t="shared" si="104"/>
        <v xml:space="preserve">skos:broader &lt;etma:1:1:49905:1&gt; ; </v>
      </c>
      <c r="AC377" s="8" t="str">
        <f t="shared" si="105"/>
        <v>dcterms:modified "2017-11-10T18:39";  .</v>
      </c>
      <c r="AD377" s="10" t="str">
        <f t="shared" si="126"/>
        <v>&lt;etma:1:1:49912:1&gt;  rdf:type skos:Concept ;     dcterms:source "https://www.mindat.org/min-49912.html" ;   skos:definition "A mesosiderite of petrologic class B."@en ;    skos:inScheme &lt;https://mindat.org/etmat/cscheme&gt; ;    skos:prefLabel "Mesosiderite-B meteorite"@en ; rdfs:label "Mesosiderite-B meteorite"@en ;    skos:notation  "Mesosiderite-B"@en ;   dcterms:source "https://www.lpi.usra.edu/meteor/metbullclass.php?sea=Mesosiderite-B";  skos:broader &lt;etma:1:1:49905:1&gt; ;   dcterms:modified "2017-11-10T18:39";  .</v>
      </c>
      <c r="AE377" s="8" t="s">
        <v>2591</v>
      </c>
    </row>
    <row r="378" spans="1:31" x14ac:dyDescent="0.25">
      <c r="A378" s="8">
        <v>338</v>
      </c>
      <c r="B378" s="8" t="s">
        <v>1699</v>
      </c>
      <c r="C378" s="8">
        <v>49913</v>
      </c>
      <c r="D378" s="8" t="s">
        <v>1697</v>
      </c>
      <c r="E378" s="8" t="s">
        <v>1698</v>
      </c>
      <c r="F378" s="9">
        <v>7</v>
      </c>
      <c r="G378" s="9" t="s">
        <v>14</v>
      </c>
      <c r="H378" s="1" t="s">
        <v>1700</v>
      </c>
      <c r="I378" s="8" t="str">
        <f t="shared" si="119"/>
        <v>https://www.mindat.org/min-49913.html</v>
      </c>
      <c r="J378" s="8">
        <v>49912</v>
      </c>
      <c r="K378" s="8" t="s">
        <v>1692</v>
      </c>
      <c r="N378" s="9">
        <v>1</v>
      </c>
      <c r="O378" s="9" t="s">
        <v>2249</v>
      </c>
      <c r="R378" s="8" t="s">
        <v>1701</v>
      </c>
      <c r="S378" s="11">
        <v>43049.777465277781</v>
      </c>
      <c r="U378" s="8" t="str">
        <f t="shared" si="120"/>
        <v xml:space="preserve">&lt;etma:1:1:49913:0&gt;  rdf:type skos:Concept ;  </v>
      </c>
      <c r="V378" s="8" t="str">
        <f t="shared" si="121"/>
        <v xml:space="preserve"> dcterms:source "https://www.mindat.org/min-49913.html" ; </v>
      </c>
      <c r="W378" s="8" t="str">
        <f t="shared" si="122"/>
        <v xml:space="preserve">skos:definition "A mesosiderite of petrologic class B and metamorphic grade 1."@en ; </v>
      </c>
      <c r="X378" s="8" t="str">
        <f t="shared" si="123"/>
        <v xml:space="preserve"> skos:inScheme &lt;https://mindat.org/etmat/cscheme&gt; ;  </v>
      </c>
      <c r="Y378" s="8" t="str">
        <f t="shared" si="124"/>
        <v xml:space="preserve">skos:prefLabel "Mesosiderite-B1 meteorite"@en ; rdfs:label "Mesosiderite-B1 meteorite"@en ; </v>
      </c>
      <c r="Z378" s="8" t="str">
        <f t="shared" si="125"/>
        <v xml:space="preserve"> skos:notation  "Mesosiderite-B1"@en ; </v>
      </c>
      <c r="AA378" s="8" t="str">
        <f t="shared" si="103"/>
        <v>dcterms:source "https://www.lpi.usra.edu/meteor/metbullclass.php?sea=Mesosiderite-B1";</v>
      </c>
      <c r="AB378" s="8" t="str">
        <f t="shared" si="104"/>
        <v xml:space="preserve">skos:broader &lt;etma:1:1:49912:1&gt; ; </v>
      </c>
      <c r="AC378" s="8" t="str">
        <f t="shared" si="105"/>
        <v>dcterms:modified "2017-11-10T18:39";  .</v>
      </c>
      <c r="AD378" s="10" t="str">
        <f t="shared" si="126"/>
        <v>&lt;etma:1:1:49913:0&gt;  rdf:type skos:Concept ;     dcterms:source "https://www.mindat.org/min-49913.html" ;   skos:definition "A mesosiderite of petrologic class B and metamorphic grade 1."@en ;    skos:inScheme &lt;https://mindat.org/etmat/cscheme&gt; ;    skos:prefLabel "Mesosiderite-B1 meteorite"@en ; rdfs:label "Mesosiderite-B1 meteorite"@en ;    skos:notation  "Mesosiderite-B1"@en ;   dcterms:source "https://www.lpi.usra.edu/meteor/metbullclass.php?sea=Mesosiderite-B1";  skos:broader &lt;etma:1:1:49912:1&gt; ;   dcterms:modified "2017-11-10T18:39";  .</v>
      </c>
      <c r="AE378" s="8" t="s">
        <v>2591</v>
      </c>
    </row>
    <row r="379" spans="1:31" x14ac:dyDescent="0.25">
      <c r="A379" s="8">
        <v>339</v>
      </c>
      <c r="B379" s="8" t="s">
        <v>1704</v>
      </c>
      <c r="C379" s="8">
        <v>49914</v>
      </c>
      <c r="D379" s="8" t="s">
        <v>1702</v>
      </c>
      <c r="E379" s="8" t="s">
        <v>1703</v>
      </c>
      <c r="F379" s="9">
        <v>7</v>
      </c>
      <c r="G379" s="9" t="s">
        <v>14</v>
      </c>
      <c r="H379" s="1" t="s">
        <v>1705</v>
      </c>
      <c r="I379" s="8" t="str">
        <f t="shared" si="119"/>
        <v>https://www.mindat.org/min-49914.html</v>
      </c>
      <c r="J379" s="8">
        <v>49912</v>
      </c>
      <c r="K379" s="8" t="s">
        <v>1692</v>
      </c>
      <c r="N379" s="9">
        <v>1</v>
      </c>
      <c r="O379" s="9" t="s">
        <v>2249</v>
      </c>
      <c r="R379" s="8" t="s">
        <v>1706</v>
      </c>
      <c r="S379" s="11">
        <v>43049.777627314812</v>
      </c>
      <c r="U379" s="8" t="str">
        <f t="shared" si="120"/>
        <v xml:space="preserve">&lt;etma:1:1:49914:9&gt;  rdf:type skos:Concept ;  </v>
      </c>
      <c r="V379" s="8" t="str">
        <f t="shared" si="121"/>
        <v xml:space="preserve"> dcterms:source "https://www.mindat.org/min-49914.html" ; </v>
      </c>
      <c r="W379" s="8" t="str">
        <f t="shared" si="122"/>
        <v xml:space="preserve">skos:definition "A mesosiderite of petrologic class B and metamorphic grade 2."@en ; </v>
      </c>
      <c r="X379" s="8" t="str">
        <f t="shared" si="123"/>
        <v xml:space="preserve"> skos:inScheme &lt;https://mindat.org/etmat/cscheme&gt; ;  </v>
      </c>
      <c r="Y379" s="8" t="str">
        <f t="shared" si="124"/>
        <v xml:space="preserve">skos:prefLabel "Mesosiderite-B2 meteorite"@en ; rdfs:label "Mesosiderite-B2 meteorite"@en ; </v>
      </c>
      <c r="Z379" s="8" t="str">
        <f t="shared" si="125"/>
        <v xml:space="preserve"> skos:notation  "Mesosiderite-B2"@en ; </v>
      </c>
      <c r="AA379" s="8" t="str">
        <f t="shared" si="103"/>
        <v>dcterms:source "https://www.lpi.usra.edu/meteor/metbullclass.php?sea=Mesosiderite-B2";</v>
      </c>
      <c r="AB379" s="8" t="str">
        <f t="shared" si="104"/>
        <v xml:space="preserve">skos:broader &lt;etma:1:1:49912:1&gt; ; </v>
      </c>
      <c r="AC379" s="8" t="str">
        <f t="shared" si="105"/>
        <v>dcterms:modified "2017-11-10T18:39";  .</v>
      </c>
      <c r="AD379" s="10" t="str">
        <f t="shared" si="126"/>
        <v>&lt;etma:1:1:49914:9&gt;  rdf:type skos:Concept ;     dcterms:source "https://www.mindat.org/min-49914.html" ;   skos:definition "A mesosiderite of petrologic class B and metamorphic grade 2."@en ;    skos:inScheme &lt;https://mindat.org/etmat/cscheme&gt; ;    skos:prefLabel "Mesosiderite-B2 meteorite"@en ; rdfs:label "Mesosiderite-B2 meteorite"@en ;    skos:notation  "Mesosiderite-B2"@en ;   dcterms:source "https://www.lpi.usra.edu/meteor/metbullclass.php?sea=Mesosiderite-B2";  skos:broader &lt;etma:1:1:49912:1&gt; ;   dcterms:modified "2017-11-10T18:39";  .</v>
      </c>
      <c r="AE379" s="8" t="s">
        <v>2591</v>
      </c>
    </row>
    <row r="380" spans="1:31" x14ac:dyDescent="0.25">
      <c r="A380" s="8">
        <v>340</v>
      </c>
      <c r="B380" s="8" t="s">
        <v>1709</v>
      </c>
      <c r="C380" s="8">
        <v>49915</v>
      </c>
      <c r="D380" s="8" t="s">
        <v>1707</v>
      </c>
      <c r="E380" s="8" t="s">
        <v>1708</v>
      </c>
      <c r="F380" s="9">
        <v>7</v>
      </c>
      <c r="G380" s="9" t="s">
        <v>14</v>
      </c>
      <c r="H380" s="1" t="s">
        <v>1710</v>
      </c>
      <c r="I380" s="8" t="str">
        <f t="shared" si="119"/>
        <v>https://www.mindat.org/min-49915.html</v>
      </c>
      <c r="J380" s="8">
        <v>49912</v>
      </c>
      <c r="K380" s="8" t="s">
        <v>1692</v>
      </c>
      <c r="N380" s="9">
        <v>1</v>
      </c>
      <c r="O380" s="9" t="s">
        <v>2249</v>
      </c>
      <c r="R380" s="8" t="s">
        <v>1711</v>
      </c>
      <c r="S380" s="11">
        <v>43049.77815972222</v>
      </c>
      <c r="U380" s="8" t="str">
        <f t="shared" si="120"/>
        <v xml:space="preserve">&lt;etma:1:1:49915:8&gt;  rdf:type skos:Concept ;  </v>
      </c>
      <c r="V380" s="8" t="str">
        <f t="shared" si="121"/>
        <v xml:space="preserve"> dcterms:source "https://www.mindat.org/min-49915.html" ; </v>
      </c>
      <c r="W380" s="8" t="str">
        <f t="shared" si="122"/>
        <v xml:space="preserve">skos:definition "A mesosiderite of petrologic class B and metamorphic grade 3."@en ; </v>
      </c>
      <c r="X380" s="8" t="str">
        <f t="shared" si="123"/>
        <v xml:space="preserve"> skos:inScheme &lt;https://mindat.org/etmat/cscheme&gt; ;  </v>
      </c>
      <c r="Y380" s="8" t="str">
        <f t="shared" si="124"/>
        <v xml:space="preserve">skos:prefLabel "Mesosiderite-B3 meteorite"@en ; rdfs:label "Mesosiderite-B3 meteorite"@en ; </v>
      </c>
      <c r="Z380" s="8" t="str">
        <f t="shared" si="125"/>
        <v xml:space="preserve"> skos:notation  "Mesosiderite-B3"@en ; </v>
      </c>
      <c r="AA380" s="8" t="str">
        <f t="shared" si="103"/>
        <v>dcterms:source "https://www.lpi.usra.edu/meteor/metbullclass.php?sea=Mesosiderite-B3";</v>
      </c>
      <c r="AB380" s="8" t="str">
        <f t="shared" si="104"/>
        <v xml:space="preserve">skos:broader &lt;etma:1:1:49912:1&gt; ; </v>
      </c>
      <c r="AC380" s="8" t="str">
        <f t="shared" si="105"/>
        <v>dcterms:modified "2017-11-10T18:40";  .</v>
      </c>
      <c r="AD380" s="10" t="str">
        <f t="shared" si="126"/>
        <v>&lt;etma:1:1:49915:8&gt;  rdf:type skos:Concept ;     dcterms:source "https://www.mindat.org/min-49915.html" ;   skos:definition "A mesosiderite of petrologic class B and metamorphic grade 3."@en ;    skos:inScheme &lt;https://mindat.org/etmat/cscheme&gt; ;    skos:prefLabel "Mesosiderite-B3 meteorite"@en ; rdfs:label "Mesosiderite-B3 meteorite"@en ;    skos:notation  "Mesosiderite-B3"@en ;   dcterms:source "https://www.lpi.usra.edu/meteor/metbullclass.php?sea=Mesosiderite-B3";  skos:broader &lt;etma:1:1:49912:1&gt; ;   dcterms:modified "2017-11-10T18:40";  .</v>
      </c>
      <c r="AE380" s="8" t="s">
        <v>2591</v>
      </c>
    </row>
    <row r="381" spans="1:31" x14ac:dyDescent="0.25">
      <c r="A381" s="8">
        <v>341</v>
      </c>
      <c r="B381" s="8" t="s">
        <v>1714</v>
      </c>
      <c r="C381" s="8">
        <v>49916</v>
      </c>
      <c r="D381" s="8" t="s">
        <v>1712</v>
      </c>
      <c r="E381" s="8" t="s">
        <v>1713</v>
      </c>
      <c r="F381" s="9">
        <v>7</v>
      </c>
      <c r="G381" s="9" t="s">
        <v>14</v>
      </c>
      <c r="H381" s="1" t="s">
        <v>1715</v>
      </c>
      <c r="I381" s="8" t="str">
        <f t="shared" si="119"/>
        <v>https://www.mindat.org/min-49916.html</v>
      </c>
      <c r="J381" s="8">
        <v>49912</v>
      </c>
      <c r="K381" s="8" t="s">
        <v>1692</v>
      </c>
      <c r="N381" s="9">
        <v>1</v>
      </c>
      <c r="O381" s="9" t="s">
        <v>2249</v>
      </c>
      <c r="R381" s="8" t="s">
        <v>1716</v>
      </c>
      <c r="S381" s="11">
        <v>43049.778344907405</v>
      </c>
      <c r="U381" s="8" t="str">
        <f t="shared" si="120"/>
        <v xml:space="preserve">&lt;etma:1:1:49916:7&gt;  rdf:type skos:Concept ;  </v>
      </c>
      <c r="V381" s="8" t="str">
        <f t="shared" si="121"/>
        <v xml:space="preserve"> dcterms:source "https://www.mindat.org/min-49916.html" ; </v>
      </c>
      <c r="W381" s="8" t="str">
        <f t="shared" si="122"/>
        <v xml:space="preserve">skos:definition "A mesosiderite of petrologic class B and metamorphic grade 4."@en ; </v>
      </c>
      <c r="X381" s="8" t="str">
        <f t="shared" si="123"/>
        <v xml:space="preserve"> skos:inScheme &lt;https://mindat.org/etmat/cscheme&gt; ;  </v>
      </c>
      <c r="Y381" s="8" t="str">
        <f t="shared" si="124"/>
        <v xml:space="preserve">skos:prefLabel "Mesosiderite-B4 meteorite"@en ; rdfs:label "Mesosiderite-B4 meteorite"@en ; </v>
      </c>
      <c r="Z381" s="8" t="str">
        <f t="shared" si="125"/>
        <v xml:space="preserve"> skos:notation  "Mesosiderite-B4"@en ; </v>
      </c>
      <c r="AA381" s="8" t="str">
        <f t="shared" si="103"/>
        <v>dcterms:source "https://www.lpi.usra.edu/meteor/metbullclass.php?sea=Mesosiderite-B4";</v>
      </c>
      <c r="AB381" s="8" t="str">
        <f t="shared" si="104"/>
        <v xml:space="preserve">skos:broader &lt;etma:1:1:49912:1&gt; ; </v>
      </c>
      <c r="AC381" s="8" t="str">
        <f t="shared" si="105"/>
        <v>dcterms:modified "2017-11-10T18:40";  .</v>
      </c>
      <c r="AD381" s="10" t="str">
        <f t="shared" si="126"/>
        <v>&lt;etma:1:1:49916:7&gt;  rdf:type skos:Concept ;     dcterms:source "https://www.mindat.org/min-49916.html" ;   skos:definition "A mesosiderite of petrologic class B and metamorphic grade 4."@en ;    skos:inScheme &lt;https://mindat.org/etmat/cscheme&gt; ;    skos:prefLabel "Mesosiderite-B4 meteorite"@en ; rdfs:label "Mesosiderite-B4 meteorite"@en ;    skos:notation  "Mesosiderite-B4"@en ;   dcterms:source "https://www.lpi.usra.edu/meteor/metbullclass.php?sea=Mesosiderite-B4";  skos:broader &lt;etma:1:1:49912:1&gt; ;   dcterms:modified "2017-11-10T18:40";  .</v>
      </c>
      <c r="AE381" s="8" t="s">
        <v>2591</v>
      </c>
    </row>
    <row r="382" spans="1:31" x14ac:dyDescent="0.25">
      <c r="A382" s="8">
        <v>342</v>
      </c>
      <c r="B382" s="8" t="s">
        <v>1719</v>
      </c>
      <c r="C382" s="8">
        <v>49917</v>
      </c>
      <c r="D382" s="8" t="s">
        <v>1717</v>
      </c>
      <c r="E382" s="8" t="s">
        <v>1718</v>
      </c>
      <c r="F382" s="9">
        <v>7</v>
      </c>
      <c r="G382" s="9" t="s">
        <v>14</v>
      </c>
      <c r="H382" s="1" t="s">
        <v>1720</v>
      </c>
      <c r="I382" s="8" t="str">
        <f t="shared" si="119"/>
        <v>https://www.mindat.org/min-49917.html</v>
      </c>
      <c r="J382" s="8">
        <v>49905</v>
      </c>
      <c r="K382" s="8" t="s">
        <v>1657</v>
      </c>
      <c r="N382" s="9">
        <v>1</v>
      </c>
      <c r="O382" s="9" t="s">
        <v>2249</v>
      </c>
      <c r="R382" s="8" t="s">
        <v>1721</v>
      </c>
      <c r="S382" s="11">
        <v>43049.778587962966</v>
      </c>
      <c r="U382" s="8" t="str">
        <f t="shared" si="120"/>
        <v xml:space="preserve">&lt;etma:1:1:49917:6&gt;  rdf:type skos:Concept ;  </v>
      </c>
      <c r="V382" s="8" t="str">
        <f t="shared" si="121"/>
        <v xml:space="preserve"> dcterms:source "https://www.mindat.org/min-49917.html" ; </v>
      </c>
      <c r="W382" s="8" t="str">
        <f t="shared" si="122"/>
        <v xml:space="preserve">skos:definition "A mesosiderite of petrologic class C."@en ; </v>
      </c>
      <c r="X382" s="8" t="str">
        <f t="shared" si="123"/>
        <v xml:space="preserve"> skos:inScheme &lt;https://mindat.org/etmat/cscheme&gt; ;  </v>
      </c>
      <c r="Y382" s="8" t="str">
        <f t="shared" si="124"/>
        <v xml:space="preserve">skos:prefLabel "Mesosiderite-C meteorite"@en ; rdfs:label "Mesosiderite-C meteorite"@en ; </v>
      </c>
      <c r="Z382" s="8" t="str">
        <f t="shared" si="125"/>
        <v xml:space="preserve"> skos:notation  "Mesosiderite-C"@en ; </v>
      </c>
      <c r="AA382" s="8" t="str">
        <f t="shared" si="103"/>
        <v>dcterms:source "https://www.lpi.usra.edu/meteor/metbullclass.php?sea=Mesosiderite-C";</v>
      </c>
      <c r="AB382" s="8" t="str">
        <f t="shared" si="104"/>
        <v xml:space="preserve">skos:broader &lt;etma:1:1:49905:1&gt; ; </v>
      </c>
      <c r="AC382" s="8" t="str">
        <f t="shared" si="105"/>
        <v>dcterms:modified "2017-11-10T18:41";  .</v>
      </c>
      <c r="AD382" s="10" t="str">
        <f t="shared" si="126"/>
        <v>&lt;etma:1:1:49917:6&gt;  rdf:type skos:Concept ;     dcterms:source "https://www.mindat.org/min-49917.html" ;   skos:definition "A mesosiderite of petrologic class C."@en ;    skos:inScheme &lt;https://mindat.org/etmat/cscheme&gt; ;    skos:prefLabel "Mesosiderite-C meteorite"@en ; rdfs:label "Mesosiderite-C meteorite"@en ;    skos:notation  "Mesosiderite-C"@en ;   dcterms:source "https://www.lpi.usra.edu/meteor/metbullclass.php?sea=Mesosiderite-C";  skos:broader &lt;etma:1:1:49905:1&gt; ;   dcterms:modified "2017-11-10T18:41";  .</v>
      </c>
      <c r="AE382" s="8" t="s">
        <v>2591</v>
      </c>
    </row>
    <row r="383" spans="1:31" x14ac:dyDescent="0.25">
      <c r="A383" s="8">
        <v>343</v>
      </c>
      <c r="B383" s="8" t="s">
        <v>1724</v>
      </c>
      <c r="C383" s="8">
        <v>49918</v>
      </c>
      <c r="D383" s="8" t="s">
        <v>1722</v>
      </c>
      <c r="E383" s="8" t="s">
        <v>1723</v>
      </c>
      <c r="F383" s="9">
        <v>7</v>
      </c>
      <c r="G383" s="9" t="s">
        <v>14</v>
      </c>
      <c r="H383" s="1" t="s">
        <v>1725</v>
      </c>
      <c r="I383" s="8" t="str">
        <f t="shared" si="119"/>
        <v>https://www.mindat.org/min-49918.html</v>
      </c>
      <c r="J383" s="8">
        <v>49917</v>
      </c>
      <c r="K383" s="8" t="s">
        <v>1717</v>
      </c>
      <c r="N383" s="9">
        <v>1</v>
      </c>
      <c r="O383" s="9" t="s">
        <v>2249</v>
      </c>
      <c r="R383" s="8" t="s">
        <v>1726</v>
      </c>
      <c r="S383" s="11">
        <v>43049.778796296298</v>
      </c>
      <c r="U383" s="8" t="str">
        <f t="shared" si="120"/>
        <v xml:space="preserve">&lt;etma:1:1:49918:5&gt;  rdf:type skos:Concept ;  </v>
      </c>
      <c r="V383" s="8" t="str">
        <f t="shared" si="121"/>
        <v xml:space="preserve"> dcterms:source "https://www.mindat.org/min-49918.html" ; </v>
      </c>
      <c r="W383" s="8" t="str">
        <f t="shared" si="122"/>
        <v xml:space="preserve">skos:definition "A mesosiderite of petrologic class C and metamorphic grade 2."@en ; </v>
      </c>
      <c r="X383" s="8" t="str">
        <f t="shared" si="123"/>
        <v xml:space="preserve"> skos:inScheme &lt;https://mindat.org/etmat/cscheme&gt; ;  </v>
      </c>
      <c r="Y383" s="8" t="str">
        <f t="shared" si="124"/>
        <v xml:space="preserve">skos:prefLabel "Mesosiderite-C2 meteorite"@en ; rdfs:label "Mesosiderite-C2 meteorite"@en ; </v>
      </c>
      <c r="Z383" s="8" t="str">
        <f t="shared" si="125"/>
        <v xml:space="preserve"> skos:notation  "Mesosiderite-C2"@en ; </v>
      </c>
      <c r="AA383" s="8" t="str">
        <f t="shared" si="103"/>
        <v>dcterms:source "https://www.lpi.usra.edu/meteor/metbullclass.php?sea=Mesosiderite-C2";</v>
      </c>
      <c r="AB383" s="8" t="str">
        <f t="shared" si="104"/>
        <v xml:space="preserve">skos:broader &lt;etma:1:1:49917:6&gt; ; </v>
      </c>
      <c r="AC383" s="8" t="str">
        <f t="shared" si="105"/>
        <v>dcterms:modified "2017-11-10T18:41";  .</v>
      </c>
      <c r="AD383" s="10" t="str">
        <f t="shared" si="126"/>
        <v>&lt;etma:1:1:49918:5&gt;  rdf:type skos:Concept ;     dcterms:source "https://www.mindat.org/min-49918.html" ;   skos:definition "A mesosiderite of petrologic class C and metamorphic grade 2."@en ;    skos:inScheme &lt;https://mindat.org/etmat/cscheme&gt; ;    skos:prefLabel "Mesosiderite-C2 meteorite"@en ; rdfs:label "Mesosiderite-C2 meteorite"@en ;    skos:notation  "Mesosiderite-C2"@en ;   dcterms:source "https://www.lpi.usra.edu/meteor/metbullclass.php?sea=Mesosiderite-C2";  skos:broader &lt;etma:1:1:49917:6&gt; ;   dcterms:modified "2017-11-10T18:41";  .</v>
      </c>
      <c r="AE383" s="8" t="s">
        <v>2591</v>
      </c>
    </row>
    <row r="384" spans="1:31" hidden="1" x14ac:dyDescent="0.25">
      <c r="A384" s="8">
        <v>133</v>
      </c>
      <c r="B384" s="8" t="s">
        <v>2334</v>
      </c>
      <c r="C384" s="8">
        <v>49919</v>
      </c>
      <c r="D384" s="8" t="s">
        <v>2335</v>
      </c>
      <c r="E384" s="8" t="s">
        <v>2336</v>
      </c>
      <c r="F384" s="9">
        <v>7</v>
      </c>
      <c r="G384" s="9" t="s">
        <v>14</v>
      </c>
      <c r="H384" s="1" t="s">
        <v>2337</v>
      </c>
      <c r="I384" s="8" t="str">
        <f t="shared" si="119"/>
        <v>https://www.mindat.org/min-49919.html</v>
      </c>
      <c r="J384" s="8">
        <v>50269</v>
      </c>
      <c r="K384" s="8" t="s">
        <v>2260</v>
      </c>
      <c r="L384" s="9">
        <v>49960</v>
      </c>
      <c r="M384" s="8" t="s">
        <v>1887</v>
      </c>
      <c r="N384" s="9">
        <v>1</v>
      </c>
      <c r="S384" s="11">
        <v>43049.489328703705</v>
      </c>
      <c r="U384" s="8" t="str">
        <f t="shared" si="120"/>
        <v xml:space="preserve">&lt;etma:1:1:49919:4&gt;  rdf:type skos:Concept ;  </v>
      </c>
      <c r="V384" s="8" t="str">
        <f t="shared" si="121"/>
        <v xml:space="preserve"> dcterms:source "https://www.mindat.org/min-49919.html" ; </v>
      </c>
      <c r="W384" s="8" t="str">
        <f t="shared" si="122"/>
        <v xml:space="preserve">skos:definition "A meteorite that is dominantly composed of Fe-Ni metal and that crystallized from a melt."@en ; </v>
      </c>
      <c r="X384" s="8" t="str">
        <f t="shared" si="123"/>
        <v xml:space="preserve"> skos:inScheme &lt;https://mindat.org/etmat/cscheme&gt; ;  </v>
      </c>
      <c r="Y384" s="8" t="str">
        <f t="shared" si="124"/>
        <v xml:space="preserve">skos:prefLabel "Iron group meteorite"@en ; rdfs:label "Iron group meteorite"@en ; </v>
      </c>
      <c r="Z384" s="8" t="str">
        <f t="shared" si="125"/>
        <v/>
      </c>
      <c r="AA384" s="8" t="str">
        <f t="shared" si="103"/>
        <v/>
      </c>
      <c r="AB384" s="8" t="str">
        <f t="shared" si="104"/>
        <v xml:space="preserve">skos:broader &lt;etma:1:1:50269:2&gt;, &lt;etma:1:1:49960:8&gt; ; </v>
      </c>
      <c r="AC384" s="8" t="str">
        <f t="shared" si="105"/>
        <v>dcterms:modified "2017-11-10T11:44";  .</v>
      </c>
      <c r="AD384" s="10" t="str">
        <f t="shared" si="126"/>
        <v>&lt;etma:1:1:49919:4&gt;  rdf:type skos:Concept ;     dcterms:source "https://www.mindat.org/min-49919.html" ;   skos:definition "A meteorite that is dominantly composed of Fe-Ni metal and that crystallized from a melt."@en ;    skos:inScheme &lt;https://mindat.org/etmat/cscheme&gt; ;    skos:prefLabel "Iron group meteorite"@en ; rdfs:label "Iron group meteorite"@en ;   skos:broader &lt;etma:1:1:50269:2&gt;, &lt;etma:1:1:49960:8&gt; ;   dcterms:modified "2017-11-10T11:44";  .</v>
      </c>
      <c r="AE384" s="8" t="s">
        <v>2591</v>
      </c>
    </row>
    <row r="385" spans="1:31" x14ac:dyDescent="0.25">
      <c r="A385" s="8">
        <v>344</v>
      </c>
      <c r="B385" s="8" t="s">
        <v>1729</v>
      </c>
      <c r="C385" s="8">
        <v>49920</v>
      </c>
      <c r="D385" s="8" t="s">
        <v>1727</v>
      </c>
      <c r="E385" s="8" t="s">
        <v>1728</v>
      </c>
      <c r="F385" s="9">
        <v>7</v>
      </c>
      <c r="G385" s="9" t="s">
        <v>14</v>
      </c>
      <c r="H385" s="1" t="s">
        <v>1730</v>
      </c>
      <c r="I385" s="8" t="str">
        <f t="shared" si="119"/>
        <v>https://www.mindat.org/min-49920.html</v>
      </c>
      <c r="J385" s="8">
        <v>49919</v>
      </c>
      <c r="K385" s="8" t="s">
        <v>2335</v>
      </c>
      <c r="L385" s="9">
        <v>49961</v>
      </c>
      <c r="M385" s="8" t="s">
        <v>2371</v>
      </c>
      <c r="N385" s="9">
        <v>1</v>
      </c>
      <c r="O385" s="9" t="s">
        <v>2249</v>
      </c>
      <c r="R385" s="8" t="s">
        <v>1731</v>
      </c>
      <c r="S385" s="11">
        <v>43049.439571759256</v>
      </c>
      <c r="U385" s="8" t="str">
        <f t="shared" si="120"/>
        <v xml:space="preserve">&lt;etma:1:1:49920:0&gt;  rdf:type skos:Concept ;  </v>
      </c>
      <c r="V385" s="8" t="str">
        <f t="shared" si="121"/>
        <v xml:space="preserve"> dcterms:source "https://www.mindat.org/min-49920.html" ; </v>
      </c>
      <c r="W385" s="8" t="str">
        <f t="shared" si="122"/>
        <v xml:space="preserve">skos:definition "An iron group meteorite of chemical group IC."@en ; </v>
      </c>
      <c r="X385" s="8" t="str">
        <f t="shared" si="123"/>
        <v xml:space="preserve"> skos:inScheme &lt;https://mindat.org/etmat/cscheme&gt; ;  </v>
      </c>
      <c r="Y385" s="8" t="str">
        <f t="shared" si="124"/>
        <v xml:space="preserve">skos:prefLabel "IC iron meteorite"@en ; rdfs:label "IC iron meteorite"@en ; </v>
      </c>
      <c r="Z385" s="8" t="str">
        <f t="shared" si="125"/>
        <v xml:space="preserve"> skos:notation  "Iron, IC"@en ; </v>
      </c>
      <c r="AA385" s="8" t="str">
        <f t="shared" si="103"/>
        <v>dcterms:source "https://www.lpi.usra.edu/meteor/metbullclass.php?sea=Iron,%20IC";</v>
      </c>
      <c r="AB385" s="8" t="str">
        <f t="shared" si="104"/>
        <v xml:space="preserve">skos:broader &lt;etma:1:1:49919:4&gt;, &lt;etma:1:1:49961:7&gt; ; </v>
      </c>
      <c r="AC385" s="8" t="str">
        <f t="shared" si="105"/>
        <v>dcterms:modified "2017-11-10T10:32";  .</v>
      </c>
      <c r="AD385" s="10" t="str">
        <f t="shared" si="126"/>
        <v>&lt;etma:1:1:49920:0&gt;  rdf:type skos:Concept ;     dcterms:source "https://www.mindat.org/min-49920.html" ;   skos:definition "An iron group meteorite of chemical group IC."@en ;    skos:inScheme &lt;https://mindat.org/etmat/cscheme&gt; ;    skos:prefLabel "IC iron meteorite"@en ; rdfs:label "IC iron meteorite"@en ;    skos:notation  "Iron, IC"@en ;   dcterms:source "https://www.lpi.usra.edu/meteor/metbullclass.php?sea=Iron,%20IC";  skos:broader &lt;etma:1:1:49919:4&gt;, &lt;etma:1:1:49961:7&gt; ;   dcterms:modified "2017-11-10T10:32";  .</v>
      </c>
      <c r="AE385" s="8" t="s">
        <v>2591</v>
      </c>
    </row>
    <row r="386" spans="1:31" x14ac:dyDescent="0.25">
      <c r="A386" s="8">
        <v>345</v>
      </c>
      <c r="B386" s="8" t="s">
        <v>1734</v>
      </c>
      <c r="C386" s="8">
        <v>49921</v>
      </c>
      <c r="D386" s="8" t="s">
        <v>1732</v>
      </c>
      <c r="E386" s="8" t="s">
        <v>1733</v>
      </c>
      <c r="F386" s="9">
        <v>7</v>
      </c>
      <c r="G386" s="9" t="s">
        <v>14</v>
      </c>
      <c r="H386" s="1" t="s">
        <v>1735</v>
      </c>
      <c r="I386" s="8" t="str">
        <f t="shared" si="119"/>
        <v>https://www.mindat.org/min-49921.html</v>
      </c>
      <c r="J386" s="8">
        <v>49920</v>
      </c>
      <c r="K386" s="8" t="s">
        <v>1727</v>
      </c>
      <c r="N386" s="9">
        <v>0</v>
      </c>
      <c r="O386" s="9">
        <v>52381</v>
      </c>
      <c r="P386" s="8" t="s">
        <v>2523</v>
      </c>
      <c r="Q386" s="8" t="s">
        <v>2524</v>
      </c>
      <c r="R386" s="8" t="s">
        <v>1736</v>
      </c>
      <c r="S386" s="11">
        <v>43051.012303240743</v>
      </c>
      <c r="U386" s="8" t="str">
        <f t="shared" si="120"/>
        <v xml:space="preserve">&lt;etma:1:1:49921:9&gt;  rdf:type skos:Concept ;  </v>
      </c>
      <c r="V386" s="8" t="str">
        <f t="shared" si="121"/>
        <v xml:space="preserve"> dcterms:source "https://www.mindat.org/min-49921.html" ; </v>
      </c>
      <c r="W386" s="8" t="str">
        <f t="shared" si="122"/>
        <v xml:space="preserve">skos:definition "An IC iron meteorite with anomalous properties."@en ; </v>
      </c>
      <c r="X386" s="8" t="str">
        <f t="shared" ref="X341:X404" si="127">" skos:inScheme &lt;http://example.org/mindat/etmat/cscheme&gt; ;  "</f>
        <v xml:space="preserve"> skos:inScheme &lt;http://example.org/mindat/etmat/cscheme&gt; ;  </v>
      </c>
      <c r="Y386" s="8" t="str">
        <f t="shared" si="124"/>
        <v xml:space="preserve">skos:prefLabel "Anomalous IC iron meteorite"@en ; rdfs:label "Anomalous IC iron meteorite"@en ; </v>
      </c>
      <c r="Z386" s="8" t="str">
        <f t="shared" si="125"/>
        <v xml:space="preserve">skos:altLabel "IC-an iron meteorite"@en ; skos:exactMatch  &lt;etma:1:1:52381:7&gt; ;  skos:notation  "Iron, IC-an"@en ; </v>
      </c>
      <c r="AA386" s="8" t="str">
        <f t="shared" si="103"/>
        <v>dcterms:source "https://www.lpi.usra.edu/meteor/metbullclass.php?sea=Iron,%20IC-an";</v>
      </c>
      <c r="AB386" s="8" t="str">
        <f t="shared" si="104"/>
        <v xml:space="preserve">skos:broader &lt;etma:1:1:49920:0&gt; ; </v>
      </c>
      <c r="AC386" s="8" t="str">
        <f t="shared" si="105"/>
        <v>dcterms:modified "2017-11-12T00:17";  .</v>
      </c>
      <c r="AD386" s="10" t="str">
        <f t="shared" si="126"/>
        <v>&lt;etma:1:1:49921:9&gt;  rdf:type skos:Concept ;     dcterms:source "https://www.mindat.org/min-49921.html" ;   skos:definition "An IC iron meteorite with anomalous properties."@en ;    skos:inScheme &lt;http://example.org/mindat/etmat/cscheme&gt; ;    skos:prefLabel "Anomalous IC iron meteorite"@en ; rdfs:label "Anomalous IC iron meteorite"@en ;   skos:altLabel "IC-an iron meteorite"@en ; skos:exactMatch  &lt;etma:1:1:52381:7&gt; ;  skos:notation  "Iron, IC-an"@en ;   dcterms:source "https://www.lpi.usra.edu/meteor/metbullclass.php?sea=Iron,%20IC-an";  skos:broader &lt;etma:1:1:49920:0&gt; ;   dcterms:modified "2017-11-12T00:17";  .</v>
      </c>
      <c r="AE386" s="8" t="s">
        <v>2591</v>
      </c>
    </row>
    <row r="387" spans="1:31" x14ac:dyDescent="0.25">
      <c r="A387" s="8">
        <v>346</v>
      </c>
      <c r="B387" s="8" t="s">
        <v>1739</v>
      </c>
      <c r="C387" s="8">
        <v>49922</v>
      </c>
      <c r="D387" s="8" t="s">
        <v>1737</v>
      </c>
      <c r="E387" s="8" t="s">
        <v>1738</v>
      </c>
      <c r="F387" s="9">
        <v>7</v>
      </c>
      <c r="G387" s="9" t="s">
        <v>14</v>
      </c>
      <c r="H387" s="1" t="s">
        <v>1740</v>
      </c>
      <c r="I387" s="8" t="str">
        <f t="shared" si="119"/>
        <v>https://www.mindat.org/min-49922.html</v>
      </c>
      <c r="J387" s="8">
        <v>49919</v>
      </c>
      <c r="K387" s="8" t="s">
        <v>2335</v>
      </c>
      <c r="L387" s="9">
        <v>49961</v>
      </c>
      <c r="M387" s="8" t="s">
        <v>2371</v>
      </c>
      <c r="N387" s="9">
        <v>1</v>
      </c>
      <c r="O387" s="9" t="s">
        <v>2249</v>
      </c>
      <c r="R387" s="8" t="s">
        <v>1741</v>
      </c>
      <c r="S387" s="11">
        <v>43049.440150462964</v>
      </c>
      <c r="U387" s="8" t="str">
        <f t="shared" si="120"/>
        <v xml:space="preserve">&lt;etma:1:1:49922:8&gt;  rdf:type skos:Concept ;  </v>
      </c>
      <c r="V387" s="8" t="str">
        <f t="shared" si="121"/>
        <v xml:space="preserve"> dcterms:source "https://www.mindat.org/min-49922.html" ; </v>
      </c>
      <c r="W387" s="8" t="str">
        <f t="shared" si="122"/>
        <v xml:space="preserve">skos:definition "An iron group meteorite of chemical group IIAB."@en ; </v>
      </c>
      <c r="X387" s="8" t="str">
        <f>" skos:inScheme &lt;https://mindat.org/etmat/cscheme&gt; ;  "</f>
        <v xml:space="preserve"> skos:inScheme &lt;https://mindat.org/etmat/cscheme&gt; ;  </v>
      </c>
      <c r="Y387" s="8" t="str">
        <f t="shared" si="124"/>
        <v xml:space="preserve">skos:prefLabel "IIAB iron meteorite"@en ; rdfs:label "IIAB iron meteorite"@en ; </v>
      </c>
      <c r="Z387" s="8" t="str">
        <f t="shared" si="125"/>
        <v xml:space="preserve"> skos:notation  "Iron, IIAB"@en ; </v>
      </c>
      <c r="AA387" s="8" t="str">
        <f t="shared" ref="AA387:AA450" si="128">IF(NOT(ISBLANK(R387)), "dcterms:source ""https://www.lpi.usra.edu/meteor/metbullclass.php?sea=" &amp; SUBSTITUTE(R387," ","%20") &amp; """;","")</f>
        <v>dcterms:source "https://www.lpi.usra.edu/meteor/metbullclass.php?sea=Iron,%20IIAB";</v>
      </c>
      <c r="AB387" s="8" t="str">
        <f t="shared" ref="AB387:AB450" si="129">"skos:broader &lt;etma:"&amp;K387&amp;"&gt;" &amp; IF(ISBLANK(M387),"", ", &lt;etma:"&amp;M387&amp;"&gt;") &amp; " ; "</f>
        <v xml:space="preserve">skos:broader &lt;etma:1:1:49919:4&gt;, &lt;etma:1:1:49961:7&gt; ; </v>
      </c>
      <c r="AC387" s="8" t="str">
        <f t="shared" ref="AC387:AC450" si="130">"dcterms:modified """&amp;  TEXT(S387,"YYYY-MM-DDTHH:MM") &amp;""";  ."</f>
        <v>dcterms:modified "2017-11-10T10:33";  .</v>
      </c>
      <c r="AD387" s="10" t="str">
        <f t="shared" si="126"/>
        <v>&lt;etma:1:1:49922:8&gt;  rdf:type skos:Concept ;     dcterms:source "https://www.mindat.org/min-49922.html" ;   skos:definition "An iron group meteorite of chemical group IIAB."@en ;    skos:inScheme &lt;https://mindat.org/etmat/cscheme&gt; ;    skos:prefLabel "IIAB iron meteorite"@en ; rdfs:label "IIAB iron meteorite"@en ;    skos:notation  "Iron, IIAB"@en ;   dcterms:source "https://www.lpi.usra.edu/meteor/metbullclass.php?sea=Iron,%20IIAB";  skos:broader &lt;etma:1:1:49919:4&gt;, &lt;etma:1:1:49961:7&gt; ;   dcterms:modified "2017-11-10T10:33";  .</v>
      </c>
      <c r="AE387" s="8" t="s">
        <v>2591</v>
      </c>
    </row>
    <row r="388" spans="1:31" x14ac:dyDescent="0.25">
      <c r="A388" s="8">
        <v>347</v>
      </c>
      <c r="B388" s="8" t="s">
        <v>1744</v>
      </c>
      <c r="C388" s="8">
        <v>49923</v>
      </c>
      <c r="D388" s="8" t="s">
        <v>1742</v>
      </c>
      <c r="E388" s="8" t="s">
        <v>1743</v>
      </c>
      <c r="F388" s="9">
        <v>7</v>
      </c>
      <c r="G388" s="9" t="s">
        <v>14</v>
      </c>
      <c r="H388" s="1" t="s">
        <v>1745</v>
      </c>
      <c r="I388" s="8" t="str">
        <f t="shared" si="119"/>
        <v>https://www.mindat.org/min-49923.html</v>
      </c>
      <c r="J388" s="8">
        <v>49922</v>
      </c>
      <c r="K388" s="8" t="s">
        <v>1737</v>
      </c>
      <c r="N388" s="9">
        <v>0</v>
      </c>
      <c r="O388" s="9">
        <v>52382</v>
      </c>
      <c r="P388" s="8" t="s">
        <v>2525</v>
      </c>
      <c r="Q388" s="8" t="s">
        <v>2526</v>
      </c>
      <c r="R388" s="8" t="s">
        <v>1746</v>
      </c>
      <c r="S388" s="11">
        <v>43051.012604166666</v>
      </c>
      <c r="U388" s="8" t="str">
        <f t="shared" si="120"/>
        <v xml:space="preserve">&lt;etma:1:1:49923:7&gt;  rdf:type skos:Concept ;  </v>
      </c>
      <c r="V388" s="8" t="str">
        <f t="shared" si="121"/>
        <v xml:space="preserve"> dcterms:source "https://www.mindat.org/min-49923.html" ; </v>
      </c>
      <c r="W388" s="8" t="str">
        <f t="shared" si="122"/>
        <v xml:space="preserve">skos:definition "An IIAB iron meteorite with anomalous properties."@en ; </v>
      </c>
      <c r="X388" s="8" t="str">
        <f t="shared" si="127"/>
        <v xml:space="preserve"> skos:inScheme &lt;http://example.org/mindat/etmat/cscheme&gt; ;  </v>
      </c>
      <c r="Y388" s="8" t="str">
        <f t="shared" si="124"/>
        <v xml:space="preserve">skos:prefLabel "Anomalous IIAB iron meteorite"@en ; rdfs:label "Anomalous IIAB iron meteorite"@en ; </v>
      </c>
      <c r="Z388" s="8" t="str">
        <f t="shared" si="125"/>
        <v xml:space="preserve">skos:altLabel "IIAB-an iron meteorite"@en ; skos:exactMatch  &lt;etma:1:1:52382:6&gt; ;  skos:notation  "Iron, IIAB-an"@en ; </v>
      </c>
      <c r="AA388" s="8" t="str">
        <f t="shared" si="128"/>
        <v>dcterms:source "https://www.lpi.usra.edu/meteor/metbullclass.php?sea=Iron,%20IIAB-an";</v>
      </c>
      <c r="AB388" s="8" t="str">
        <f t="shared" si="129"/>
        <v xml:space="preserve">skos:broader &lt;etma:1:1:49922:8&gt; ; </v>
      </c>
      <c r="AC388" s="8" t="str">
        <f t="shared" si="130"/>
        <v>dcterms:modified "2017-11-12T00:18";  .</v>
      </c>
      <c r="AD388" s="10" t="str">
        <f t="shared" si="126"/>
        <v>&lt;etma:1:1:49923:7&gt;  rdf:type skos:Concept ;     dcterms:source "https://www.mindat.org/min-49923.html" ;   skos:definition "An IIAB iron meteorite with anomalous properties."@en ;    skos:inScheme &lt;http://example.org/mindat/etmat/cscheme&gt; ;    skos:prefLabel "Anomalous IIAB iron meteorite"@en ; rdfs:label "Anomalous IIAB iron meteorite"@en ;   skos:altLabel "IIAB-an iron meteorite"@en ; skos:exactMatch  &lt;etma:1:1:52382:6&gt; ;  skos:notation  "Iron, IIAB-an"@en ;   dcterms:source "https://www.lpi.usra.edu/meteor/metbullclass.php?sea=Iron,%20IIAB-an";  skos:broader &lt;etma:1:1:49922:8&gt; ;   dcterms:modified "2017-11-12T00:18";  .</v>
      </c>
      <c r="AE388" s="8" t="s">
        <v>2591</v>
      </c>
    </row>
    <row r="389" spans="1:31" x14ac:dyDescent="0.25">
      <c r="A389" s="8">
        <v>348</v>
      </c>
      <c r="B389" s="8" t="s">
        <v>1749</v>
      </c>
      <c r="C389" s="8">
        <v>49924</v>
      </c>
      <c r="D389" s="8" t="s">
        <v>1747</v>
      </c>
      <c r="E389" s="8" t="s">
        <v>1748</v>
      </c>
      <c r="F389" s="9">
        <v>7</v>
      </c>
      <c r="G389" s="9" t="s">
        <v>14</v>
      </c>
      <c r="H389" s="1" t="s">
        <v>1750</v>
      </c>
      <c r="I389" s="8" t="str">
        <f t="shared" si="119"/>
        <v>https://www.mindat.org/min-49924.html</v>
      </c>
      <c r="J389" s="8">
        <v>49919</v>
      </c>
      <c r="K389" s="8" t="s">
        <v>2335</v>
      </c>
      <c r="L389" s="9">
        <v>49961</v>
      </c>
      <c r="M389" s="8" t="s">
        <v>2371</v>
      </c>
      <c r="N389" s="9">
        <v>1</v>
      </c>
      <c r="O389" s="9" t="s">
        <v>2249</v>
      </c>
      <c r="R389" s="8" t="s">
        <v>1751</v>
      </c>
      <c r="S389" s="11">
        <v>43049.472222222219</v>
      </c>
      <c r="U389" s="8" t="str">
        <f t="shared" si="120"/>
        <v xml:space="preserve">&lt;etma:1:1:49924:6&gt;  rdf:type skos:Concept ;  </v>
      </c>
      <c r="V389" s="8" t="str">
        <f t="shared" si="121"/>
        <v xml:space="preserve"> dcterms:source "https://www.mindat.org/min-49924.html" ; </v>
      </c>
      <c r="W389" s="8" t="str">
        <f t="shared" si="122"/>
        <v xml:space="preserve">skos:definition "An iron group meteorite of chemical group IIC."@en ; </v>
      </c>
      <c r="X389" s="8" t="str">
        <f t="shared" ref="X389:X392" si="131">" skos:inScheme &lt;https://mindat.org/etmat/cscheme&gt; ;  "</f>
        <v xml:space="preserve"> skos:inScheme &lt;https://mindat.org/etmat/cscheme&gt; ;  </v>
      </c>
      <c r="Y389" s="8" t="str">
        <f t="shared" si="124"/>
        <v xml:space="preserve">skos:prefLabel "IIC iron meteorite"@en ; rdfs:label "IIC iron meteorite"@en ; </v>
      </c>
      <c r="Z389" s="8" t="str">
        <f t="shared" si="125"/>
        <v xml:space="preserve"> skos:notation  "Iron, IIC"@en ; </v>
      </c>
      <c r="AA389" s="8" t="str">
        <f t="shared" si="128"/>
        <v>dcterms:source "https://www.lpi.usra.edu/meteor/metbullclass.php?sea=Iron,%20IIC";</v>
      </c>
      <c r="AB389" s="8" t="str">
        <f t="shared" si="129"/>
        <v xml:space="preserve">skos:broader &lt;etma:1:1:49919:4&gt;, &lt;etma:1:1:49961:7&gt; ; </v>
      </c>
      <c r="AC389" s="8" t="str">
        <f t="shared" si="130"/>
        <v>dcterms:modified "2017-11-10T11:20";  .</v>
      </c>
      <c r="AD389" s="10" t="str">
        <f t="shared" si="126"/>
        <v>&lt;etma:1:1:49924:6&gt;  rdf:type skos:Concept ;     dcterms:source "https://www.mindat.org/min-49924.html" ;   skos:definition "An iron group meteorite of chemical group IIC."@en ;    skos:inScheme &lt;https://mindat.org/etmat/cscheme&gt; ;    skos:prefLabel "IIC iron meteorite"@en ; rdfs:label "IIC iron meteorite"@en ;    skos:notation  "Iron, IIC"@en ;   dcterms:source "https://www.lpi.usra.edu/meteor/metbullclass.php?sea=Iron,%20IIC";  skos:broader &lt;etma:1:1:49919:4&gt;, &lt;etma:1:1:49961:7&gt; ;   dcterms:modified "2017-11-10T11:20";  .</v>
      </c>
      <c r="AE389" s="8" t="s">
        <v>2591</v>
      </c>
    </row>
    <row r="390" spans="1:31" x14ac:dyDescent="0.25">
      <c r="A390" s="8">
        <v>349</v>
      </c>
      <c r="B390" s="8" t="s">
        <v>1754</v>
      </c>
      <c r="C390" s="8">
        <v>49925</v>
      </c>
      <c r="D390" s="8" t="s">
        <v>1752</v>
      </c>
      <c r="E390" s="8" t="s">
        <v>1753</v>
      </c>
      <c r="F390" s="9">
        <v>7</v>
      </c>
      <c r="G390" s="9" t="s">
        <v>14</v>
      </c>
      <c r="H390" s="1" t="s">
        <v>1755</v>
      </c>
      <c r="I390" s="8" t="str">
        <f t="shared" si="119"/>
        <v>https://www.mindat.org/min-49925.html</v>
      </c>
      <c r="J390" s="8">
        <v>49919</v>
      </c>
      <c r="K390" s="8" t="s">
        <v>2335</v>
      </c>
      <c r="L390" s="9">
        <v>49961</v>
      </c>
      <c r="M390" s="8" t="s">
        <v>2371</v>
      </c>
      <c r="N390" s="9">
        <v>1</v>
      </c>
      <c r="O390" s="9" t="s">
        <v>2249</v>
      </c>
      <c r="R390" s="8" t="s">
        <v>1756</v>
      </c>
      <c r="S390" s="11">
        <v>43049.487812500003</v>
      </c>
      <c r="U390" s="8" t="str">
        <f t="shared" si="120"/>
        <v xml:space="preserve">&lt;etma:1:1:49925:5&gt;  rdf:type skos:Concept ;  </v>
      </c>
      <c r="V390" s="8" t="str">
        <f t="shared" si="121"/>
        <v xml:space="preserve"> dcterms:source "https://www.mindat.org/min-49925.html" ; </v>
      </c>
      <c r="W390" s="8" t="str">
        <f t="shared" si="122"/>
        <v xml:space="preserve">skos:definition "An iron group meteorite of chemical group IID."@en ; </v>
      </c>
      <c r="X390" s="8" t="str">
        <f t="shared" si="131"/>
        <v xml:space="preserve"> skos:inScheme &lt;https://mindat.org/etmat/cscheme&gt; ;  </v>
      </c>
      <c r="Y390" s="8" t="str">
        <f t="shared" si="124"/>
        <v xml:space="preserve">skos:prefLabel "IID iron meteorite"@en ; rdfs:label "IID iron meteorite"@en ; </v>
      </c>
      <c r="Z390" s="8" t="str">
        <f t="shared" si="125"/>
        <v xml:space="preserve"> skos:notation  "Iron, IID"@en ; </v>
      </c>
      <c r="AA390" s="8" t="str">
        <f t="shared" si="128"/>
        <v>dcterms:source "https://www.lpi.usra.edu/meteor/metbullclass.php?sea=Iron,%20IID";</v>
      </c>
      <c r="AB390" s="8" t="str">
        <f t="shared" si="129"/>
        <v xml:space="preserve">skos:broader &lt;etma:1:1:49919:4&gt;, &lt;etma:1:1:49961:7&gt; ; </v>
      </c>
      <c r="AC390" s="8" t="str">
        <f t="shared" si="130"/>
        <v>dcterms:modified "2017-11-10T11:42";  .</v>
      </c>
      <c r="AD390" s="10" t="str">
        <f t="shared" si="126"/>
        <v>&lt;etma:1:1:49925:5&gt;  rdf:type skos:Concept ;     dcterms:source "https://www.mindat.org/min-49925.html" ;   skos:definition "An iron group meteorite of chemical group IID."@en ;    skos:inScheme &lt;https://mindat.org/etmat/cscheme&gt; ;    skos:prefLabel "IID iron meteorite"@en ; rdfs:label "IID iron meteorite"@en ;    skos:notation  "Iron, IID"@en ;   dcterms:source "https://www.lpi.usra.edu/meteor/metbullclass.php?sea=Iron,%20IID";  skos:broader &lt;etma:1:1:49919:4&gt;, &lt;etma:1:1:49961:7&gt; ;   dcterms:modified "2017-11-10T11:42";  .</v>
      </c>
      <c r="AE390" s="8" t="s">
        <v>2591</v>
      </c>
    </row>
    <row r="391" spans="1:31" x14ac:dyDescent="0.25">
      <c r="A391" s="8">
        <v>350</v>
      </c>
      <c r="B391" s="8" t="s">
        <v>1759</v>
      </c>
      <c r="C391" s="8">
        <v>49926</v>
      </c>
      <c r="D391" s="8" t="s">
        <v>1757</v>
      </c>
      <c r="E391" s="8" t="s">
        <v>1758</v>
      </c>
      <c r="F391" s="9">
        <v>7</v>
      </c>
      <c r="G391" s="9" t="s">
        <v>14</v>
      </c>
      <c r="H391" s="1" t="s">
        <v>1760</v>
      </c>
      <c r="I391" s="8" t="str">
        <f t="shared" si="119"/>
        <v>https://www.mindat.org/min-49926.html</v>
      </c>
      <c r="J391" s="8">
        <v>49925</v>
      </c>
      <c r="K391" s="8" t="s">
        <v>1752</v>
      </c>
      <c r="N391" s="9">
        <v>0</v>
      </c>
      <c r="O391" s="9" t="s">
        <v>2249</v>
      </c>
      <c r="R391" s="8" t="s">
        <v>1761</v>
      </c>
      <c r="S391" s="11">
        <v>43051.012824074074</v>
      </c>
      <c r="U391" s="8" t="str">
        <f t="shared" si="120"/>
        <v xml:space="preserve">&lt;etma:1:1:49926:4&gt;  rdf:type skos:Concept ;  </v>
      </c>
      <c r="V391" s="8" t="str">
        <f t="shared" si="121"/>
        <v xml:space="preserve"> dcterms:source "https://www.mindat.org/min-49926.html" ; </v>
      </c>
      <c r="W391" s="8" t="str">
        <f t="shared" si="122"/>
        <v xml:space="preserve">skos:definition "An IID iron meteorite with anomalous properties."@en ; </v>
      </c>
      <c r="X391" s="8" t="str">
        <f t="shared" si="131"/>
        <v xml:space="preserve"> skos:inScheme &lt;https://mindat.org/etmat/cscheme&gt; ;  </v>
      </c>
      <c r="Y391" s="8" t="str">
        <f t="shared" si="124"/>
        <v xml:space="preserve">skos:prefLabel "Anomalous IID iron meteorite"@en ; rdfs:label "Anomalous IID iron meteorite"@en ; </v>
      </c>
      <c r="Z391" s="8" t="str">
        <f t="shared" si="125"/>
        <v xml:space="preserve"> skos:notation  "Iron, IID-an"@en ; </v>
      </c>
      <c r="AA391" s="8" t="str">
        <f t="shared" si="128"/>
        <v>dcterms:source "https://www.lpi.usra.edu/meteor/metbullclass.php?sea=Iron,%20IID-an";</v>
      </c>
      <c r="AB391" s="8" t="str">
        <f t="shared" si="129"/>
        <v xml:space="preserve">skos:broader &lt;etma:1:1:49925:5&gt; ; </v>
      </c>
      <c r="AC391" s="8" t="str">
        <f t="shared" si="130"/>
        <v>dcterms:modified "2017-11-12T00:18";  .</v>
      </c>
      <c r="AD391" s="10" t="str">
        <f t="shared" si="126"/>
        <v>&lt;etma:1:1:49926:4&gt;  rdf:type skos:Concept ;     dcterms:source "https://www.mindat.org/min-49926.html" ;   skos:definition "An IID iron meteorite with anomalous properties."@en ;    skos:inScheme &lt;https://mindat.org/etmat/cscheme&gt; ;    skos:prefLabel "Anomalous IID iron meteorite"@en ; rdfs:label "Anomalous IID iron meteorite"@en ;    skos:notation  "Iron, IID-an"@en ;   dcterms:source "https://www.lpi.usra.edu/meteor/metbullclass.php?sea=Iron,%20IID-an";  skos:broader &lt;etma:1:1:49925:5&gt; ;   dcterms:modified "2017-11-12T00:18";  .</v>
      </c>
      <c r="AE391" s="8" t="s">
        <v>2591</v>
      </c>
    </row>
    <row r="392" spans="1:31" x14ac:dyDescent="0.25">
      <c r="A392" s="8">
        <v>351</v>
      </c>
      <c r="B392" s="8" t="s">
        <v>1764</v>
      </c>
      <c r="C392" s="8">
        <v>49927</v>
      </c>
      <c r="D392" s="8" t="s">
        <v>1762</v>
      </c>
      <c r="E392" s="8" t="s">
        <v>1763</v>
      </c>
      <c r="F392" s="9">
        <v>7</v>
      </c>
      <c r="G392" s="9" t="s">
        <v>14</v>
      </c>
      <c r="H392" s="1" t="s">
        <v>1765</v>
      </c>
      <c r="I392" s="8" t="str">
        <f t="shared" si="119"/>
        <v>https://www.mindat.org/min-49927.html</v>
      </c>
      <c r="J392" s="8">
        <v>49919</v>
      </c>
      <c r="K392" s="8" t="s">
        <v>2335</v>
      </c>
      <c r="L392" s="9">
        <v>49962</v>
      </c>
      <c r="M392" s="8" t="s">
        <v>2333</v>
      </c>
      <c r="N392" s="9">
        <v>1</v>
      </c>
      <c r="O392" s="9" t="s">
        <v>2249</v>
      </c>
      <c r="R392" s="8" t="s">
        <v>1766</v>
      </c>
      <c r="S392" s="11">
        <v>43049.488078703704</v>
      </c>
      <c r="U392" s="8" t="str">
        <f t="shared" si="120"/>
        <v xml:space="preserve">&lt;etma:1:1:49927:3&gt;  rdf:type skos:Concept ;  </v>
      </c>
      <c r="V392" s="8" t="str">
        <f t="shared" si="121"/>
        <v xml:space="preserve"> dcterms:source "https://www.mindat.org/min-49927.html" ; </v>
      </c>
      <c r="W392" s="8" t="str">
        <f t="shared" si="122"/>
        <v xml:space="preserve">skos:definition "An iron group meteorite of chemical group IIE."@en ; </v>
      </c>
      <c r="X392" s="8" t="str">
        <f t="shared" si="131"/>
        <v xml:space="preserve"> skos:inScheme &lt;https://mindat.org/etmat/cscheme&gt; ;  </v>
      </c>
      <c r="Y392" s="8" t="str">
        <f t="shared" si="124"/>
        <v xml:space="preserve">skos:prefLabel "IIE iron meteorite"@en ; rdfs:label "IIE iron meteorite"@en ; </v>
      </c>
      <c r="Z392" s="8" t="str">
        <f t="shared" si="125"/>
        <v xml:space="preserve"> skos:notation  "Iron, IIE"@en ; </v>
      </c>
      <c r="AA392" s="8" t="str">
        <f t="shared" si="128"/>
        <v>dcterms:source "https://www.lpi.usra.edu/meteor/metbullclass.php?sea=Iron,%20IIE";</v>
      </c>
      <c r="AB392" s="8" t="str">
        <f t="shared" si="129"/>
        <v xml:space="preserve">skos:broader &lt;etma:1:1:49919:4&gt;, &lt;etma:1:1:49962:6&gt; ; </v>
      </c>
      <c r="AC392" s="8" t="str">
        <f t="shared" si="130"/>
        <v>dcterms:modified "2017-11-10T11:42";  .</v>
      </c>
      <c r="AD392" s="10" t="str">
        <f t="shared" si="126"/>
        <v>&lt;etma:1:1:49927:3&gt;  rdf:type skos:Concept ;     dcterms:source "https://www.mindat.org/min-49927.html" ;   skos:definition "An iron group meteorite of chemical group IIE."@en ;    skos:inScheme &lt;https://mindat.org/etmat/cscheme&gt; ;    skos:prefLabel "IIE iron meteorite"@en ; rdfs:label "IIE iron meteorite"@en ;    skos:notation  "Iron, IIE"@en ;   dcterms:source "https://www.lpi.usra.edu/meteor/metbullclass.php?sea=Iron,%20IIE";  skos:broader &lt;etma:1:1:49919:4&gt;, &lt;etma:1:1:49962:6&gt; ;   dcterms:modified "2017-11-10T11:42";  .</v>
      </c>
      <c r="AE392" s="8" t="s">
        <v>2591</v>
      </c>
    </row>
    <row r="393" spans="1:31" x14ac:dyDescent="0.25">
      <c r="A393" s="8">
        <v>352</v>
      </c>
      <c r="B393" s="8" t="s">
        <v>1769</v>
      </c>
      <c r="C393" s="8">
        <v>49928</v>
      </c>
      <c r="D393" s="8" t="s">
        <v>1767</v>
      </c>
      <c r="E393" s="8" t="s">
        <v>1768</v>
      </c>
      <c r="F393" s="9">
        <v>7</v>
      </c>
      <c r="G393" s="9" t="s">
        <v>14</v>
      </c>
      <c r="H393" s="1" t="s">
        <v>1770</v>
      </c>
      <c r="I393" s="8" t="str">
        <f t="shared" si="119"/>
        <v>https://www.mindat.org/min-49928.html</v>
      </c>
      <c r="J393" s="8">
        <v>49927</v>
      </c>
      <c r="K393" s="8" t="s">
        <v>1762</v>
      </c>
      <c r="N393" s="9">
        <v>0</v>
      </c>
      <c r="O393" s="9">
        <v>52383</v>
      </c>
      <c r="P393" s="8" t="s">
        <v>2527</v>
      </c>
      <c r="Q393" s="8" t="s">
        <v>2528</v>
      </c>
      <c r="R393" s="8" t="s">
        <v>1771</v>
      </c>
      <c r="S393" s="11">
        <v>43051.013275462959</v>
      </c>
      <c r="U393" s="8" t="str">
        <f t="shared" si="120"/>
        <v xml:space="preserve">&lt;etma:1:1:49928:2&gt;  rdf:type skos:Concept ;  </v>
      </c>
      <c r="V393" s="8" t="str">
        <f t="shared" si="121"/>
        <v xml:space="preserve"> dcterms:source "https://www.mindat.org/min-49928.html" ; </v>
      </c>
      <c r="W393" s="8" t="str">
        <f t="shared" si="122"/>
        <v xml:space="preserve">skos:definition "An IIE iron meteorite with anomalous properties."@en ; </v>
      </c>
      <c r="X393" s="8" t="str">
        <f t="shared" si="127"/>
        <v xml:space="preserve"> skos:inScheme &lt;http://example.org/mindat/etmat/cscheme&gt; ;  </v>
      </c>
      <c r="Y393" s="8" t="str">
        <f t="shared" si="124"/>
        <v xml:space="preserve">skos:prefLabel "Anomalous IIE iron meteorite"@en ; rdfs:label "Anomalous IIE iron meteorite"@en ; </v>
      </c>
      <c r="Z393" s="8" t="str">
        <f t="shared" si="125"/>
        <v xml:space="preserve">skos:altLabel "IIE-an iron meteorite"@en ; skos:exactMatch  &lt;etma:1:1:52383:5&gt; ;  skos:notation  "Iron, IIE-an"@en ; </v>
      </c>
      <c r="AA393" s="8" t="str">
        <f t="shared" si="128"/>
        <v>dcterms:source "https://www.lpi.usra.edu/meteor/metbullclass.php?sea=Iron,%20IIE-an";</v>
      </c>
      <c r="AB393" s="8" t="str">
        <f t="shared" si="129"/>
        <v xml:space="preserve">skos:broader &lt;etma:1:1:49927:3&gt; ; </v>
      </c>
      <c r="AC393" s="8" t="str">
        <f t="shared" si="130"/>
        <v>dcterms:modified "2017-11-12T00:19";  .</v>
      </c>
      <c r="AD393" s="10" t="str">
        <f t="shared" si="126"/>
        <v>&lt;etma:1:1:49928:2&gt;  rdf:type skos:Concept ;     dcterms:source "https://www.mindat.org/min-49928.html" ;   skos:definition "An IIE iron meteorite with anomalous properties."@en ;    skos:inScheme &lt;http://example.org/mindat/etmat/cscheme&gt; ;    skos:prefLabel "Anomalous IIE iron meteorite"@en ; rdfs:label "Anomalous IIE iron meteorite"@en ;   skos:altLabel "IIE-an iron meteorite"@en ; skos:exactMatch  &lt;etma:1:1:52383:5&gt; ;  skos:notation  "Iron, IIE-an"@en ;   dcterms:source "https://www.lpi.usra.edu/meteor/metbullclass.php?sea=Iron,%20IIE-an";  skos:broader &lt;etma:1:1:49927:3&gt; ;   dcterms:modified "2017-11-12T00:19";  .</v>
      </c>
      <c r="AE393" s="8" t="s">
        <v>2591</v>
      </c>
    </row>
    <row r="394" spans="1:31" x14ac:dyDescent="0.25">
      <c r="A394" s="8">
        <v>353</v>
      </c>
      <c r="B394" s="8" t="s">
        <v>1774</v>
      </c>
      <c r="C394" s="8">
        <v>49929</v>
      </c>
      <c r="D394" s="8" t="s">
        <v>1772</v>
      </c>
      <c r="E394" s="8" t="s">
        <v>1773</v>
      </c>
      <c r="F394" s="9">
        <v>7</v>
      </c>
      <c r="G394" s="9" t="s">
        <v>14</v>
      </c>
      <c r="H394" s="1" t="s">
        <v>1775</v>
      </c>
      <c r="I394" s="8" t="str">
        <f t="shared" si="119"/>
        <v>https://www.mindat.org/min-49929.html</v>
      </c>
      <c r="J394" s="8">
        <v>49919</v>
      </c>
      <c r="K394" s="8" t="s">
        <v>2335</v>
      </c>
      <c r="L394" s="9">
        <v>49961</v>
      </c>
      <c r="M394" s="8" t="s">
        <v>2371</v>
      </c>
      <c r="N394" s="9">
        <v>1</v>
      </c>
      <c r="O394" s="9" t="s">
        <v>2249</v>
      </c>
      <c r="R394" s="8" t="s">
        <v>1776</v>
      </c>
      <c r="S394" s="11">
        <v>43049.488738425927</v>
      </c>
      <c r="U394" s="8" t="str">
        <f t="shared" si="120"/>
        <v xml:space="preserve">&lt;etma:1:1:49929:1&gt;  rdf:type skos:Concept ;  </v>
      </c>
      <c r="V394" s="8" t="str">
        <f t="shared" si="121"/>
        <v xml:space="preserve"> dcterms:source "https://www.mindat.org/min-49929.html" ; </v>
      </c>
      <c r="W394" s="8" t="str">
        <f t="shared" si="122"/>
        <v xml:space="preserve">skos:definition "An iron group meteorite of chemical group IIF."@en ; </v>
      </c>
      <c r="X394" s="8" t="str">
        <f t="shared" ref="X394:X395" si="132">" skos:inScheme &lt;https://mindat.org/etmat/cscheme&gt; ;  "</f>
        <v xml:space="preserve"> skos:inScheme &lt;https://mindat.org/etmat/cscheme&gt; ;  </v>
      </c>
      <c r="Y394" s="8" t="str">
        <f t="shared" si="124"/>
        <v xml:space="preserve">skos:prefLabel "IIF iron meteorite"@en ; rdfs:label "IIF iron meteorite"@en ; </v>
      </c>
      <c r="Z394" s="8" t="str">
        <f t="shared" si="125"/>
        <v xml:space="preserve"> skos:notation  "Iron, IIF"@en ; </v>
      </c>
      <c r="AA394" s="8" t="str">
        <f t="shared" si="128"/>
        <v>dcterms:source "https://www.lpi.usra.edu/meteor/metbullclass.php?sea=Iron,%20IIF";</v>
      </c>
      <c r="AB394" s="8" t="str">
        <f t="shared" si="129"/>
        <v xml:space="preserve">skos:broader &lt;etma:1:1:49919:4&gt;, &lt;etma:1:1:49961:7&gt; ; </v>
      </c>
      <c r="AC394" s="8" t="str">
        <f t="shared" si="130"/>
        <v>dcterms:modified "2017-11-10T11:43";  .</v>
      </c>
      <c r="AD394" s="10" t="str">
        <f t="shared" si="126"/>
        <v>&lt;etma:1:1:49929:1&gt;  rdf:type skos:Concept ;     dcterms:source "https://www.mindat.org/min-49929.html" ;   skos:definition "An iron group meteorite of chemical group IIF."@en ;    skos:inScheme &lt;https://mindat.org/etmat/cscheme&gt; ;    skos:prefLabel "IIF iron meteorite"@en ; rdfs:label "IIF iron meteorite"@en ;    skos:notation  "Iron, IIF"@en ;   dcterms:source "https://www.lpi.usra.edu/meteor/metbullclass.php?sea=Iron,%20IIF";  skos:broader &lt;etma:1:1:49919:4&gt;, &lt;etma:1:1:49961:7&gt; ;   dcterms:modified "2017-11-10T11:43";  .</v>
      </c>
      <c r="AE394" s="8" t="s">
        <v>2591</v>
      </c>
    </row>
    <row r="395" spans="1:31" x14ac:dyDescent="0.25">
      <c r="A395" s="8">
        <v>354</v>
      </c>
      <c r="B395" s="8" t="s">
        <v>1779</v>
      </c>
      <c r="C395" s="8">
        <v>49930</v>
      </c>
      <c r="D395" s="8" t="s">
        <v>1777</v>
      </c>
      <c r="E395" s="8" t="s">
        <v>1778</v>
      </c>
      <c r="F395" s="9">
        <v>7</v>
      </c>
      <c r="G395" s="9" t="s">
        <v>14</v>
      </c>
      <c r="H395" s="1" t="s">
        <v>1780</v>
      </c>
      <c r="I395" s="8" t="str">
        <f t="shared" si="119"/>
        <v>https://www.mindat.org/min-49930.html</v>
      </c>
      <c r="J395" s="8">
        <v>49919</v>
      </c>
      <c r="K395" s="8" t="s">
        <v>2335</v>
      </c>
      <c r="L395" s="9">
        <v>49961</v>
      </c>
      <c r="M395" s="8" t="s">
        <v>2371</v>
      </c>
      <c r="N395" s="9">
        <v>1</v>
      </c>
      <c r="O395" s="9" t="s">
        <v>2249</v>
      </c>
      <c r="R395" s="8" t="s">
        <v>1781</v>
      </c>
      <c r="S395" s="11">
        <v>43049.489791666667</v>
      </c>
      <c r="U395" s="8" t="str">
        <f t="shared" si="120"/>
        <v xml:space="preserve">&lt;etma:1:1:49930:7&gt;  rdf:type skos:Concept ;  </v>
      </c>
      <c r="V395" s="8" t="str">
        <f t="shared" si="121"/>
        <v xml:space="preserve"> dcterms:source "https://www.mindat.org/min-49930.html" ; </v>
      </c>
      <c r="W395" s="8" t="str">
        <f t="shared" si="122"/>
        <v xml:space="preserve">skos:definition "An iron group meteorite of chemical group IIIAB."@en ; </v>
      </c>
      <c r="X395" s="8" t="str">
        <f t="shared" si="132"/>
        <v xml:space="preserve"> skos:inScheme &lt;https://mindat.org/etmat/cscheme&gt; ;  </v>
      </c>
      <c r="Y395" s="8" t="str">
        <f t="shared" si="124"/>
        <v xml:space="preserve">skos:prefLabel "IIIAB iron meteorite"@en ; rdfs:label "IIIAB iron meteorite"@en ; </v>
      </c>
      <c r="Z395" s="8" t="str">
        <f t="shared" si="125"/>
        <v xml:space="preserve"> skos:notation  "Iron, IIIAB"@en ; </v>
      </c>
      <c r="AA395" s="8" t="str">
        <f t="shared" si="128"/>
        <v>dcterms:source "https://www.lpi.usra.edu/meteor/metbullclass.php?sea=Iron,%20IIIAB";</v>
      </c>
      <c r="AB395" s="8" t="str">
        <f t="shared" si="129"/>
        <v xml:space="preserve">skos:broader &lt;etma:1:1:49919:4&gt;, &lt;etma:1:1:49961:7&gt; ; </v>
      </c>
      <c r="AC395" s="8" t="str">
        <f t="shared" si="130"/>
        <v>dcterms:modified "2017-11-10T11:45";  .</v>
      </c>
      <c r="AD395" s="10" t="str">
        <f t="shared" si="126"/>
        <v>&lt;etma:1:1:49930:7&gt;  rdf:type skos:Concept ;     dcterms:source "https://www.mindat.org/min-49930.html" ;   skos:definition "An iron group meteorite of chemical group IIIAB."@en ;    skos:inScheme &lt;https://mindat.org/etmat/cscheme&gt; ;    skos:prefLabel "IIIAB iron meteorite"@en ; rdfs:label "IIIAB iron meteorite"@en ;    skos:notation  "Iron, IIIAB"@en ;   dcterms:source "https://www.lpi.usra.edu/meteor/metbullclass.php?sea=Iron,%20IIIAB";  skos:broader &lt;etma:1:1:49919:4&gt;, &lt;etma:1:1:49961:7&gt; ;   dcterms:modified "2017-11-10T11:45";  .</v>
      </c>
      <c r="AE395" s="8" t="s">
        <v>2591</v>
      </c>
    </row>
    <row r="396" spans="1:31" x14ac:dyDescent="0.25">
      <c r="A396" s="8">
        <v>355</v>
      </c>
      <c r="B396" s="8" t="s">
        <v>1784</v>
      </c>
      <c r="C396" s="8">
        <v>49931</v>
      </c>
      <c r="D396" s="8" t="s">
        <v>1782</v>
      </c>
      <c r="E396" s="8" t="s">
        <v>1783</v>
      </c>
      <c r="F396" s="9">
        <v>7</v>
      </c>
      <c r="G396" s="9" t="s">
        <v>14</v>
      </c>
      <c r="H396" s="1" t="s">
        <v>1785</v>
      </c>
      <c r="I396" s="8" t="str">
        <f t="shared" si="119"/>
        <v>https://www.mindat.org/min-49931.html</v>
      </c>
      <c r="J396" s="8">
        <v>49930</v>
      </c>
      <c r="K396" s="8" t="s">
        <v>1777</v>
      </c>
      <c r="N396" s="9">
        <v>0</v>
      </c>
      <c r="O396" s="9">
        <v>52384</v>
      </c>
      <c r="P396" s="8" t="s">
        <v>2529</v>
      </c>
      <c r="Q396" s="8" t="s">
        <v>2530</v>
      </c>
      <c r="R396" s="8" t="s">
        <v>1786</v>
      </c>
      <c r="S396" s="11">
        <v>43051.013611111113</v>
      </c>
      <c r="U396" s="8" t="str">
        <f t="shared" si="120"/>
        <v xml:space="preserve">&lt;etma:1:1:49931:6&gt;  rdf:type skos:Concept ;  </v>
      </c>
      <c r="V396" s="8" t="str">
        <f t="shared" si="121"/>
        <v xml:space="preserve"> dcterms:source "https://www.mindat.org/min-49931.html" ; </v>
      </c>
      <c r="W396" s="8" t="str">
        <f t="shared" si="122"/>
        <v xml:space="preserve">skos:definition "An IIIAB iron meteorite with anomalous properties."@en ; </v>
      </c>
      <c r="X396" s="8" t="str">
        <f t="shared" si="127"/>
        <v xml:space="preserve"> skos:inScheme &lt;http://example.org/mindat/etmat/cscheme&gt; ;  </v>
      </c>
      <c r="Y396" s="8" t="str">
        <f t="shared" si="124"/>
        <v xml:space="preserve">skos:prefLabel "Anomalous IIIAB iron meteorite"@en ; rdfs:label "Anomalous IIIAB iron meteorite"@en ; </v>
      </c>
      <c r="Z396" s="8" t="str">
        <f t="shared" si="125"/>
        <v xml:space="preserve">skos:altLabel "IIIAB-an iron meteorite"@en ; skos:exactMatch  &lt;etma:1:1:52384:4&gt; ;  skos:notation  "Iron, IIIAB-an"@en ; </v>
      </c>
      <c r="AA396" s="8" t="str">
        <f t="shared" si="128"/>
        <v>dcterms:source "https://www.lpi.usra.edu/meteor/metbullclass.php?sea=Iron,%20IIIAB-an";</v>
      </c>
      <c r="AB396" s="8" t="str">
        <f t="shared" si="129"/>
        <v xml:space="preserve">skos:broader &lt;etma:1:1:49930:7&gt; ; </v>
      </c>
      <c r="AC396" s="8" t="str">
        <f t="shared" si="130"/>
        <v>dcterms:modified "2017-11-12T00:19";  .</v>
      </c>
      <c r="AD396" s="10" t="str">
        <f t="shared" si="126"/>
        <v>&lt;etma:1:1:49931:6&gt;  rdf:type skos:Concept ;     dcterms:source "https://www.mindat.org/min-49931.html" ;   skos:definition "An IIIAB iron meteorite with anomalous properties."@en ;    skos:inScheme &lt;http://example.org/mindat/etmat/cscheme&gt; ;    skos:prefLabel "Anomalous IIIAB iron meteorite"@en ; rdfs:label "Anomalous IIIAB iron meteorite"@en ;   skos:altLabel "IIIAB-an iron meteorite"@en ; skos:exactMatch  &lt;etma:1:1:52384:4&gt; ;  skos:notation  "Iron, IIIAB-an"@en ;   dcterms:source "https://www.lpi.usra.edu/meteor/metbullclass.php?sea=Iron,%20IIIAB-an";  skos:broader &lt;etma:1:1:49930:7&gt; ;   dcterms:modified "2017-11-12T00:19";  .</v>
      </c>
      <c r="AE396" s="8" t="s">
        <v>2591</v>
      </c>
    </row>
    <row r="397" spans="1:31" x14ac:dyDescent="0.25">
      <c r="A397" s="8">
        <v>356</v>
      </c>
      <c r="B397" s="8" t="s">
        <v>1789</v>
      </c>
      <c r="C397" s="8">
        <v>49932</v>
      </c>
      <c r="D397" s="8" t="s">
        <v>1787</v>
      </c>
      <c r="E397" s="8" t="s">
        <v>1788</v>
      </c>
      <c r="F397" s="9">
        <v>7</v>
      </c>
      <c r="G397" s="9" t="s">
        <v>14</v>
      </c>
      <c r="H397" s="1" t="s">
        <v>1790</v>
      </c>
      <c r="I397" s="8" t="str">
        <f t="shared" si="119"/>
        <v>https://www.mindat.org/min-49932.html</v>
      </c>
      <c r="J397" s="8">
        <v>49919</v>
      </c>
      <c r="K397" s="8" t="s">
        <v>2335</v>
      </c>
      <c r="L397" s="9">
        <v>49961</v>
      </c>
      <c r="M397" s="8" t="s">
        <v>2371</v>
      </c>
      <c r="N397" s="9">
        <v>1</v>
      </c>
      <c r="O397" s="9" t="s">
        <v>2249</v>
      </c>
      <c r="R397" s="8" t="s">
        <v>1791</v>
      </c>
      <c r="S397" s="11">
        <v>43049.490034722221</v>
      </c>
      <c r="U397" s="8" t="str">
        <f t="shared" si="120"/>
        <v xml:space="preserve">&lt;etma:1:1:49932:5&gt;  rdf:type skos:Concept ;  </v>
      </c>
      <c r="V397" s="8" t="str">
        <f t="shared" si="121"/>
        <v xml:space="preserve"> dcterms:source "https://www.mindat.org/min-49932.html" ; </v>
      </c>
      <c r="W397" s="8" t="str">
        <f t="shared" si="122"/>
        <v xml:space="preserve">skos:definition "An iron group meteorite of chemical group IIIE."@en ; </v>
      </c>
      <c r="X397" s="8" t="str">
        <f>" skos:inScheme &lt;https://mindat.org/etmat/cscheme&gt; ;  "</f>
        <v xml:space="preserve"> skos:inScheme &lt;https://mindat.org/etmat/cscheme&gt; ;  </v>
      </c>
      <c r="Y397" s="8" t="str">
        <f t="shared" si="124"/>
        <v xml:space="preserve">skos:prefLabel "IIIE iron meteorite"@en ; rdfs:label "IIIE iron meteorite"@en ; </v>
      </c>
      <c r="Z397" s="8" t="str">
        <f t="shared" si="125"/>
        <v xml:space="preserve"> skos:notation  "Iron, IIIE"@en ; </v>
      </c>
      <c r="AA397" s="8" t="str">
        <f t="shared" si="128"/>
        <v>dcterms:source "https://www.lpi.usra.edu/meteor/metbullclass.php?sea=Iron,%20IIIE";</v>
      </c>
      <c r="AB397" s="8" t="str">
        <f t="shared" si="129"/>
        <v xml:space="preserve">skos:broader &lt;etma:1:1:49919:4&gt;, &lt;etma:1:1:49961:7&gt; ; </v>
      </c>
      <c r="AC397" s="8" t="str">
        <f t="shared" si="130"/>
        <v>dcterms:modified "2017-11-10T11:45";  .</v>
      </c>
      <c r="AD397" s="10" t="str">
        <f t="shared" si="126"/>
        <v>&lt;etma:1:1:49932:5&gt;  rdf:type skos:Concept ;     dcterms:source "https://www.mindat.org/min-49932.html" ;   skos:definition "An iron group meteorite of chemical group IIIE."@en ;    skos:inScheme &lt;https://mindat.org/etmat/cscheme&gt; ;    skos:prefLabel "IIIE iron meteorite"@en ; rdfs:label "IIIE iron meteorite"@en ;    skos:notation  "Iron, IIIE"@en ;   dcterms:source "https://www.lpi.usra.edu/meteor/metbullclass.php?sea=Iron,%20IIIE";  skos:broader &lt;etma:1:1:49919:4&gt;, &lt;etma:1:1:49961:7&gt; ;   dcterms:modified "2017-11-10T11:45";  .</v>
      </c>
      <c r="AE397" s="8" t="s">
        <v>2591</v>
      </c>
    </row>
    <row r="398" spans="1:31" x14ac:dyDescent="0.25">
      <c r="A398" s="8">
        <v>357</v>
      </c>
      <c r="B398" s="8" t="s">
        <v>1794</v>
      </c>
      <c r="C398" s="8">
        <v>49933</v>
      </c>
      <c r="D398" s="8" t="s">
        <v>1792</v>
      </c>
      <c r="E398" s="8" t="s">
        <v>1793</v>
      </c>
      <c r="F398" s="9">
        <v>7</v>
      </c>
      <c r="G398" s="9" t="s">
        <v>14</v>
      </c>
      <c r="H398" s="1" t="s">
        <v>1795</v>
      </c>
      <c r="I398" s="8" t="str">
        <f t="shared" si="119"/>
        <v>https://www.mindat.org/min-49933.html</v>
      </c>
      <c r="J398" s="8">
        <v>49932</v>
      </c>
      <c r="K398" s="8" t="s">
        <v>1787</v>
      </c>
      <c r="N398" s="9">
        <v>0</v>
      </c>
      <c r="O398" s="9">
        <v>52385</v>
      </c>
      <c r="P398" s="8" t="s">
        <v>2531</v>
      </c>
      <c r="Q398" s="8" t="s">
        <v>2532</v>
      </c>
      <c r="R398" s="8" t="s">
        <v>1796</v>
      </c>
      <c r="S398" s="11">
        <v>43051.013888888891</v>
      </c>
      <c r="U398" s="8" t="str">
        <f t="shared" si="120"/>
        <v xml:space="preserve">&lt;etma:1:1:49933:4&gt;  rdf:type skos:Concept ;  </v>
      </c>
      <c r="V398" s="8" t="str">
        <f t="shared" si="121"/>
        <v xml:space="preserve"> dcterms:source "https://www.mindat.org/min-49933.html" ; </v>
      </c>
      <c r="W398" s="8" t="str">
        <f t="shared" si="122"/>
        <v xml:space="preserve">skos:definition "An IIIE iron meteorite with anomalous properties."@en ; </v>
      </c>
      <c r="X398" s="8" t="str">
        <f t="shared" si="127"/>
        <v xml:space="preserve"> skos:inScheme &lt;http://example.org/mindat/etmat/cscheme&gt; ;  </v>
      </c>
      <c r="Y398" s="8" t="str">
        <f t="shared" si="124"/>
        <v xml:space="preserve">skos:prefLabel "Anomalous IIIE iron meteorite"@en ; rdfs:label "Anomalous IIIE iron meteorite"@en ; </v>
      </c>
      <c r="Z398" s="8" t="str">
        <f t="shared" si="125"/>
        <v xml:space="preserve">skos:altLabel "IIIE-an iron meteorite"@en ; skos:exactMatch  &lt;etma:1:1:52385:3&gt; ;  skos:notation  "Iron, IIIE-an"@en ; </v>
      </c>
      <c r="AA398" s="8" t="str">
        <f t="shared" si="128"/>
        <v>dcterms:source "https://www.lpi.usra.edu/meteor/metbullclass.php?sea=Iron,%20IIIE-an";</v>
      </c>
      <c r="AB398" s="8" t="str">
        <f t="shared" si="129"/>
        <v xml:space="preserve">skos:broader &lt;etma:1:1:49932:5&gt; ; </v>
      </c>
      <c r="AC398" s="8" t="str">
        <f t="shared" si="130"/>
        <v>dcterms:modified "2017-11-12T00:20";  .</v>
      </c>
      <c r="AD398" s="10" t="str">
        <f t="shared" si="126"/>
        <v>&lt;etma:1:1:49933:4&gt;  rdf:type skos:Concept ;     dcterms:source "https://www.mindat.org/min-49933.html" ;   skos:definition "An IIIE iron meteorite with anomalous properties."@en ;    skos:inScheme &lt;http://example.org/mindat/etmat/cscheme&gt; ;    skos:prefLabel "Anomalous IIIE iron meteorite"@en ; rdfs:label "Anomalous IIIE iron meteorite"@en ;   skos:altLabel "IIIE-an iron meteorite"@en ; skos:exactMatch  &lt;etma:1:1:52385:3&gt; ;  skos:notation  "Iron, IIIE-an"@en ;   dcterms:source "https://www.lpi.usra.edu/meteor/metbullclass.php?sea=Iron,%20IIIE-an";  skos:broader &lt;etma:1:1:49932:5&gt; ;   dcterms:modified "2017-11-12T00:20";  .</v>
      </c>
      <c r="AE398" s="8" t="s">
        <v>2591</v>
      </c>
    </row>
    <row r="399" spans="1:31" x14ac:dyDescent="0.25">
      <c r="A399" s="8">
        <v>358</v>
      </c>
      <c r="B399" s="8" t="s">
        <v>1799</v>
      </c>
      <c r="C399" s="8">
        <v>49934</v>
      </c>
      <c r="D399" s="8" t="s">
        <v>1797</v>
      </c>
      <c r="E399" s="8" t="s">
        <v>1798</v>
      </c>
      <c r="F399" s="9">
        <v>7</v>
      </c>
      <c r="G399" s="9" t="s">
        <v>14</v>
      </c>
      <c r="H399" s="1" t="s">
        <v>1800</v>
      </c>
      <c r="I399" s="8" t="str">
        <f t="shared" si="119"/>
        <v>https://www.mindat.org/min-49934.html</v>
      </c>
      <c r="J399" s="8">
        <v>49919</v>
      </c>
      <c r="K399" s="8" t="s">
        <v>2335</v>
      </c>
      <c r="L399" s="9">
        <v>49961</v>
      </c>
      <c r="M399" s="8" t="s">
        <v>2371</v>
      </c>
      <c r="N399" s="9">
        <v>1</v>
      </c>
      <c r="O399" s="9" t="s">
        <v>2249</v>
      </c>
      <c r="R399" s="8" t="s">
        <v>1801</v>
      </c>
      <c r="S399" s="11">
        <v>43049.491053240738</v>
      </c>
      <c r="U399" s="8" t="str">
        <f t="shared" si="120"/>
        <v xml:space="preserve">&lt;etma:1:1:49934:3&gt;  rdf:type skos:Concept ;  </v>
      </c>
      <c r="V399" s="8" t="str">
        <f t="shared" si="121"/>
        <v xml:space="preserve"> dcterms:source "https://www.mindat.org/min-49934.html" ; </v>
      </c>
      <c r="W399" s="8" t="str">
        <f t="shared" si="122"/>
        <v xml:space="preserve">skos:definition "An iron group meteorite of chemical group IIIF."@en ; </v>
      </c>
      <c r="X399" s="8" t="str">
        <f t="shared" ref="X399:X400" si="133">" skos:inScheme &lt;https://mindat.org/etmat/cscheme&gt; ;  "</f>
        <v xml:space="preserve"> skos:inScheme &lt;https://mindat.org/etmat/cscheme&gt; ;  </v>
      </c>
      <c r="Y399" s="8" t="str">
        <f t="shared" si="124"/>
        <v xml:space="preserve">skos:prefLabel "IIIF iron meteorite"@en ; rdfs:label "IIIF iron meteorite"@en ; </v>
      </c>
      <c r="Z399" s="8" t="str">
        <f t="shared" si="125"/>
        <v xml:space="preserve"> skos:notation  "Iron, IIIF"@en ; </v>
      </c>
      <c r="AA399" s="8" t="str">
        <f t="shared" si="128"/>
        <v>dcterms:source "https://www.lpi.usra.edu/meteor/metbullclass.php?sea=Iron,%20IIIF";</v>
      </c>
      <c r="AB399" s="8" t="str">
        <f t="shared" si="129"/>
        <v xml:space="preserve">skos:broader &lt;etma:1:1:49919:4&gt;, &lt;etma:1:1:49961:7&gt; ; </v>
      </c>
      <c r="AC399" s="8" t="str">
        <f t="shared" si="130"/>
        <v>dcterms:modified "2017-11-10T11:47";  .</v>
      </c>
      <c r="AD399" s="10" t="str">
        <f t="shared" si="126"/>
        <v>&lt;etma:1:1:49934:3&gt;  rdf:type skos:Concept ;     dcterms:source "https://www.mindat.org/min-49934.html" ;   skos:definition "An iron group meteorite of chemical group IIIF."@en ;    skos:inScheme &lt;https://mindat.org/etmat/cscheme&gt; ;    skos:prefLabel "IIIF iron meteorite"@en ; rdfs:label "IIIF iron meteorite"@en ;    skos:notation  "Iron, IIIF"@en ;   dcterms:source "https://www.lpi.usra.edu/meteor/metbullclass.php?sea=Iron,%20IIIF";  skos:broader &lt;etma:1:1:49919:4&gt;, &lt;etma:1:1:49961:7&gt; ;   dcterms:modified "2017-11-10T11:47";  .</v>
      </c>
      <c r="AE399" s="8" t="s">
        <v>2591</v>
      </c>
    </row>
    <row r="400" spans="1:31" x14ac:dyDescent="0.25">
      <c r="A400" s="8">
        <v>359</v>
      </c>
      <c r="B400" s="8" t="s">
        <v>1804</v>
      </c>
      <c r="C400" s="8">
        <v>49935</v>
      </c>
      <c r="D400" s="8" t="s">
        <v>1802</v>
      </c>
      <c r="E400" s="8" t="s">
        <v>1803</v>
      </c>
      <c r="F400" s="9">
        <v>7</v>
      </c>
      <c r="G400" s="9" t="s">
        <v>14</v>
      </c>
      <c r="H400" s="1" t="s">
        <v>1805</v>
      </c>
      <c r="I400" s="8" t="str">
        <f t="shared" si="119"/>
        <v>https://www.mindat.org/min-49935.html</v>
      </c>
      <c r="J400" s="8">
        <v>49919</v>
      </c>
      <c r="K400" s="8" t="s">
        <v>2335</v>
      </c>
      <c r="L400" s="9">
        <v>49961</v>
      </c>
      <c r="M400" s="8" t="s">
        <v>2371</v>
      </c>
      <c r="N400" s="9">
        <v>1</v>
      </c>
      <c r="O400" s="9" t="s">
        <v>2249</v>
      </c>
      <c r="R400" s="8" t="s">
        <v>1806</v>
      </c>
      <c r="S400" s="11">
        <v>43049.491516203707</v>
      </c>
      <c r="U400" s="8" t="str">
        <f t="shared" si="120"/>
        <v xml:space="preserve">&lt;etma:1:1:49935:2&gt;  rdf:type skos:Concept ;  </v>
      </c>
      <c r="V400" s="8" t="str">
        <f t="shared" si="121"/>
        <v xml:space="preserve"> dcterms:source "https://www.mindat.org/min-49935.html" ; </v>
      </c>
      <c r="W400" s="8" t="str">
        <f t="shared" si="122"/>
        <v xml:space="preserve">skos:definition "An iron group meteorite of chemical group IVA."@en ; </v>
      </c>
      <c r="X400" s="8" t="str">
        <f t="shared" si="133"/>
        <v xml:space="preserve"> skos:inScheme &lt;https://mindat.org/etmat/cscheme&gt; ;  </v>
      </c>
      <c r="Y400" s="8" t="str">
        <f t="shared" si="124"/>
        <v xml:space="preserve">skos:prefLabel "IVA iron meteorite"@en ; rdfs:label "IVA iron meteorite"@en ; </v>
      </c>
      <c r="Z400" s="8" t="str">
        <f t="shared" si="125"/>
        <v xml:space="preserve"> skos:notation  "Iron, IVA"@en ; </v>
      </c>
      <c r="AA400" s="8" t="str">
        <f t="shared" si="128"/>
        <v>dcterms:source "https://www.lpi.usra.edu/meteor/metbullclass.php?sea=Iron,%20IVA";</v>
      </c>
      <c r="AB400" s="8" t="str">
        <f t="shared" si="129"/>
        <v xml:space="preserve">skos:broader &lt;etma:1:1:49919:4&gt;, &lt;etma:1:1:49961:7&gt; ; </v>
      </c>
      <c r="AC400" s="8" t="str">
        <f t="shared" si="130"/>
        <v>dcterms:modified "2017-11-10T11:47";  .</v>
      </c>
      <c r="AD400" s="10" t="str">
        <f t="shared" si="126"/>
        <v>&lt;etma:1:1:49935:2&gt;  rdf:type skos:Concept ;     dcterms:source "https://www.mindat.org/min-49935.html" ;   skos:definition "An iron group meteorite of chemical group IVA."@en ;    skos:inScheme &lt;https://mindat.org/etmat/cscheme&gt; ;    skos:prefLabel "IVA iron meteorite"@en ; rdfs:label "IVA iron meteorite"@en ;    skos:notation  "Iron, IVA"@en ;   dcterms:source "https://www.lpi.usra.edu/meteor/metbullclass.php?sea=Iron,%20IVA";  skos:broader &lt;etma:1:1:49919:4&gt;, &lt;etma:1:1:49961:7&gt; ;   dcterms:modified "2017-11-10T11:47";  .</v>
      </c>
      <c r="AE400" s="8" t="s">
        <v>2591</v>
      </c>
    </row>
    <row r="401" spans="1:31" x14ac:dyDescent="0.25">
      <c r="A401" s="8">
        <v>360</v>
      </c>
      <c r="B401" s="8" t="s">
        <v>1809</v>
      </c>
      <c r="C401" s="8">
        <v>49936</v>
      </c>
      <c r="D401" s="8" t="s">
        <v>1807</v>
      </c>
      <c r="E401" s="8" t="s">
        <v>1808</v>
      </c>
      <c r="F401" s="9">
        <v>7</v>
      </c>
      <c r="G401" s="9" t="s">
        <v>14</v>
      </c>
      <c r="H401" s="1" t="s">
        <v>1810</v>
      </c>
      <c r="I401" s="8" t="str">
        <f t="shared" si="119"/>
        <v>https://www.mindat.org/min-49936.html</v>
      </c>
      <c r="J401" s="8">
        <v>49935</v>
      </c>
      <c r="K401" s="8" t="s">
        <v>1802</v>
      </c>
      <c r="N401" s="9">
        <v>0</v>
      </c>
      <c r="O401" s="9">
        <v>52386</v>
      </c>
      <c r="P401" s="8" t="s">
        <v>2533</v>
      </c>
      <c r="Q401" s="8" t="s">
        <v>2534</v>
      </c>
      <c r="R401" s="8" t="s">
        <v>1811</v>
      </c>
      <c r="S401" s="11">
        <v>43051.014490740738</v>
      </c>
      <c r="U401" s="8" t="str">
        <f t="shared" si="120"/>
        <v xml:space="preserve">&lt;etma:1:1:49936:1&gt;  rdf:type skos:Concept ;  </v>
      </c>
      <c r="V401" s="8" t="str">
        <f t="shared" si="121"/>
        <v xml:space="preserve"> dcterms:source "https://www.mindat.org/min-49936.html" ; </v>
      </c>
      <c r="W401" s="8" t="str">
        <f t="shared" si="122"/>
        <v xml:space="preserve">skos:definition "An IVA iron meteorite with anomalous properties."@en ; </v>
      </c>
      <c r="X401" s="8" t="str">
        <f t="shared" si="127"/>
        <v xml:space="preserve"> skos:inScheme &lt;http://example.org/mindat/etmat/cscheme&gt; ;  </v>
      </c>
      <c r="Y401" s="8" t="str">
        <f t="shared" si="124"/>
        <v xml:space="preserve">skos:prefLabel "Anomalous IVA iron meteorite"@en ; rdfs:label "Anomalous IVA iron meteorite"@en ; </v>
      </c>
      <c r="Z401" s="8" t="str">
        <f t="shared" si="125"/>
        <v xml:space="preserve">skos:altLabel "IVA-an iron meteorite"@en ; skos:exactMatch  &lt;etma:1:1:52386:2&gt; ;  skos:notation  "Iron, IVA-an"@en ; </v>
      </c>
      <c r="AA401" s="8" t="str">
        <f t="shared" si="128"/>
        <v>dcterms:source "https://www.lpi.usra.edu/meteor/metbullclass.php?sea=Iron,%20IVA-an";</v>
      </c>
      <c r="AB401" s="8" t="str">
        <f t="shared" si="129"/>
        <v xml:space="preserve">skos:broader &lt;etma:1:1:49935:2&gt; ; </v>
      </c>
      <c r="AC401" s="8" t="str">
        <f t="shared" si="130"/>
        <v>dcterms:modified "2017-11-12T00:20";  .</v>
      </c>
      <c r="AD401" s="10" t="str">
        <f t="shared" si="126"/>
        <v>&lt;etma:1:1:49936:1&gt;  rdf:type skos:Concept ;     dcterms:source "https://www.mindat.org/min-49936.html" ;   skos:definition "An IVA iron meteorite with anomalous properties."@en ;    skos:inScheme &lt;http://example.org/mindat/etmat/cscheme&gt; ;    skos:prefLabel "Anomalous IVA iron meteorite"@en ; rdfs:label "Anomalous IVA iron meteorite"@en ;   skos:altLabel "IVA-an iron meteorite"@en ; skos:exactMatch  &lt;etma:1:1:52386:2&gt; ;  skos:notation  "Iron, IVA-an"@en ;   dcterms:source "https://www.lpi.usra.edu/meteor/metbullclass.php?sea=Iron,%20IVA-an";  skos:broader &lt;etma:1:1:49935:2&gt; ;   dcterms:modified "2017-11-12T00:20";  .</v>
      </c>
      <c r="AE401" s="8" t="s">
        <v>2591</v>
      </c>
    </row>
    <row r="402" spans="1:31" x14ac:dyDescent="0.25">
      <c r="A402" s="8">
        <v>361</v>
      </c>
      <c r="B402" s="8" t="s">
        <v>1814</v>
      </c>
      <c r="C402" s="8">
        <v>49937</v>
      </c>
      <c r="D402" s="8" t="s">
        <v>1812</v>
      </c>
      <c r="E402" s="8" t="s">
        <v>1813</v>
      </c>
      <c r="F402" s="9">
        <v>7</v>
      </c>
      <c r="G402" s="9" t="s">
        <v>14</v>
      </c>
      <c r="H402" s="1" t="s">
        <v>1815</v>
      </c>
      <c r="I402" s="8" t="str">
        <f t="shared" si="119"/>
        <v>https://www.mindat.org/min-49937.html</v>
      </c>
      <c r="J402" s="8">
        <v>49919</v>
      </c>
      <c r="K402" s="8" t="s">
        <v>2335</v>
      </c>
      <c r="L402" s="9">
        <v>49961</v>
      </c>
      <c r="M402" s="8" t="s">
        <v>2371</v>
      </c>
      <c r="N402" s="9">
        <v>1</v>
      </c>
      <c r="O402" s="9" t="s">
        <v>2249</v>
      </c>
      <c r="R402" s="8" t="s">
        <v>1816</v>
      </c>
      <c r="S402" s="11">
        <v>43049.492060185185</v>
      </c>
      <c r="U402" s="8" t="str">
        <f t="shared" si="120"/>
        <v xml:space="preserve">&lt;etma:1:1:49937:0&gt;  rdf:type skos:Concept ;  </v>
      </c>
      <c r="V402" s="8" t="str">
        <f t="shared" si="121"/>
        <v xml:space="preserve"> dcterms:source "https://www.mindat.org/min-49937.html" ; </v>
      </c>
      <c r="W402" s="8" t="str">
        <f t="shared" si="122"/>
        <v xml:space="preserve">skos:definition "An iron group meteorite of chemical group IVB."@en ; </v>
      </c>
      <c r="X402" s="8" t="str">
        <f t="shared" ref="X402:X452" si="134">" skos:inScheme &lt;https://mindat.org/etmat/cscheme&gt; ;  "</f>
        <v xml:space="preserve"> skos:inScheme &lt;https://mindat.org/etmat/cscheme&gt; ;  </v>
      </c>
      <c r="Y402" s="8" t="str">
        <f t="shared" si="124"/>
        <v xml:space="preserve">skos:prefLabel "IVB iron meteorite"@en ; rdfs:label "IVB iron meteorite"@en ; </v>
      </c>
      <c r="Z402" s="8" t="str">
        <f t="shared" si="125"/>
        <v xml:space="preserve"> skos:notation  "Iron, IVB"@en ; </v>
      </c>
      <c r="AA402" s="8" t="str">
        <f t="shared" si="128"/>
        <v>dcterms:source "https://www.lpi.usra.edu/meteor/metbullclass.php?sea=Iron,%20IVB";</v>
      </c>
      <c r="AB402" s="8" t="str">
        <f t="shared" si="129"/>
        <v xml:space="preserve">skos:broader &lt;etma:1:1:49919:4&gt;, &lt;etma:1:1:49961:7&gt; ; </v>
      </c>
      <c r="AC402" s="8" t="str">
        <f t="shared" si="130"/>
        <v>dcterms:modified "2017-11-10T11:48";  .</v>
      </c>
      <c r="AD402" s="10" t="str">
        <f t="shared" si="126"/>
        <v>&lt;etma:1:1:49937:0&gt;  rdf:type skos:Concept ;     dcterms:source "https://www.mindat.org/min-49937.html" ;   skos:definition "An iron group meteorite of chemical group IVB."@en ;    skos:inScheme &lt;https://mindat.org/etmat/cscheme&gt; ;    skos:prefLabel "IVB iron meteorite"@en ; rdfs:label "IVB iron meteorite"@en ;    skos:notation  "Iron, IVB"@en ;   dcterms:source "https://www.lpi.usra.edu/meteor/metbullclass.php?sea=Iron,%20IVB";  skos:broader &lt;etma:1:1:49919:4&gt;, &lt;etma:1:1:49961:7&gt; ;   dcterms:modified "2017-11-10T11:48";  .</v>
      </c>
      <c r="AE402" s="8" t="s">
        <v>2591</v>
      </c>
    </row>
    <row r="403" spans="1:31" x14ac:dyDescent="0.25">
      <c r="A403" s="8">
        <v>362</v>
      </c>
      <c r="B403" s="8" t="s">
        <v>1819</v>
      </c>
      <c r="C403" s="8">
        <v>49938</v>
      </c>
      <c r="D403" s="8" t="s">
        <v>1817</v>
      </c>
      <c r="E403" s="8" t="s">
        <v>1818</v>
      </c>
      <c r="F403" s="9">
        <v>7</v>
      </c>
      <c r="G403" s="9" t="s">
        <v>14</v>
      </c>
      <c r="H403" s="1" t="s">
        <v>1820</v>
      </c>
      <c r="I403" s="8" t="str">
        <f t="shared" si="119"/>
        <v>https://www.mindat.org/min-49938.html</v>
      </c>
      <c r="J403" s="8">
        <v>50269</v>
      </c>
      <c r="K403" s="8" t="s">
        <v>2260</v>
      </c>
      <c r="N403" s="9">
        <v>1</v>
      </c>
      <c r="O403" s="9" t="s">
        <v>2249</v>
      </c>
      <c r="R403" s="8" t="s">
        <v>1821</v>
      </c>
      <c r="S403" s="11">
        <v>43049.487476851849</v>
      </c>
      <c r="U403" s="8" t="str">
        <f t="shared" si="120"/>
        <v xml:space="preserve">&lt;etma:1:1:49938:9&gt;  rdf:type skos:Concept ;  </v>
      </c>
      <c r="V403" s="8" t="str">
        <f t="shared" si="121"/>
        <v xml:space="preserve"> dcterms:source "https://www.mindat.org/min-49938.html" ; </v>
      </c>
      <c r="W403" s="8" t="str">
        <f t="shared" si="122"/>
        <v xml:space="preserve">skos:definition "A class of achronditic Martian meteorites."@en ; </v>
      </c>
      <c r="X403" s="8" t="str">
        <f t="shared" si="134"/>
        <v xml:space="preserve"> skos:inScheme &lt;https://mindat.org/etmat/cscheme&gt; ;  </v>
      </c>
      <c r="Y403" s="8" t="str">
        <f t="shared" si="124"/>
        <v xml:space="preserve">skos:prefLabel "Martian achrondite meteorite"@en ; rdfs:label "Martian achrondite meteorite"@en ; </v>
      </c>
      <c r="Z403" s="8" t="str">
        <f t="shared" si="125"/>
        <v xml:space="preserve"> skos:notation  "Martian"@en ; </v>
      </c>
      <c r="AA403" s="8" t="str">
        <f t="shared" si="128"/>
        <v>dcterms:source "https://www.lpi.usra.edu/meteor/metbullclass.php?sea=Martian";</v>
      </c>
      <c r="AB403" s="8" t="str">
        <f t="shared" si="129"/>
        <v xml:space="preserve">skos:broader &lt;etma:1:1:50269:2&gt; ; </v>
      </c>
      <c r="AC403" s="8" t="str">
        <f t="shared" si="130"/>
        <v>dcterms:modified "2017-11-10T11:41";  .</v>
      </c>
      <c r="AD403" s="10" t="str">
        <f t="shared" si="126"/>
        <v>&lt;etma:1:1:49938:9&gt;  rdf:type skos:Concept ;     dcterms:source "https://www.mindat.org/min-49938.html" ;   skos:definition "A class of achronditic Martian meteorites."@en ;    skos:inScheme &lt;https://mindat.org/etmat/cscheme&gt; ;    skos:prefLabel "Martian achrondite meteorite"@en ; rdfs:label "Martian achrondite meteorite"@en ;    skos:notation  "Martian"@en ;   dcterms:source "https://www.lpi.usra.edu/meteor/metbullclass.php?sea=Martian";  skos:broader &lt;etma:1:1:50269:2&gt; ;   dcterms:modified "2017-11-10T11:41";  .</v>
      </c>
      <c r="AE403" s="8" t="s">
        <v>2591</v>
      </c>
    </row>
    <row r="404" spans="1:31" x14ac:dyDescent="0.25">
      <c r="A404" s="8">
        <v>363</v>
      </c>
      <c r="B404" s="8" t="s">
        <v>1824</v>
      </c>
      <c r="C404" s="8">
        <v>49939</v>
      </c>
      <c r="D404" s="8" t="s">
        <v>1822</v>
      </c>
      <c r="E404" s="8" t="s">
        <v>1823</v>
      </c>
      <c r="F404" s="9">
        <v>7</v>
      </c>
      <c r="G404" s="9" t="s">
        <v>14</v>
      </c>
      <c r="H404" s="1" t="s">
        <v>1825</v>
      </c>
      <c r="I404" s="8" t="str">
        <f t="shared" si="119"/>
        <v>https://www.mindat.org/min-49939.html</v>
      </c>
      <c r="J404" s="8">
        <v>49938</v>
      </c>
      <c r="K404" s="8" t="s">
        <v>1817</v>
      </c>
      <c r="N404" s="9">
        <v>1</v>
      </c>
      <c r="O404" s="9" t="s">
        <v>2249</v>
      </c>
      <c r="R404" s="8" t="s">
        <v>1826</v>
      </c>
      <c r="S404" s="11">
        <v>43049.494143518517</v>
      </c>
      <c r="U404" s="8" t="str">
        <f t="shared" si="120"/>
        <v xml:space="preserve">&lt;etma:1:1:49939:8&gt;  rdf:type skos:Concept ;  </v>
      </c>
      <c r="V404" s="8" t="str">
        <f t="shared" si="121"/>
        <v xml:space="preserve"> dcterms:source "https://www.mindat.org/min-49939.html" ; </v>
      </c>
      <c r="W404" s="8" t="str">
        <f t="shared" si="122"/>
        <v xml:space="preserve">skos:definition "A class of Martian meteorites comprising basalt and gabbro formed from subalkaline magmas."@en ; </v>
      </c>
      <c r="X404" s="8" t="str">
        <f t="shared" si="134"/>
        <v xml:space="preserve"> skos:inScheme &lt;https://mindat.org/etmat/cscheme&gt; ;  </v>
      </c>
      <c r="Y404" s="8" t="str">
        <f t="shared" si="124"/>
        <v xml:space="preserve">skos:prefLabel "Shergottite meteorite"@en ; rdfs:label "Shergottite meteorite"@en ; </v>
      </c>
      <c r="Z404" s="8" t="str">
        <f t="shared" si="125"/>
        <v xml:space="preserve"> skos:notation  "Martian (shergottite)"@en ; </v>
      </c>
      <c r="AA404" s="8" t="str">
        <f t="shared" si="128"/>
        <v>dcterms:source "https://www.lpi.usra.edu/meteor/metbullclass.php?sea=Martian%20(shergottite)";</v>
      </c>
      <c r="AB404" s="8" t="str">
        <f t="shared" si="129"/>
        <v xml:space="preserve">skos:broader &lt;etma:1:1:49938:9&gt; ; </v>
      </c>
      <c r="AC404" s="8" t="str">
        <f t="shared" si="130"/>
        <v>dcterms:modified "2017-11-10T11:51";  .</v>
      </c>
      <c r="AD404" s="10" t="str">
        <f t="shared" si="126"/>
        <v>&lt;etma:1:1:49939:8&gt;  rdf:type skos:Concept ;     dcterms:source "https://www.mindat.org/min-49939.html" ;   skos:definition "A class of Martian meteorites comprising basalt and gabbro formed from subalkaline magmas."@en ;    skos:inScheme &lt;https://mindat.org/etmat/cscheme&gt; ;    skos:prefLabel "Shergottite meteorite"@en ; rdfs:label "Shergottite meteorite"@en ;    skos:notation  "Martian (shergottite)"@en ;   dcterms:source "https://www.lpi.usra.edu/meteor/metbullclass.php?sea=Martian%20(shergottite)";  skos:broader &lt;etma:1:1:49938:9&gt; ;   dcterms:modified "2017-11-10T11:51";  .</v>
      </c>
      <c r="AE404" s="8" t="s">
        <v>2591</v>
      </c>
    </row>
    <row r="405" spans="1:31" hidden="1" x14ac:dyDescent="0.25">
      <c r="A405" s="8">
        <v>14</v>
      </c>
      <c r="B405" s="8" t="s">
        <v>2265</v>
      </c>
      <c r="C405" s="8">
        <v>49941</v>
      </c>
      <c r="D405" s="8" t="s">
        <v>2266</v>
      </c>
      <c r="E405" s="8" t="s">
        <v>2267</v>
      </c>
      <c r="F405" s="9">
        <v>7</v>
      </c>
      <c r="G405" s="9" t="s">
        <v>14</v>
      </c>
      <c r="H405" s="1" t="s">
        <v>2268</v>
      </c>
      <c r="I405" s="8" t="str">
        <f t="shared" ref="I405:I421" si="135">"https://www.mindat.org/min-"&amp; C405 &amp; ".html"</f>
        <v>https://www.mindat.org/min-49941.html</v>
      </c>
      <c r="J405" s="8">
        <v>49939</v>
      </c>
      <c r="K405" s="8" t="s">
        <v>1822</v>
      </c>
      <c r="N405" s="9">
        <v>1</v>
      </c>
      <c r="S405" s="11">
        <v>43049.494351851848</v>
      </c>
      <c r="U405" s="8" t="str">
        <f t="shared" ref="U405:U421" si="136">"&lt;etma:"&amp;D405&amp; "&gt;  rdf:type skos:Concept ;  "</f>
        <v xml:space="preserve">&lt;etma:1:1:49941:3&gt;  rdf:type skos:Concept ;  </v>
      </c>
      <c r="V405" s="8" t="str">
        <f t="shared" ref="V405:V421" si="137" xml:space="preserve"> " dcterms:source """ &amp; I405 &amp; """ ; "</f>
        <v xml:space="preserve"> dcterms:source "https://www.mindat.org/min-49941.html" ; </v>
      </c>
      <c r="W405" s="8" t="str">
        <f t="shared" ref="W405:W421" si="138">"skos:definition """ &amp; H405 &amp; """@en ; "</f>
        <v xml:space="preserve">skos:definition "A shergottite of basalt composition."@en ; </v>
      </c>
      <c r="X405" s="8" t="str">
        <f t="shared" si="134"/>
        <v xml:space="preserve"> skos:inScheme &lt;https://mindat.org/etmat/cscheme&gt; ;  </v>
      </c>
      <c r="Y405" s="8" t="str">
        <f t="shared" ref="Y405:Y422" si="139">"skos:prefLabel """ &amp; B405 &amp; """@en ; rdfs:label """ &amp; B405 &amp; """@en ; "</f>
        <v xml:space="preserve">skos:prefLabel "Basaltic shergottite meteorite"@en ; rdfs:label "Basaltic shergottite meteorite"@en ; </v>
      </c>
      <c r="Z405" s="8" t="str">
        <f t="shared" ref="Z405:Z422" si="140">IF(ISBLANK(Q405),"", "skos:altLabel """&amp;Q405&amp;"""@en ; ") &amp; IF(ISBLANK(P405),"", "skos:exactMatch  &lt;etma:"&amp;P405&amp;"&gt; ; ") &amp;  IF(ISBLANK(R405),"", " skos:notation  """&amp; R405 &amp;"""@en ; ")</f>
        <v/>
      </c>
      <c r="AA405" s="8" t="str">
        <f t="shared" si="128"/>
        <v/>
      </c>
      <c r="AB405" s="8" t="str">
        <f t="shared" si="129"/>
        <v xml:space="preserve">skos:broader &lt;etma:1:1:49939:8&gt; ; </v>
      </c>
      <c r="AC405" s="8" t="str">
        <f t="shared" si="130"/>
        <v>dcterms:modified "2017-11-10T11:51";  .</v>
      </c>
      <c r="AD405" s="10" t="str">
        <f t="shared" ref="AD405:AD426" si="141">_xlfn.TEXTJOIN("  ", TRUE, U405:AC405)</f>
        <v>&lt;etma:1:1:49941:3&gt;  rdf:type skos:Concept ;     dcterms:source "https://www.mindat.org/min-49941.html" ;   skos:definition "A shergottite of basalt composition."@en ;    skos:inScheme &lt;https://mindat.org/etmat/cscheme&gt; ;    skos:prefLabel "Basaltic shergottite meteorite"@en ; rdfs:label "Basaltic shergottite meteorite"@en ;   skos:broader &lt;etma:1:1:49939:8&gt; ;   dcterms:modified "2017-11-10T11:51";  .</v>
      </c>
      <c r="AE405" s="8" t="s">
        <v>2591</v>
      </c>
    </row>
    <row r="406" spans="1:31" hidden="1" x14ac:dyDescent="0.25">
      <c r="A406" s="8">
        <v>186</v>
      </c>
      <c r="B406" s="8" t="s">
        <v>2388</v>
      </c>
      <c r="C406" s="8">
        <v>49942</v>
      </c>
      <c r="D406" s="8" t="s">
        <v>2389</v>
      </c>
      <c r="E406" s="8" t="s">
        <v>2390</v>
      </c>
      <c r="F406" s="9">
        <v>7</v>
      </c>
      <c r="G406" s="9" t="s">
        <v>14</v>
      </c>
      <c r="H406" s="1" t="s">
        <v>2391</v>
      </c>
      <c r="I406" s="8" t="str">
        <f t="shared" si="135"/>
        <v>https://www.mindat.org/min-49942.html</v>
      </c>
      <c r="J406" s="8">
        <v>49939</v>
      </c>
      <c r="K406" s="8" t="s">
        <v>1822</v>
      </c>
      <c r="N406" s="9">
        <v>1</v>
      </c>
      <c r="S406" s="11">
        <v>43049.495393518519</v>
      </c>
      <c r="U406" s="8" t="str">
        <f t="shared" si="136"/>
        <v xml:space="preserve">&lt;etma:1:1:49942:2&gt;  rdf:type skos:Concept ;  </v>
      </c>
      <c r="V406" s="8" t="str">
        <f t="shared" si="137"/>
        <v xml:space="preserve"> dcterms:source "https://www.mindat.org/min-49942.html" ; </v>
      </c>
      <c r="W406" s="8" t="str">
        <f t="shared" si="138"/>
        <v xml:space="preserve">skos:definition "A shergottite with megacrystas of olivine"@en ; </v>
      </c>
      <c r="X406" s="8" t="str">
        <f t="shared" si="134"/>
        <v xml:space="preserve"> skos:inScheme &lt;https://mindat.org/etmat/cscheme&gt; ;  </v>
      </c>
      <c r="Y406" s="8" t="str">
        <f t="shared" si="139"/>
        <v xml:space="preserve">skos:prefLabel "Olivine-phyric shergottite meteorite"@en ; rdfs:label "Olivine-phyric shergottite meteorite"@en ; </v>
      </c>
      <c r="Z406" s="8" t="str">
        <f t="shared" si="140"/>
        <v/>
      </c>
      <c r="AA406" s="8" t="str">
        <f t="shared" si="128"/>
        <v/>
      </c>
      <c r="AB406" s="8" t="str">
        <f t="shared" si="129"/>
        <v xml:space="preserve">skos:broader &lt;etma:1:1:49939:8&gt; ; </v>
      </c>
      <c r="AC406" s="8" t="str">
        <f t="shared" si="130"/>
        <v>dcterms:modified "2017-11-10T11:53";  .</v>
      </c>
      <c r="AD406" s="10" t="str">
        <f t="shared" si="141"/>
        <v>&lt;etma:1:1:49942:2&gt;  rdf:type skos:Concept ;     dcterms:source "https://www.mindat.org/min-49942.html" ;   skos:definition "A shergottite with megacrystas of olivine"@en ;    skos:inScheme &lt;https://mindat.org/etmat/cscheme&gt; ;    skos:prefLabel "Olivine-phyric shergottite meteorite"@en ; rdfs:label "Olivine-phyric shergottite meteorite"@en ;   skos:broader &lt;etma:1:1:49939:8&gt; ;   dcterms:modified "2017-11-10T11:53";  .</v>
      </c>
      <c r="AE406" s="8" t="s">
        <v>2591</v>
      </c>
    </row>
    <row r="407" spans="1:31" hidden="1" x14ac:dyDescent="0.25">
      <c r="A407" s="8">
        <v>218</v>
      </c>
      <c r="B407" s="8" t="s">
        <v>2338</v>
      </c>
      <c r="C407" s="8">
        <v>49944</v>
      </c>
      <c r="D407" s="8" t="s">
        <v>2339</v>
      </c>
      <c r="E407" s="8" t="s">
        <v>2340</v>
      </c>
      <c r="F407" s="9">
        <v>7</v>
      </c>
      <c r="G407" s="9" t="s">
        <v>14</v>
      </c>
      <c r="H407" s="1" t="s">
        <v>2341</v>
      </c>
      <c r="I407" s="8" t="str">
        <f t="shared" si="135"/>
        <v>https://www.mindat.org/min-49944.html</v>
      </c>
      <c r="J407" s="8">
        <v>49939</v>
      </c>
      <c r="K407" s="8" t="s">
        <v>1822</v>
      </c>
      <c r="N407" s="9">
        <v>1</v>
      </c>
      <c r="S407" s="11">
        <v>43049.494571759256</v>
      </c>
      <c r="U407" s="8" t="str">
        <f t="shared" si="136"/>
        <v xml:space="preserve">&lt;etma:1:1:49944:0&gt;  rdf:type skos:Concept ;  </v>
      </c>
      <c r="V407" s="8" t="str">
        <f t="shared" si="137"/>
        <v xml:space="preserve"> dcterms:source "https://www.mindat.org/min-49944.html" ; </v>
      </c>
      <c r="W407" s="8" t="str">
        <f t="shared" si="138"/>
        <v xml:space="preserve">skos:definition "A shergottite, possibly with an olivine-gabbro source material.++"@en ; </v>
      </c>
      <c r="X407" s="8" t="str">
        <f t="shared" si="134"/>
        <v xml:space="preserve"> skos:inScheme &lt;https://mindat.org/etmat/cscheme&gt; ;  </v>
      </c>
      <c r="Y407" s="8" t="str">
        <f t="shared" si="139"/>
        <v xml:space="preserve">skos:prefLabel "Lherzolitic shergottite meteorite"@en ; rdfs:label "Lherzolitic shergottite meteorite"@en ; </v>
      </c>
      <c r="Z407" s="8" t="str">
        <f t="shared" si="140"/>
        <v/>
      </c>
      <c r="AA407" s="8" t="str">
        <f t="shared" si="128"/>
        <v/>
      </c>
      <c r="AB407" s="8" t="str">
        <f t="shared" si="129"/>
        <v xml:space="preserve">skos:broader &lt;etma:1:1:49939:8&gt; ; </v>
      </c>
      <c r="AC407" s="8" t="str">
        <f t="shared" si="130"/>
        <v>dcterms:modified "2017-11-10T11:52";  .</v>
      </c>
      <c r="AD407" s="10" t="str">
        <f t="shared" si="141"/>
        <v>&lt;etma:1:1:49944:0&gt;  rdf:type skos:Concept ;     dcterms:source "https://www.mindat.org/min-49944.html" ;   skos:definition "A shergottite, possibly with an olivine-gabbro source material.++"@en ;    skos:inScheme &lt;https://mindat.org/etmat/cscheme&gt; ;    skos:prefLabel "Lherzolitic shergottite meteorite"@en ; rdfs:label "Lherzolitic shergottite meteorite"@en ;   skos:broader &lt;etma:1:1:49939:8&gt; ;   dcterms:modified "2017-11-10T11:52";  .</v>
      </c>
      <c r="AE407" s="8" t="s">
        <v>2591</v>
      </c>
    </row>
    <row r="408" spans="1:31" x14ac:dyDescent="0.25">
      <c r="A408" s="8">
        <v>364</v>
      </c>
      <c r="B408" s="8" t="s">
        <v>1829</v>
      </c>
      <c r="C408" s="8">
        <v>49945</v>
      </c>
      <c r="D408" s="8" t="s">
        <v>1827</v>
      </c>
      <c r="E408" s="8" t="s">
        <v>1828</v>
      </c>
      <c r="F408" s="9">
        <v>7</v>
      </c>
      <c r="G408" s="9" t="s">
        <v>14</v>
      </c>
      <c r="H408" s="1" t="s">
        <v>1830</v>
      </c>
      <c r="I408" s="8" t="str">
        <f t="shared" si="135"/>
        <v>https://www.mindat.org/min-49945.html</v>
      </c>
      <c r="J408" s="8">
        <v>49938</v>
      </c>
      <c r="K408" s="8" t="s">
        <v>1817</v>
      </c>
      <c r="N408" s="9">
        <v>1</v>
      </c>
      <c r="O408" s="9" t="s">
        <v>2249</v>
      </c>
      <c r="R408" s="8" t="s">
        <v>1831</v>
      </c>
      <c r="S408" s="11">
        <v>43049.493900462963</v>
      </c>
      <c r="U408" s="8" t="str">
        <f t="shared" si="136"/>
        <v xml:space="preserve">&lt;etma:1:1:49945:9&gt;  rdf:type skos:Concept ;  </v>
      </c>
      <c r="V408" s="8" t="str">
        <f t="shared" si="137"/>
        <v xml:space="preserve"> dcterms:source "https://www.mindat.org/min-49945.html" ; </v>
      </c>
      <c r="W408" s="8" t="str">
        <f t="shared" si="138"/>
        <v xml:space="preserve">skos:definition "A clinopyroxenite composition Martian meteorite."@en ; </v>
      </c>
      <c r="X408" s="8" t="str">
        <f t="shared" si="134"/>
        <v xml:space="preserve"> skos:inScheme &lt;https://mindat.org/etmat/cscheme&gt; ;  </v>
      </c>
      <c r="Y408" s="8" t="str">
        <f t="shared" si="139"/>
        <v xml:space="preserve">skos:prefLabel "Nakhlite meteorite"@en ; rdfs:label "Nakhlite meteorite"@en ; </v>
      </c>
      <c r="Z408" s="8" t="str">
        <f t="shared" si="140"/>
        <v xml:space="preserve"> skos:notation  "Martian (nakhlite)"@en ; </v>
      </c>
      <c r="AA408" s="8" t="str">
        <f t="shared" si="128"/>
        <v>dcterms:source "https://www.lpi.usra.edu/meteor/metbullclass.php?sea=Martian%20(nakhlite)";</v>
      </c>
      <c r="AB408" s="8" t="str">
        <f t="shared" si="129"/>
        <v xml:space="preserve">skos:broader &lt;etma:1:1:49938:9&gt; ; </v>
      </c>
      <c r="AC408" s="8" t="str">
        <f t="shared" si="130"/>
        <v>dcterms:modified "2017-11-10T11:51";  .</v>
      </c>
      <c r="AD408" s="10" t="str">
        <f t="shared" si="141"/>
        <v>&lt;etma:1:1:49945:9&gt;  rdf:type skos:Concept ;     dcterms:source "https://www.mindat.org/min-49945.html" ;   skos:definition "A clinopyroxenite composition Martian meteorite."@en ;    skos:inScheme &lt;https://mindat.org/etmat/cscheme&gt; ;    skos:prefLabel "Nakhlite meteorite"@en ; rdfs:label "Nakhlite meteorite"@en ;    skos:notation  "Martian (nakhlite)"@en ;   dcterms:source "https://www.lpi.usra.edu/meteor/metbullclass.php?sea=Martian%20(nakhlite)";  skos:broader &lt;etma:1:1:49938:9&gt; ;   dcterms:modified "2017-11-10T11:51";  .</v>
      </c>
      <c r="AE408" s="8" t="s">
        <v>2591</v>
      </c>
    </row>
    <row r="409" spans="1:31" x14ac:dyDescent="0.25">
      <c r="A409" s="8">
        <v>365</v>
      </c>
      <c r="B409" s="8" t="s">
        <v>1834</v>
      </c>
      <c r="C409" s="8">
        <v>49947</v>
      </c>
      <c r="D409" s="8" t="s">
        <v>1832</v>
      </c>
      <c r="E409" s="8" t="s">
        <v>1833</v>
      </c>
      <c r="F409" s="9">
        <v>7</v>
      </c>
      <c r="G409" s="9" t="s">
        <v>14</v>
      </c>
      <c r="H409" s="1" t="s">
        <v>1835</v>
      </c>
      <c r="I409" s="8" t="str">
        <f t="shared" si="135"/>
        <v>https://www.mindat.org/min-49947.html</v>
      </c>
      <c r="J409" s="8">
        <v>49938</v>
      </c>
      <c r="K409" s="8" t="s">
        <v>1817</v>
      </c>
      <c r="L409" s="9">
        <v>48408</v>
      </c>
      <c r="M409" s="8" t="s">
        <v>2454</v>
      </c>
      <c r="N409" s="9">
        <v>1</v>
      </c>
      <c r="O409" s="9" t="s">
        <v>2249</v>
      </c>
      <c r="R409" s="8" t="s">
        <v>1836</v>
      </c>
      <c r="S409" s="11">
        <v>43049.493101851855</v>
      </c>
      <c r="U409" s="8" t="str">
        <f t="shared" si="136"/>
        <v xml:space="preserve">&lt;etma:1:1:49947:7&gt;  rdf:type skos:Concept ;  </v>
      </c>
      <c r="V409" s="8" t="str">
        <f t="shared" si="137"/>
        <v xml:space="preserve"> dcterms:source "https://www.mindat.org/min-49947.html" ; </v>
      </c>
      <c r="W409" s="8" t="str">
        <f t="shared" si="138"/>
        <v xml:space="preserve">skos:definition "A dunite composition Martian meteorite."@en ; </v>
      </c>
      <c r="X409" s="8" t="str">
        <f t="shared" si="134"/>
        <v xml:space="preserve"> skos:inScheme &lt;https://mindat.org/etmat/cscheme&gt; ;  </v>
      </c>
      <c r="Y409" s="8" t="str">
        <f t="shared" si="139"/>
        <v xml:space="preserve">skos:prefLabel "Chassignite meteorite"@en ; rdfs:label "Chassignite meteorite"@en ; </v>
      </c>
      <c r="Z409" s="8" t="str">
        <f t="shared" si="140"/>
        <v xml:space="preserve"> skos:notation  "Martian (chassignite)"@en ; </v>
      </c>
      <c r="AA409" s="8" t="str">
        <f t="shared" si="128"/>
        <v>dcterms:source "https://www.lpi.usra.edu/meteor/metbullclass.php?sea=Martian%20(chassignite)";</v>
      </c>
      <c r="AB409" s="8" t="str">
        <f t="shared" si="129"/>
        <v xml:space="preserve">skos:broader &lt;etma:1:1:49938:9&gt;, &lt;etma:1:1:48408:6&gt; ; </v>
      </c>
      <c r="AC409" s="8" t="str">
        <f t="shared" si="130"/>
        <v>dcterms:modified "2017-11-10T11:50";  .</v>
      </c>
      <c r="AD409" s="10" t="str">
        <f t="shared" si="141"/>
        <v>&lt;etma:1:1:49947:7&gt;  rdf:type skos:Concept ;     dcterms:source "https://www.mindat.org/min-49947.html" ;   skos:definition "A dunite composition Martian meteorite."@en ;    skos:inScheme &lt;https://mindat.org/etmat/cscheme&gt; ;    skos:prefLabel "Chassignite meteorite"@en ; rdfs:label "Chassignite meteorite"@en ;    skos:notation  "Martian (chassignite)"@en ;   dcterms:source "https://www.lpi.usra.edu/meteor/metbullclass.php?sea=Martian%20(chassignite)";  skos:broader &lt;etma:1:1:49938:9&gt;, &lt;etma:1:1:48408:6&gt; ;   dcterms:modified "2017-11-10T11:50";  .</v>
      </c>
      <c r="AE409" s="8" t="s">
        <v>2591</v>
      </c>
    </row>
    <row r="410" spans="1:31" x14ac:dyDescent="0.25">
      <c r="A410" s="8">
        <v>366</v>
      </c>
      <c r="B410" s="8" t="s">
        <v>1839</v>
      </c>
      <c r="C410" s="8">
        <v>49950</v>
      </c>
      <c r="D410" s="8" t="s">
        <v>1837</v>
      </c>
      <c r="E410" s="8" t="s">
        <v>1838</v>
      </c>
      <c r="F410" s="9">
        <v>7</v>
      </c>
      <c r="G410" s="9" t="s">
        <v>14</v>
      </c>
      <c r="H410" s="1" t="s">
        <v>1840</v>
      </c>
      <c r="I410" s="8" t="str">
        <f t="shared" si="135"/>
        <v>https://www.mindat.org/min-49950.html</v>
      </c>
      <c r="J410" s="8">
        <v>50275</v>
      </c>
      <c r="K410" s="8" t="s">
        <v>1892</v>
      </c>
      <c r="N410" s="9">
        <v>1</v>
      </c>
      <c r="O410" s="9" t="s">
        <v>2249</v>
      </c>
      <c r="R410" s="8" t="s">
        <v>1841</v>
      </c>
      <c r="S410" s="11">
        <v>43049.431238425925</v>
      </c>
      <c r="U410" s="8" t="str">
        <f t="shared" si="136"/>
        <v xml:space="preserve">&lt;etma:1:1:49950:1&gt;  rdf:type skos:Concept ;  </v>
      </c>
      <c r="V410" s="8" t="str">
        <f t="shared" si="137"/>
        <v xml:space="preserve"> dcterms:source "https://www.mindat.org/min-49950.html" ; </v>
      </c>
      <c r="W410" s="8" t="str">
        <f t="shared" si="138"/>
        <v xml:space="preserve">skos:definition "A lunar achondrite meteorite that is primarily anorthositic."@en ; </v>
      </c>
      <c r="X410" s="8" t="str">
        <f t="shared" si="134"/>
        <v xml:space="preserve"> skos:inScheme &lt;https://mindat.org/etmat/cscheme&gt; ;  </v>
      </c>
      <c r="Y410" s="8" t="str">
        <f t="shared" si="139"/>
        <v xml:space="preserve">skos:prefLabel "Anorthositic Lunar meteorite"@en ; rdfs:label "Anorthositic Lunar meteorite"@en ; </v>
      </c>
      <c r="Z410" s="8" t="str">
        <f t="shared" si="140"/>
        <v xml:space="preserve"> skos:notation  "Lunar (anorth)"@en ; </v>
      </c>
      <c r="AA410" s="8" t="str">
        <f t="shared" si="128"/>
        <v>dcterms:source "https://www.lpi.usra.edu/meteor/metbullclass.php?sea=Lunar%20(anorth)";</v>
      </c>
      <c r="AB410" s="8" t="str">
        <f t="shared" si="129"/>
        <v xml:space="preserve">skos:broader &lt;etma:1:1:50275:3&gt; ; </v>
      </c>
      <c r="AC410" s="8" t="str">
        <f t="shared" si="130"/>
        <v>dcterms:modified "2017-11-10T10:20";  .</v>
      </c>
      <c r="AD410" s="10" t="str">
        <f t="shared" si="141"/>
        <v>&lt;etma:1:1:49950:1&gt;  rdf:type skos:Concept ;     dcterms:source "https://www.mindat.org/min-49950.html" ;   skos:definition "A lunar achondrite meteorite that is primarily anorthositic."@en ;    skos:inScheme &lt;https://mindat.org/etmat/cscheme&gt; ;    skos:prefLabel "Anorthositic Lunar meteorite"@en ; rdfs:label "Anorthositic Lunar meteorite"@en ;    skos:notation  "Lunar (anorth)"@en ;   dcterms:source "https://www.lpi.usra.edu/meteor/metbullclass.php?sea=Lunar%20(anorth)";  skos:broader &lt;etma:1:1:50275:3&gt; ;   dcterms:modified "2017-11-10T10:20";  .</v>
      </c>
      <c r="AE410" s="8" t="s">
        <v>2591</v>
      </c>
    </row>
    <row r="411" spans="1:31" x14ac:dyDescent="0.25">
      <c r="A411" s="8">
        <v>367</v>
      </c>
      <c r="B411" s="8" t="s">
        <v>1844</v>
      </c>
      <c r="C411" s="8">
        <v>49951</v>
      </c>
      <c r="D411" s="8" t="s">
        <v>1842</v>
      </c>
      <c r="E411" s="8" t="s">
        <v>1843</v>
      </c>
      <c r="F411" s="9">
        <v>7</v>
      </c>
      <c r="G411" s="9" t="s">
        <v>14</v>
      </c>
      <c r="H411" s="1" t="s">
        <v>1845</v>
      </c>
      <c r="I411" s="8" t="str">
        <f t="shared" si="135"/>
        <v>https://www.mindat.org/min-49951.html</v>
      </c>
      <c r="J411" s="8">
        <v>49955</v>
      </c>
      <c r="K411" s="8" t="s">
        <v>1862</v>
      </c>
      <c r="N411" s="9">
        <v>1</v>
      </c>
      <c r="O411" s="9" t="s">
        <v>2249</v>
      </c>
      <c r="R411" s="8" t="s">
        <v>1846</v>
      </c>
      <c r="S411" s="11">
        <v>43049.436689814815</v>
      </c>
      <c r="U411" s="8" t="str">
        <f t="shared" si="136"/>
        <v xml:space="preserve">&lt;etma:1:1:49951:0&gt;  rdf:type skos:Concept ;  </v>
      </c>
      <c r="V411" s="8" t="str">
        <f t="shared" si="137"/>
        <v xml:space="preserve"> dcterms:source "https://www.mindat.org/min-49951.html" ; </v>
      </c>
      <c r="W411" s="8" t="str">
        <f t="shared" si="138"/>
        <v xml:space="preserve">skos:definition "A lunar achondrite meteorite that is a breccia of primarily basaltic lithologies."@en ; </v>
      </c>
      <c r="X411" s="8" t="str">
        <f t="shared" si="134"/>
        <v xml:space="preserve"> skos:inScheme &lt;https://mindat.org/etmat/cscheme&gt; ;  </v>
      </c>
      <c r="Y411" s="8" t="str">
        <f t="shared" si="139"/>
        <v xml:space="preserve">skos:prefLabel "Basaltic breccia Lunar meteorite"@en ; rdfs:label "Basaltic breccia Lunar meteorite"@en ; </v>
      </c>
      <c r="Z411" s="8" t="str">
        <f t="shared" si="140"/>
        <v xml:space="preserve"> skos:notation  "Lunar (bas. breccia)"@en ; </v>
      </c>
      <c r="AA411" s="8" t="str">
        <f t="shared" si="128"/>
        <v>dcterms:source "https://www.lpi.usra.edu/meteor/metbullclass.php?sea=Lunar%20(bas.%20breccia)";</v>
      </c>
      <c r="AB411" s="8" t="str">
        <f t="shared" si="129"/>
        <v xml:space="preserve">skos:broader &lt;etma:1:1:49955:6&gt; ; </v>
      </c>
      <c r="AC411" s="8" t="str">
        <f t="shared" si="130"/>
        <v>dcterms:modified "2017-11-10T10:28";  .</v>
      </c>
      <c r="AD411" s="10" t="str">
        <f t="shared" si="141"/>
        <v>&lt;etma:1:1:49951:0&gt;  rdf:type skos:Concept ;     dcterms:source "https://www.mindat.org/min-49951.html" ;   skos:definition "A lunar achondrite meteorite that is a breccia of primarily basaltic lithologies."@en ;    skos:inScheme &lt;https://mindat.org/etmat/cscheme&gt; ;    skos:prefLabel "Basaltic breccia Lunar meteorite"@en ; rdfs:label "Basaltic breccia Lunar meteorite"@en ;    skos:notation  "Lunar (bas. breccia)"@en ;   dcterms:source "https://www.lpi.usra.edu/meteor/metbullclass.php?sea=Lunar%20(bas.%20breccia)";  skos:broader &lt;etma:1:1:49955:6&gt; ;   dcterms:modified "2017-11-10T10:28";  .</v>
      </c>
      <c r="AE411" s="8" t="s">
        <v>2591</v>
      </c>
    </row>
    <row r="412" spans="1:31" x14ac:dyDescent="0.25">
      <c r="A412" s="8">
        <v>368</v>
      </c>
      <c r="B412" s="8" t="s">
        <v>1849</v>
      </c>
      <c r="C412" s="8">
        <v>49952</v>
      </c>
      <c r="D412" s="8" t="s">
        <v>1847</v>
      </c>
      <c r="E412" s="8" t="s">
        <v>1848</v>
      </c>
      <c r="F412" s="9">
        <v>7</v>
      </c>
      <c r="G412" s="9" t="s">
        <v>14</v>
      </c>
      <c r="H412" s="1" t="s">
        <v>1850</v>
      </c>
      <c r="I412" s="8" t="str">
        <f t="shared" si="135"/>
        <v>https://www.mindat.org/min-49952.html</v>
      </c>
      <c r="J412" s="8">
        <v>49955</v>
      </c>
      <c r="K412" s="8" t="s">
        <v>1862</v>
      </c>
      <c r="N412" s="9">
        <v>1</v>
      </c>
      <c r="O412" s="9" t="s">
        <v>2249</v>
      </c>
      <c r="R412" s="8" t="s">
        <v>1851</v>
      </c>
      <c r="S412" s="11">
        <v>43049.437476851854</v>
      </c>
      <c r="U412" s="8" t="str">
        <f t="shared" si="136"/>
        <v xml:space="preserve">&lt;etma:1:1:49952:9&gt;  rdf:type skos:Concept ;  </v>
      </c>
      <c r="V412" s="8" t="str">
        <f t="shared" si="137"/>
        <v xml:space="preserve"> dcterms:source "https://www.mindat.org/min-49952.html" ; </v>
      </c>
      <c r="W412" s="8" t="str">
        <f t="shared" si="138"/>
        <v xml:space="preserve">skos:definition "A lunar achondrite meteorite that has both basaltic and anorthositic lithologies."@en ; </v>
      </c>
      <c r="X412" s="8" t="str">
        <f t="shared" si="134"/>
        <v xml:space="preserve"> skos:inScheme &lt;https://mindat.org/etmat/cscheme&gt; ;  </v>
      </c>
      <c r="Y412" s="8" t="str">
        <f t="shared" si="139"/>
        <v xml:space="preserve">skos:prefLabel "Basaltic and anorthositic Lunar meteorite"@en ; rdfs:label "Basaltic and anorthositic Lunar meteorite"@en ; </v>
      </c>
      <c r="Z412" s="8" t="str">
        <f t="shared" si="140"/>
        <v xml:space="preserve"> skos:notation  "Lunar (bas/anor)"@en ; </v>
      </c>
      <c r="AA412" s="8" t="str">
        <f t="shared" si="128"/>
        <v>dcterms:source "https://www.lpi.usra.edu/meteor/metbullclass.php?sea=Lunar%20(bas/anor)";</v>
      </c>
      <c r="AB412" s="8" t="str">
        <f t="shared" si="129"/>
        <v xml:space="preserve">skos:broader &lt;etma:1:1:49955:6&gt; ; </v>
      </c>
      <c r="AC412" s="8" t="str">
        <f t="shared" si="130"/>
        <v>dcterms:modified "2017-11-10T10:29";  .</v>
      </c>
      <c r="AD412" s="10" t="str">
        <f t="shared" si="141"/>
        <v>&lt;etma:1:1:49952:9&gt;  rdf:type skos:Concept ;     dcterms:source "https://www.mindat.org/min-49952.html" ;   skos:definition "A lunar achondrite meteorite that has both basaltic and anorthositic lithologies."@en ;    skos:inScheme &lt;https://mindat.org/etmat/cscheme&gt; ;    skos:prefLabel "Basaltic and anorthositic Lunar meteorite"@en ; rdfs:label "Basaltic and anorthositic Lunar meteorite"@en ;    skos:notation  "Lunar (bas/anor)"@en ;   dcterms:source "https://www.lpi.usra.edu/meteor/metbullclass.php?sea=Lunar%20(bas/anor)";  skos:broader &lt;etma:1:1:49955:6&gt; ;   dcterms:modified "2017-11-10T10:29";  .</v>
      </c>
      <c r="AE412" s="8" t="s">
        <v>2591</v>
      </c>
    </row>
    <row r="413" spans="1:31" x14ac:dyDescent="0.25">
      <c r="A413" s="8">
        <v>369</v>
      </c>
      <c r="B413" s="8" t="s">
        <v>1854</v>
      </c>
      <c r="C413" s="8">
        <v>49953</v>
      </c>
      <c r="D413" s="8" t="s">
        <v>1852</v>
      </c>
      <c r="E413" s="8" t="s">
        <v>1853</v>
      </c>
      <c r="F413" s="9">
        <v>7</v>
      </c>
      <c r="G413" s="9" t="s">
        <v>14</v>
      </c>
      <c r="H413" s="1" t="s">
        <v>1855</v>
      </c>
      <c r="I413" s="8" t="str">
        <f t="shared" si="135"/>
        <v>https://www.mindat.org/min-49953.html</v>
      </c>
      <c r="J413" s="8">
        <v>49951</v>
      </c>
      <c r="K413" s="8" t="s">
        <v>1842</v>
      </c>
      <c r="N413" s="9">
        <v>1</v>
      </c>
      <c r="O413" s="9" t="s">
        <v>2249</v>
      </c>
      <c r="R413" s="8" t="s">
        <v>1856</v>
      </c>
      <c r="S413" s="11">
        <v>43049.438136574077</v>
      </c>
      <c r="U413" s="8" t="str">
        <f t="shared" si="136"/>
        <v xml:space="preserve">&lt;etma:1:1:49953:8&gt;  rdf:type skos:Concept ;  </v>
      </c>
      <c r="V413" s="8" t="str">
        <f t="shared" si="137"/>
        <v xml:space="preserve"> dcterms:source "https://www.mindat.org/min-49953.html" ; </v>
      </c>
      <c r="W413" s="8" t="str">
        <f t="shared" si="138"/>
        <v xml:space="preserve">skos:definition "A lunar achondrite meteorite that is a breccia of both basaltic and gabbroic lithologies."@en ; </v>
      </c>
      <c r="X413" s="8" t="str">
        <f t="shared" si="134"/>
        <v xml:space="preserve"> skos:inScheme &lt;https://mindat.org/etmat/cscheme&gt; ;  </v>
      </c>
      <c r="Y413" s="8" t="str">
        <f t="shared" si="139"/>
        <v xml:space="preserve">skos:prefLabel "Basaltic and gabbroic breccia Lunar meteorite"@en ; rdfs:label "Basaltic and gabbroic breccia Lunar meteorite"@en ; </v>
      </c>
      <c r="Z413" s="8" t="str">
        <f t="shared" si="140"/>
        <v xml:space="preserve"> skos:notation  "Lunar (bas/gab brec)"@en ; </v>
      </c>
      <c r="AA413" s="8" t="str">
        <f t="shared" si="128"/>
        <v>dcterms:source "https://www.lpi.usra.edu/meteor/metbullclass.php?sea=Lunar%20(bas/gab%20brec)";</v>
      </c>
      <c r="AB413" s="8" t="str">
        <f t="shared" si="129"/>
        <v xml:space="preserve">skos:broader &lt;etma:1:1:49951:0&gt; ; </v>
      </c>
      <c r="AC413" s="8" t="str">
        <f t="shared" si="130"/>
        <v>dcterms:modified "2017-11-10T10:30";  .</v>
      </c>
      <c r="AD413" s="10" t="str">
        <f t="shared" si="141"/>
        <v>&lt;etma:1:1:49953:8&gt;  rdf:type skos:Concept ;     dcterms:source "https://www.mindat.org/min-49953.html" ;   skos:definition "A lunar achondrite meteorite that is a breccia of both basaltic and gabbroic lithologies."@en ;    skos:inScheme &lt;https://mindat.org/etmat/cscheme&gt; ;    skos:prefLabel "Basaltic and gabbroic breccia Lunar meteorite"@en ; rdfs:label "Basaltic and gabbroic breccia Lunar meteorite"@en ;    skos:notation  "Lunar (bas/gab brec)"@en ;   dcterms:source "https://www.lpi.usra.edu/meteor/metbullclass.php?sea=Lunar%20(bas/gab%20brec)";  skos:broader &lt;etma:1:1:49951:0&gt; ;   dcterms:modified "2017-11-10T10:30";  .</v>
      </c>
      <c r="AE413" s="8" t="s">
        <v>2591</v>
      </c>
    </row>
    <row r="414" spans="1:31" x14ac:dyDescent="0.25">
      <c r="A414" s="8">
        <v>370</v>
      </c>
      <c r="B414" s="8" t="s">
        <v>1859</v>
      </c>
      <c r="C414" s="8">
        <v>49954</v>
      </c>
      <c r="D414" s="8" t="s">
        <v>1857</v>
      </c>
      <c r="E414" s="8" t="s">
        <v>1858</v>
      </c>
      <c r="F414" s="9">
        <v>7</v>
      </c>
      <c r="G414" s="9" t="s">
        <v>14</v>
      </c>
      <c r="H414" s="1" t="s">
        <v>1860</v>
      </c>
      <c r="I414" s="8" t="str">
        <f t="shared" si="135"/>
        <v>https://www.mindat.org/min-49954.html</v>
      </c>
      <c r="J414" s="8">
        <v>50275</v>
      </c>
      <c r="K414" s="8" t="s">
        <v>1892</v>
      </c>
      <c r="N414" s="9">
        <v>1</v>
      </c>
      <c r="O414" s="9" t="s">
        <v>2249</v>
      </c>
      <c r="R414" s="8" t="s">
        <v>1861</v>
      </c>
      <c r="S414" s="11">
        <v>43049.433622685188</v>
      </c>
      <c r="U414" s="8" t="str">
        <f t="shared" si="136"/>
        <v xml:space="preserve">&lt;etma:1:1:49954:7&gt;  rdf:type skos:Concept ;  </v>
      </c>
      <c r="V414" s="8" t="str">
        <f t="shared" si="137"/>
        <v xml:space="preserve"> dcterms:source "https://www.mindat.org/min-49954.html" ; </v>
      </c>
      <c r="W414" s="8" t="str">
        <f t="shared" si="138"/>
        <v xml:space="preserve">skos:definition "A lunar achondrite meteorite that is a breccia of primarily feldspathic lithologies."@en ; </v>
      </c>
      <c r="X414" s="8" t="str">
        <f t="shared" si="134"/>
        <v xml:space="preserve"> skos:inScheme &lt;https://mindat.org/etmat/cscheme&gt; ;  </v>
      </c>
      <c r="Y414" s="8" t="str">
        <f t="shared" si="139"/>
        <v xml:space="preserve">skos:prefLabel "Feldspathic breccia Lunar meteorite"@en ; rdfs:label "Feldspathic breccia Lunar meteorite"@en ; </v>
      </c>
      <c r="Z414" s="8" t="str">
        <f t="shared" si="140"/>
        <v xml:space="preserve"> skos:notation  "Lunar (feldsp. breccia)"@en ; </v>
      </c>
      <c r="AA414" s="8" t="str">
        <f t="shared" si="128"/>
        <v>dcterms:source "https://www.lpi.usra.edu/meteor/metbullclass.php?sea=Lunar%20(feldsp.%20breccia)";</v>
      </c>
      <c r="AB414" s="8" t="str">
        <f t="shared" si="129"/>
        <v xml:space="preserve">skos:broader &lt;etma:1:1:50275:3&gt; ; </v>
      </c>
      <c r="AC414" s="8" t="str">
        <f t="shared" si="130"/>
        <v>dcterms:modified "2017-11-10T10:24";  .</v>
      </c>
      <c r="AD414" s="10" t="str">
        <f t="shared" si="141"/>
        <v>&lt;etma:1:1:49954:7&gt;  rdf:type skos:Concept ;     dcterms:source "https://www.mindat.org/min-49954.html" ;   skos:definition "A lunar achondrite meteorite that is a breccia of primarily feldspathic lithologies."@en ;    skos:inScheme &lt;https://mindat.org/etmat/cscheme&gt; ;    skos:prefLabel "Feldspathic breccia Lunar meteorite"@en ; rdfs:label "Feldspathic breccia Lunar meteorite"@en ;    skos:notation  "Lunar (feldsp. breccia)"@en ;   dcterms:source "https://www.lpi.usra.edu/meteor/metbullclass.php?sea=Lunar%20(feldsp.%20breccia)";  skos:broader &lt;etma:1:1:50275:3&gt; ;   dcterms:modified "2017-11-10T10:24";  .</v>
      </c>
      <c r="AE414" s="8" t="s">
        <v>2591</v>
      </c>
    </row>
    <row r="415" spans="1:31" x14ac:dyDescent="0.25">
      <c r="A415" s="8">
        <v>371</v>
      </c>
      <c r="B415" s="8" t="s">
        <v>1864</v>
      </c>
      <c r="C415" s="8">
        <v>49955</v>
      </c>
      <c r="D415" s="8" t="s">
        <v>1862</v>
      </c>
      <c r="E415" s="8" t="s">
        <v>1863</v>
      </c>
      <c r="F415" s="9">
        <v>7</v>
      </c>
      <c r="G415" s="9" t="s">
        <v>14</v>
      </c>
      <c r="H415" s="1" t="s">
        <v>1865</v>
      </c>
      <c r="I415" s="8" t="str">
        <f t="shared" si="135"/>
        <v>https://www.mindat.org/min-49955.html</v>
      </c>
      <c r="J415" s="8">
        <v>50275</v>
      </c>
      <c r="K415" s="8" t="s">
        <v>1892</v>
      </c>
      <c r="N415" s="9">
        <v>1</v>
      </c>
      <c r="O415" s="9" t="s">
        <v>2249</v>
      </c>
      <c r="R415" s="8" t="s">
        <v>1866</v>
      </c>
      <c r="S415" s="11">
        <v>43049.432858796295</v>
      </c>
      <c r="U415" s="8" t="str">
        <f t="shared" si="136"/>
        <v xml:space="preserve">&lt;etma:1:1:49955:6&gt;  rdf:type skos:Concept ;  </v>
      </c>
      <c r="V415" s="8" t="str">
        <f t="shared" si="137"/>
        <v xml:space="preserve"> dcterms:source "https://www.mindat.org/min-49955.html" ; </v>
      </c>
      <c r="W415" s="8" t="str">
        <f t="shared" si="138"/>
        <v xml:space="preserve">skos:definition "A lunar achondrite meteorite that is primarily basaltic."@en ; </v>
      </c>
      <c r="X415" s="8" t="str">
        <f t="shared" si="134"/>
        <v xml:space="preserve"> skos:inScheme &lt;https://mindat.org/etmat/cscheme&gt; ;  </v>
      </c>
      <c r="Y415" s="8" t="str">
        <f t="shared" si="139"/>
        <v xml:space="preserve">skos:prefLabel "Basaltic Lunar meteorite"@en ; rdfs:label "Basaltic Lunar meteorite"@en ; </v>
      </c>
      <c r="Z415" s="8" t="str">
        <f t="shared" si="140"/>
        <v xml:space="preserve"> skos:notation  "Lunar (basalt)"@en ; </v>
      </c>
      <c r="AA415" s="8" t="str">
        <f t="shared" si="128"/>
        <v>dcterms:source "https://www.lpi.usra.edu/meteor/metbullclass.php?sea=Lunar%20(basalt)";</v>
      </c>
      <c r="AB415" s="8" t="str">
        <f t="shared" si="129"/>
        <v xml:space="preserve">skos:broader &lt;etma:1:1:50275:3&gt; ; </v>
      </c>
      <c r="AC415" s="8" t="str">
        <f t="shared" si="130"/>
        <v>dcterms:modified "2017-11-10T10:23";  .</v>
      </c>
      <c r="AD415" s="10" t="str">
        <f t="shared" si="141"/>
        <v>&lt;etma:1:1:49955:6&gt;  rdf:type skos:Concept ;     dcterms:source "https://www.mindat.org/min-49955.html" ;   skos:definition "A lunar achondrite meteorite that is primarily basaltic."@en ;    skos:inScheme &lt;https://mindat.org/etmat/cscheme&gt; ;    skos:prefLabel "Basaltic Lunar meteorite"@en ; rdfs:label "Basaltic Lunar meteorite"@en ;    skos:notation  "Lunar (basalt)"@en ;   dcterms:source "https://www.lpi.usra.edu/meteor/metbullclass.php?sea=Lunar%20(basalt)";  skos:broader &lt;etma:1:1:50275:3&gt; ;   dcterms:modified "2017-11-10T10:23";  .</v>
      </c>
      <c r="AE415" s="8" t="s">
        <v>2591</v>
      </c>
    </row>
    <row r="416" spans="1:31" x14ac:dyDescent="0.25">
      <c r="A416" s="8">
        <v>372</v>
      </c>
      <c r="B416" s="8" t="s">
        <v>1869</v>
      </c>
      <c r="C416" s="8">
        <v>49956</v>
      </c>
      <c r="D416" s="8" t="s">
        <v>1867</v>
      </c>
      <c r="E416" s="8" t="s">
        <v>1868</v>
      </c>
      <c r="F416" s="9">
        <v>7</v>
      </c>
      <c r="G416" s="9" t="s">
        <v>14</v>
      </c>
      <c r="H416" s="1" t="s">
        <v>1870</v>
      </c>
      <c r="I416" s="8" t="str">
        <f t="shared" si="135"/>
        <v>https://www.mindat.org/min-49956.html</v>
      </c>
      <c r="J416" s="8">
        <v>50275</v>
      </c>
      <c r="K416" s="8" t="s">
        <v>1892</v>
      </c>
      <c r="N416" s="9">
        <v>1</v>
      </c>
      <c r="O416" s="9" t="s">
        <v>2249</v>
      </c>
      <c r="R416" s="8" t="s">
        <v>1871</v>
      </c>
      <c r="S416" s="11">
        <v>43049.434131944443</v>
      </c>
      <c r="U416" s="8" t="str">
        <f t="shared" si="136"/>
        <v xml:space="preserve">&lt;etma:1:1:49956:5&gt;  rdf:type skos:Concept ;  </v>
      </c>
      <c r="V416" s="8" t="str">
        <f t="shared" si="137"/>
        <v xml:space="preserve"> dcterms:source "https://www.mindat.org/min-49956.html" ; </v>
      </c>
      <c r="W416" s="8" t="str">
        <f t="shared" si="138"/>
        <v xml:space="preserve">skos:definition "A lunar achondrite meteorite that is primarily gabbroic."@en ; </v>
      </c>
      <c r="X416" s="8" t="str">
        <f t="shared" si="134"/>
        <v xml:space="preserve"> skos:inScheme &lt;https://mindat.org/etmat/cscheme&gt; ;  </v>
      </c>
      <c r="Y416" s="8" t="str">
        <f t="shared" si="139"/>
        <v xml:space="preserve">skos:prefLabel "Gabbroic Lunar meteorite"@en ; rdfs:label "Gabbroic Lunar meteorite"@en ; </v>
      </c>
      <c r="Z416" s="8" t="str">
        <f t="shared" si="140"/>
        <v xml:space="preserve"> skos:notation  "Lunar (gabbro)"@en ; </v>
      </c>
      <c r="AA416" s="8" t="str">
        <f t="shared" si="128"/>
        <v>dcterms:source "https://www.lpi.usra.edu/meteor/metbullclass.php?sea=Lunar%20(gabbro)";</v>
      </c>
      <c r="AB416" s="8" t="str">
        <f t="shared" si="129"/>
        <v xml:space="preserve">skos:broader &lt;etma:1:1:50275:3&gt; ; </v>
      </c>
      <c r="AC416" s="8" t="str">
        <f t="shared" si="130"/>
        <v>dcterms:modified "2017-11-10T10:25";  .</v>
      </c>
      <c r="AD416" s="10" t="str">
        <f t="shared" si="141"/>
        <v>&lt;etma:1:1:49956:5&gt;  rdf:type skos:Concept ;     dcterms:source "https://www.mindat.org/min-49956.html" ;   skos:definition "A lunar achondrite meteorite that is primarily gabbroic."@en ;    skos:inScheme &lt;https://mindat.org/etmat/cscheme&gt; ;    skos:prefLabel "Gabbroic Lunar meteorite"@en ; rdfs:label "Gabbroic Lunar meteorite"@en ;    skos:notation  "Lunar (gabbro)"@en ;   dcterms:source "https://www.lpi.usra.edu/meteor/metbullclass.php?sea=Lunar%20(gabbro)";  skos:broader &lt;etma:1:1:50275:3&gt; ;   dcterms:modified "2017-11-10T10:25";  .</v>
      </c>
      <c r="AE416" s="8" t="s">
        <v>2591</v>
      </c>
    </row>
    <row r="417" spans="1:31" x14ac:dyDescent="0.25">
      <c r="A417" s="8">
        <v>373</v>
      </c>
      <c r="B417" s="8" t="s">
        <v>1874</v>
      </c>
      <c r="C417" s="8">
        <v>49957</v>
      </c>
      <c r="D417" s="8" t="s">
        <v>1872</v>
      </c>
      <c r="E417" s="8" t="s">
        <v>1873</v>
      </c>
      <c r="F417" s="9">
        <v>7</v>
      </c>
      <c r="G417" s="9" t="s">
        <v>14</v>
      </c>
      <c r="H417" s="1" t="s">
        <v>1875</v>
      </c>
      <c r="I417" s="8" t="str">
        <f t="shared" si="135"/>
        <v>https://www.mindat.org/min-49957.html</v>
      </c>
      <c r="J417" s="8">
        <v>50275</v>
      </c>
      <c r="K417" s="8" t="s">
        <v>1892</v>
      </c>
      <c r="N417" s="9">
        <v>1</v>
      </c>
      <c r="O417" s="9" t="s">
        <v>2249</v>
      </c>
      <c r="R417" s="8" t="s">
        <v>1876</v>
      </c>
      <c r="S417" s="11">
        <v>43049.434444444443</v>
      </c>
      <c r="U417" s="8" t="str">
        <f t="shared" si="136"/>
        <v xml:space="preserve">&lt;etma:1:1:49957:4&gt;  rdf:type skos:Concept ;  </v>
      </c>
      <c r="V417" s="8" t="str">
        <f t="shared" si="137"/>
        <v xml:space="preserve"> dcterms:source "https://www.mindat.org/min-49957.html" ; </v>
      </c>
      <c r="W417" s="8" t="str">
        <f t="shared" si="138"/>
        <v xml:space="preserve">skos:definition "A lunar achondrite meteorite that is primarily noritic."@en ; </v>
      </c>
      <c r="X417" s="8" t="str">
        <f t="shared" si="134"/>
        <v xml:space="preserve"> skos:inScheme &lt;https://mindat.org/etmat/cscheme&gt; ;  </v>
      </c>
      <c r="Y417" s="8" t="str">
        <f t="shared" si="139"/>
        <v xml:space="preserve">skos:prefLabel "Noritic Lunar meteorite"@en ; rdfs:label "Noritic Lunar meteorite"@en ; </v>
      </c>
      <c r="Z417" s="8" t="str">
        <f t="shared" si="140"/>
        <v xml:space="preserve"> skos:notation  "Lunar (norite)"@en ; </v>
      </c>
      <c r="AA417" s="8" t="str">
        <f t="shared" si="128"/>
        <v>dcterms:source "https://www.lpi.usra.edu/meteor/metbullclass.php?sea=Lunar%20(norite)";</v>
      </c>
      <c r="AB417" s="8" t="str">
        <f t="shared" si="129"/>
        <v xml:space="preserve">skos:broader &lt;etma:1:1:50275:3&gt; ; </v>
      </c>
      <c r="AC417" s="8" t="str">
        <f t="shared" si="130"/>
        <v>dcterms:modified "2017-11-10T10:25";  .</v>
      </c>
      <c r="AD417" s="10" t="str">
        <f t="shared" si="141"/>
        <v>&lt;etma:1:1:49957:4&gt;  rdf:type skos:Concept ;     dcterms:source "https://www.mindat.org/min-49957.html" ;   skos:definition "A lunar achondrite meteorite that is primarily noritic."@en ;    skos:inScheme &lt;https://mindat.org/etmat/cscheme&gt; ;    skos:prefLabel "Noritic Lunar meteorite"@en ; rdfs:label "Noritic Lunar meteorite"@en ;    skos:notation  "Lunar (norite)"@en ;   dcterms:source "https://www.lpi.usra.edu/meteor/metbullclass.php?sea=Lunar%20(norite)";  skos:broader &lt;etma:1:1:50275:3&gt; ;   dcterms:modified "2017-11-10T10:25";  .</v>
      </c>
      <c r="AE417" s="8" t="s">
        <v>2591</v>
      </c>
    </row>
    <row r="418" spans="1:31" x14ac:dyDescent="0.25">
      <c r="A418" s="8">
        <v>374</v>
      </c>
      <c r="B418" s="8" t="s">
        <v>1879</v>
      </c>
      <c r="C418" s="8">
        <v>49958</v>
      </c>
      <c r="D418" s="8" t="s">
        <v>1877</v>
      </c>
      <c r="E418" s="8" t="s">
        <v>1878</v>
      </c>
      <c r="F418" s="9">
        <v>7</v>
      </c>
      <c r="G418" s="9" t="s">
        <v>14</v>
      </c>
      <c r="H418" s="1" t="s">
        <v>1880</v>
      </c>
      <c r="I418" s="8" t="str">
        <f t="shared" si="135"/>
        <v>https://www.mindat.org/min-49958.html</v>
      </c>
      <c r="J418" s="8">
        <v>49956</v>
      </c>
      <c r="K418" s="8" t="s">
        <v>1867</v>
      </c>
      <c r="N418" s="9">
        <v>1</v>
      </c>
      <c r="O418" s="9" t="s">
        <v>2249</v>
      </c>
      <c r="R418" s="8" t="s">
        <v>1881</v>
      </c>
      <c r="S418" s="11">
        <v>43049.43540509259</v>
      </c>
      <c r="U418" s="8" t="str">
        <f t="shared" si="136"/>
        <v xml:space="preserve">&lt;etma:1:1:49958:3&gt;  rdf:type skos:Concept ;  </v>
      </c>
      <c r="V418" s="8" t="str">
        <f t="shared" si="137"/>
        <v xml:space="preserve"> dcterms:source "https://www.mindat.org/min-49958.html" ; </v>
      </c>
      <c r="W418" s="8" t="str">
        <f t="shared" si="138"/>
        <v xml:space="preserve">skos:definition "A lunar achondrite meteorite that is primarily an olivine-bearing gabbro."@en ; </v>
      </c>
      <c r="X418" s="8" t="str">
        <f t="shared" si="134"/>
        <v xml:space="preserve"> skos:inScheme &lt;https://mindat.org/etmat/cscheme&gt; ;  </v>
      </c>
      <c r="Y418" s="8" t="str">
        <f t="shared" si="139"/>
        <v xml:space="preserve">skos:prefLabel "Olivine-bearing gabbroic Lunar meteorite"@en ; rdfs:label "Olivine-bearing gabbroic Lunar meteorite"@en ; </v>
      </c>
      <c r="Z418" s="8" t="str">
        <f t="shared" si="140"/>
        <v xml:space="preserve"> skos:notation  "Lunar (olivine gabbro)"@en ; </v>
      </c>
      <c r="AA418" s="8" t="str">
        <f t="shared" si="128"/>
        <v>dcterms:source "https://www.lpi.usra.edu/meteor/metbullclass.php?sea=Lunar%20(olivine%20gabbro)";</v>
      </c>
      <c r="AB418" s="8" t="str">
        <f t="shared" si="129"/>
        <v xml:space="preserve">skos:broader &lt;etma:1:1:49956:5&gt; ; </v>
      </c>
      <c r="AC418" s="8" t="str">
        <f t="shared" si="130"/>
        <v>dcterms:modified "2017-11-10T10:26";  .</v>
      </c>
      <c r="AD418" s="10" t="str">
        <f t="shared" si="141"/>
        <v>&lt;etma:1:1:49958:3&gt;  rdf:type skos:Concept ;     dcterms:source "https://www.mindat.org/min-49958.html" ;   skos:definition "A lunar achondrite meteorite that is primarily an olivine-bearing gabbro."@en ;    skos:inScheme &lt;https://mindat.org/etmat/cscheme&gt; ;    skos:prefLabel "Olivine-bearing gabbroic Lunar meteorite"@en ; rdfs:label "Olivine-bearing gabbroic Lunar meteorite"@en ;    skos:notation  "Lunar (olivine gabbro)"@en ;   dcterms:source "https://www.lpi.usra.edu/meteor/metbullclass.php?sea=Lunar%20(olivine%20gabbro)";  skos:broader &lt;etma:1:1:49956:5&gt; ;   dcterms:modified "2017-11-10T10:26";  .</v>
      </c>
      <c r="AE418" s="8" t="s">
        <v>2591</v>
      </c>
    </row>
    <row r="419" spans="1:31" x14ac:dyDescent="0.25">
      <c r="A419" s="8">
        <v>375</v>
      </c>
      <c r="B419" s="8" t="s">
        <v>1884</v>
      </c>
      <c r="C419" s="8">
        <v>49959</v>
      </c>
      <c r="D419" s="8" t="s">
        <v>1882</v>
      </c>
      <c r="E419" s="8" t="s">
        <v>1883</v>
      </c>
      <c r="F419" s="9">
        <v>7</v>
      </c>
      <c r="G419" s="9" t="s">
        <v>14</v>
      </c>
      <c r="H419" s="1" t="s">
        <v>1885</v>
      </c>
      <c r="I419" s="8" t="str">
        <f t="shared" si="135"/>
        <v>https://www.mindat.org/min-49959.html</v>
      </c>
      <c r="J419" s="8">
        <v>49950</v>
      </c>
      <c r="K419" s="8" t="s">
        <v>1837</v>
      </c>
      <c r="N419" s="9">
        <v>1</v>
      </c>
      <c r="O419" s="9" t="s">
        <v>2249</v>
      </c>
      <c r="R419" s="8" t="s">
        <v>1886</v>
      </c>
      <c r="S419" s="11">
        <v>43049.43613425926</v>
      </c>
      <c r="U419" s="8" t="str">
        <f t="shared" si="136"/>
        <v xml:space="preserve">&lt;etma:1:1:49959:2&gt;  rdf:type skos:Concept ;  </v>
      </c>
      <c r="V419" s="8" t="str">
        <f t="shared" si="137"/>
        <v xml:space="preserve"> dcterms:source "https://www.mindat.org/min-49959.html" ; </v>
      </c>
      <c r="W419" s="8" t="str">
        <f t="shared" si="138"/>
        <v xml:space="preserve">skos:definition "A lunar achondrite meteorite that is primarily made up of troctolitic anorthosite."@en ; </v>
      </c>
      <c r="X419" s="8" t="str">
        <f t="shared" si="134"/>
        <v xml:space="preserve"> skos:inScheme &lt;https://mindat.org/etmat/cscheme&gt; ;  </v>
      </c>
      <c r="Y419" s="8" t="str">
        <f t="shared" si="139"/>
        <v xml:space="preserve">skos:prefLabel "Trocolitic anorthositic Lunar meteorite"@en ; rdfs:label "Trocolitic anorthositic Lunar meteorite"@en ; </v>
      </c>
      <c r="Z419" s="8" t="str">
        <f t="shared" si="140"/>
        <v xml:space="preserve"> skos:notation  "Lunar (troct. anorth.)"@en ; </v>
      </c>
      <c r="AA419" s="8" t="str">
        <f t="shared" si="128"/>
        <v>dcterms:source "https://www.lpi.usra.edu/meteor/metbullclass.php?sea=Lunar%20(troct.%20anorth.)";</v>
      </c>
      <c r="AB419" s="8" t="str">
        <f t="shared" si="129"/>
        <v xml:space="preserve">skos:broader &lt;etma:1:1:49950:1&gt; ; </v>
      </c>
      <c r="AC419" s="8" t="str">
        <f t="shared" si="130"/>
        <v>dcterms:modified "2017-11-10T10:28";  .</v>
      </c>
      <c r="AD419" s="10" t="str">
        <f t="shared" si="141"/>
        <v>&lt;etma:1:1:49959:2&gt;  rdf:type skos:Concept ;     dcterms:source "https://www.mindat.org/min-49959.html" ;   skos:definition "A lunar achondrite meteorite that is primarily made up of troctolitic anorthosite."@en ;    skos:inScheme &lt;https://mindat.org/etmat/cscheme&gt; ;    skos:prefLabel "Trocolitic anorthositic Lunar meteorite"@en ; rdfs:label "Trocolitic anorthositic Lunar meteorite"@en ;    skos:notation  "Lunar (troct. anorth.)"@en ;   dcterms:source "https://www.lpi.usra.edu/meteor/metbullclass.php?sea=Lunar%20(troct.%20anorth.)";  skos:broader &lt;etma:1:1:49950:1&gt; ;   dcterms:modified "2017-11-10T10:28";  .</v>
      </c>
      <c r="AE419" s="8" t="s">
        <v>2591</v>
      </c>
    </row>
    <row r="420" spans="1:31" x14ac:dyDescent="0.25">
      <c r="A420" s="8">
        <v>376</v>
      </c>
      <c r="B420" s="8" t="s">
        <v>1889</v>
      </c>
      <c r="C420" s="8">
        <v>49960</v>
      </c>
      <c r="D420" s="8" t="s">
        <v>1887</v>
      </c>
      <c r="E420" s="8" t="s">
        <v>1888</v>
      </c>
      <c r="F420" s="9">
        <v>7</v>
      </c>
      <c r="G420" s="9" t="s">
        <v>14</v>
      </c>
      <c r="H420" s="1" t="s">
        <v>1890</v>
      </c>
      <c r="I420" s="8" t="str">
        <f t="shared" si="135"/>
        <v>https://www.mindat.org/min-49960.html</v>
      </c>
      <c r="J420" s="8">
        <v>49514</v>
      </c>
      <c r="K420" s="8" t="s">
        <v>2302</v>
      </c>
      <c r="N420" s="9">
        <v>1</v>
      </c>
      <c r="O420" s="9" t="s">
        <v>2249</v>
      </c>
      <c r="R420" s="8" t="s">
        <v>1891</v>
      </c>
      <c r="S420" s="11">
        <v>43581.42359953704</v>
      </c>
      <c r="U420" s="8" t="str">
        <f t="shared" si="136"/>
        <v xml:space="preserve">&lt;etma:1:1:49960:8&gt;  rdf:type skos:Concept ;  </v>
      </c>
      <c r="V420" s="8" t="str">
        <f t="shared" si="137"/>
        <v xml:space="preserve"> dcterms:source "https://www.mindat.org/min-49960.html" ; </v>
      </c>
      <c r="W420" s="8" t="str">
        <f t="shared" si="138"/>
        <v xml:space="preserve">skos:definition "Meteorites composed primarily of meteoritic iron - this is an alternative classification category."@en ; </v>
      </c>
      <c r="X420" s="8" t="str">
        <f t="shared" si="134"/>
        <v xml:space="preserve"> skos:inScheme &lt;https://mindat.org/etmat/cscheme&gt; ;  </v>
      </c>
      <c r="Y420" s="8" t="str">
        <f t="shared" si="139"/>
        <v xml:space="preserve">skos:prefLabel "Iron meteorite"@en ; rdfs:label "Iron meteorite"@en ; </v>
      </c>
      <c r="Z420" s="8" t="str">
        <f t="shared" si="140"/>
        <v xml:space="preserve"> skos:notation  "Iron"@en ; </v>
      </c>
      <c r="AA420" s="8" t="str">
        <f t="shared" si="128"/>
        <v>dcterms:source "https://www.lpi.usra.edu/meteor/metbullclass.php?sea=Iron";</v>
      </c>
      <c r="AB420" s="8" t="str">
        <f t="shared" si="129"/>
        <v xml:space="preserve">skos:broader &lt;etma:1:1:49514:3&gt; ; </v>
      </c>
      <c r="AC420" s="8" t="str">
        <f t="shared" si="130"/>
        <v>dcterms:modified "2019-04-26T10:09";  .</v>
      </c>
      <c r="AD420" s="10" t="str">
        <f t="shared" si="141"/>
        <v>&lt;etma:1:1:49960:8&gt;  rdf:type skos:Concept ;     dcterms:source "https://www.mindat.org/min-49960.html" ;   skos:definition "Meteorites composed primarily of meteoritic iron - this is an alternative classification category."@en ;    skos:inScheme &lt;https://mindat.org/etmat/cscheme&gt; ;    skos:prefLabel "Iron meteorite"@en ; rdfs:label "Iron meteorite"@en ;    skos:notation  "Iron"@en ;   dcterms:source "https://www.lpi.usra.edu/meteor/metbullclass.php?sea=Iron";  skos:broader &lt;etma:1:1:49514:3&gt; ;   dcterms:modified "2019-04-26T10:09";  .</v>
      </c>
      <c r="AE420" s="8" t="s">
        <v>2591</v>
      </c>
    </row>
    <row r="421" spans="1:31" hidden="1" x14ac:dyDescent="0.25">
      <c r="A421" s="8">
        <v>109</v>
      </c>
      <c r="B421" s="8" t="s">
        <v>2370</v>
      </c>
      <c r="C421" s="8">
        <v>49961</v>
      </c>
      <c r="D421" s="8" t="s">
        <v>2371</v>
      </c>
      <c r="E421" s="8" t="s">
        <v>2372</v>
      </c>
      <c r="F421" s="9">
        <v>7</v>
      </c>
      <c r="G421" s="9" t="s">
        <v>14</v>
      </c>
      <c r="H421" s="1" t="s">
        <v>2337</v>
      </c>
      <c r="I421" s="8" t="str">
        <f t="shared" si="135"/>
        <v>https://www.mindat.org/min-49961.html</v>
      </c>
      <c r="J421" s="8">
        <v>49960</v>
      </c>
      <c r="K421" s="8" t="s">
        <v>1887</v>
      </c>
      <c r="N421" s="9">
        <v>1</v>
      </c>
      <c r="S421" s="11">
        <f t="shared" ref="S421:S423" ca="1" si="142">NOW()</f>
        <v>45097.373057291668</v>
      </c>
      <c r="U421" s="8" t="str">
        <f t="shared" si="136"/>
        <v xml:space="preserve">&lt;etma:1:1:49961:7&gt;  rdf:type skos:Concept ;  </v>
      </c>
      <c r="V421" s="8" t="str">
        <f t="shared" si="137"/>
        <v xml:space="preserve"> dcterms:source "https://www.mindat.org/min-49961.html" ; </v>
      </c>
      <c r="W421" s="8" t="str">
        <f t="shared" si="138"/>
        <v xml:space="preserve">skos:definition "A meteorite that is dominantly composed of Fe-Ni metal and that crystallized from a melt."@en ; </v>
      </c>
      <c r="X421" s="8" t="str">
        <f t="shared" si="134"/>
        <v xml:space="preserve"> skos:inScheme &lt;https://mindat.org/etmat/cscheme&gt; ;  </v>
      </c>
      <c r="Y421" s="8" t="str">
        <f t="shared" si="139"/>
        <v xml:space="preserve">skos:prefLabel "Magmatic iron meteorite"@en ; rdfs:label "Magmatic iron meteorite"@en ; </v>
      </c>
      <c r="Z421" s="8" t="str">
        <f t="shared" si="140"/>
        <v/>
      </c>
      <c r="AA421" s="8" t="str">
        <f t="shared" si="128"/>
        <v/>
      </c>
      <c r="AB421" s="8" t="str">
        <f t="shared" si="129"/>
        <v xml:space="preserve">skos:broader &lt;etma:1:1:49960:8&gt; ; </v>
      </c>
      <c r="AC421" s="8" t="str">
        <f t="shared" ca="1" si="130"/>
        <v>dcterms:modified "2023-06-20T08:57";  .</v>
      </c>
      <c r="AD421" s="10" t="str">
        <f t="shared" ca="1" si="141"/>
        <v>&lt;etma:1:1:49961:7&gt;  rdf:type skos:Concept ;     dcterms:source "https://www.mindat.org/min-49961.html" ;   skos:definition "A meteorite that is dominantly composed of Fe-Ni metal and that crystallized from a melt."@en ;    skos:inScheme &lt;https://mindat.org/etmat/cscheme&gt; ;    skos:prefLabel "Magmatic iron meteorite"@en ; rdfs:label "Magmatic iron meteorite"@en ;   skos:broader &lt;etma:1:1:49960:8&gt; ;   dcterms:modified "2023-06-20T08:57";  .</v>
      </c>
      <c r="AE421" s="8" t="s">
        <v>2591</v>
      </c>
    </row>
    <row r="422" spans="1:31" s="9" customFormat="1" hidden="1" x14ac:dyDescent="0.25">
      <c r="A422" s="9">
        <v>248</v>
      </c>
      <c r="B422" s="9" t="s">
        <v>2418</v>
      </c>
      <c r="C422" s="9">
        <v>49962</v>
      </c>
      <c r="D422" s="9" t="s">
        <v>2333</v>
      </c>
      <c r="E422" s="9" t="s">
        <v>2419</v>
      </c>
      <c r="F422" s="9">
        <v>7</v>
      </c>
      <c r="G422" s="9" t="s">
        <v>14</v>
      </c>
      <c r="H422" s="1" t="s">
        <v>2476</v>
      </c>
      <c r="I422" s="9" t="s">
        <v>2475</v>
      </c>
      <c r="J422" s="9">
        <v>49960</v>
      </c>
      <c r="K422" s="9" t="s">
        <v>1887</v>
      </c>
      <c r="N422" s="9">
        <v>1</v>
      </c>
      <c r="S422" s="11">
        <f t="shared" ca="1" si="142"/>
        <v>45097.373057291668</v>
      </c>
      <c r="U422" s="8" t="str">
        <f t="shared" ref="U422:U427" si="143">"&lt;etma:"&amp;D422&amp; "&gt;  rdf:type skos:Concept ;  "</f>
        <v xml:space="preserve">&lt;etma:1:1:49962:6&gt;  rdf:type skos:Concept ;  </v>
      </c>
      <c r="V422" s="8" t="str">
        <f t="shared" ref="V422:V427" si="144" xml:space="preserve"> " dcterms:source """ &amp; I422 &amp; """ ; "</f>
        <v xml:space="preserve"> dcterms:source "https://en.wikipedia.org/wiki/Nonmagmatic_meteorite | " ; </v>
      </c>
      <c r="W422" s="8" t="str">
        <f t="shared" ref="W422:W427" si="145">"skos:definition """ &amp; H422 &amp; """@en ; "</f>
        <v xml:space="preserve">skos:definition "iron meteorites thought to have not formed by igneous processes, to differentiate them from the magmatic meteorites, produced by the crystallization of a metal melt."@en ; </v>
      </c>
      <c r="X422" s="8" t="str">
        <f t="shared" si="134"/>
        <v xml:space="preserve"> skos:inScheme &lt;https://mindat.org/etmat/cscheme&gt; ;  </v>
      </c>
      <c r="Y422" s="8" t="str">
        <f t="shared" si="139"/>
        <v xml:space="preserve">skos:prefLabel "Primitive iron meteorite"@en ; rdfs:label "Primitive iron meteorite"@en ; </v>
      </c>
      <c r="Z422" s="8" t="str">
        <f t="shared" si="140"/>
        <v/>
      </c>
      <c r="AA422" s="8" t="str">
        <f t="shared" si="128"/>
        <v/>
      </c>
      <c r="AB422" s="8" t="str">
        <f t="shared" si="129"/>
        <v xml:space="preserve">skos:broader &lt;etma:1:1:49960:8&gt; ; </v>
      </c>
      <c r="AC422" s="8" t="str">
        <f t="shared" ca="1" si="130"/>
        <v>dcterms:modified "2023-06-20T08:57";  .</v>
      </c>
      <c r="AD422" s="10" t="str">
        <f t="shared" ca="1" si="141"/>
        <v>&lt;etma:1:1:49962:6&gt;  rdf:type skos:Concept ;     dcterms:source "https://en.wikipedia.org/wiki/Nonmagmatic_meteorite | " ;   skos:definition "iron meteorites thought to have not formed by igneous processes, to differentiate them from the magmatic meteorites, produced by the crystallization of a metal melt."@en ;    skos:inScheme &lt;https://mindat.org/etmat/cscheme&gt; ;    skos:prefLabel "Primitive iron meteorite"@en ; rdfs:label "Primitive iron meteorite"@en ;   skos:broader &lt;etma:1:1:49960:8&gt; ;   dcterms:modified "2023-06-20T08:57";  .</v>
      </c>
      <c r="AE422" s="8" t="s">
        <v>2591</v>
      </c>
    </row>
    <row r="423" spans="1:31" s="9" customFormat="1" hidden="1" x14ac:dyDescent="0.25">
      <c r="A423" s="9">
        <v>140</v>
      </c>
      <c r="B423" s="9" t="s">
        <v>2431</v>
      </c>
      <c r="C423" s="9">
        <v>49963</v>
      </c>
      <c r="D423" s="9" t="s">
        <v>2432</v>
      </c>
      <c r="E423" s="9" t="s">
        <v>2433</v>
      </c>
      <c r="F423" s="9">
        <v>7</v>
      </c>
      <c r="G423" s="9" t="s">
        <v>14</v>
      </c>
      <c r="H423" s="1" t="s">
        <v>2477</v>
      </c>
      <c r="I423" s="9" t="s">
        <v>2478</v>
      </c>
      <c r="J423" s="9">
        <v>49514</v>
      </c>
      <c r="K423" s="9" t="s">
        <v>2302</v>
      </c>
      <c r="N423" s="9">
        <v>1</v>
      </c>
      <c r="S423" s="11">
        <f t="shared" ca="1" si="142"/>
        <v>45097.373057291668</v>
      </c>
      <c r="U423" s="8" t="str">
        <f t="shared" si="143"/>
        <v xml:space="preserve">&lt;etma:1:1:49963:5&gt;  rdf:type skos:Concept ;  </v>
      </c>
      <c r="V423" s="8" t="str">
        <f t="shared" si="144"/>
        <v xml:space="preserve"> dcterms:source "https://en.wikipedia.org/wiki/Stony-iron_meteorite" ; </v>
      </c>
      <c r="W423" s="8" t="str">
        <f t="shared" si="145"/>
        <v xml:space="preserve">skos:definition "meteorites that consist of nearly equal parts of meteoric iron and silicates"@en ; </v>
      </c>
      <c r="X423" s="8" t="str">
        <f t="shared" si="134"/>
        <v xml:space="preserve"> skos:inScheme &lt;https://mindat.org/etmat/cscheme&gt; ;  </v>
      </c>
      <c r="Y423" s="8" t="str">
        <f t="shared" ref="Y423" si="146">"skos:prefLabel """ &amp; B423 &amp; """@en ; rdfs:label """ &amp; B423 &amp; """@en ; "</f>
        <v xml:space="preserve">skos:prefLabel "Stony-iron meteorite"@en ; rdfs:label "Stony-iron meteorite"@en ; </v>
      </c>
      <c r="Z423" s="8" t="str">
        <f t="shared" ref="Z423" si="147">IF(ISBLANK(Q423),"", "skos:altLabel """&amp;Q423&amp;"""@en ; ") &amp; IF(ISBLANK(P423),"", "skos:exactMatch  &lt;etma:"&amp;P423&amp;"&gt; ; ") &amp;  IF(ISBLANK(R423),"", " skos:notation  """&amp; R423 &amp;"""@en ; ")</f>
        <v/>
      </c>
      <c r="AA423" s="8" t="str">
        <f t="shared" si="128"/>
        <v/>
      </c>
      <c r="AB423" s="8" t="str">
        <f t="shared" si="129"/>
        <v xml:space="preserve">skos:broader &lt;etma:1:1:49514:3&gt; ; </v>
      </c>
      <c r="AC423" s="8" t="str">
        <f t="shared" ca="1" si="130"/>
        <v>dcterms:modified "2023-06-20T08:57";  .</v>
      </c>
      <c r="AD423" s="10" t="str">
        <f t="shared" ca="1" si="141"/>
        <v>&lt;etma:1:1:49963:5&gt;  rdf:type skos:Concept ;     dcterms:source "https://en.wikipedia.org/wiki/Stony-iron_meteorite" ;   skos:definition "meteorites that consist of nearly equal parts of meteoric iron and silicates"@en ;    skos:inScheme &lt;https://mindat.org/etmat/cscheme&gt; ;    skos:prefLabel "Stony-iron meteorite"@en ; rdfs:label "Stony-iron meteorite"@en ;   skos:broader &lt;etma:1:1:49514:3&gt; ;   dcterms:modified "2023-06-20T08:57";  .</v>
      </c>
      <c r="AE423" s="8" t="s">
        <v>2591</v>
      </c>
    </row>
    <row r="424" spans="1:31" hidden="1" x14ac:dyDescent="0.25">
      <c r="A424" s="8">
        <v>243</v>
      </c>
      <c r="B424" s="8" t="s">
        <v>2299</v>
      </c>
      <c r="C424" s="8">
        <v>50269</v>
      </c>
      <c r="D424" s="8" t="s">
        <v>2260</v>
      </c>
      <c r="E424" s="8" t="s">
        <v>2300</v>
      </c>
      <c r="F424" s="9">
        <v>7</v>
      </c>
      <c r="G424" s="9" t="s">
        <v>14</v>
      </c>
      <c r="H424" s="1" t="s">
        <v>2301</v>
      </c>
      <c r="I424" s="8" t="str">
        <f t="shared" ref="I424:I425" si="148">"https://www.mindat.org/min-"&amp; C424 &amp; ".html"</f>
        <v>https://www.mindat.org/min-50269.html</v>
      </c>
      <c r="J424" s="8">
        <v>49514</v>
      </c>
      <c r="K424" s="8" t="s">
        <v>2302</v>
      </c>
      <c r="N424" s="9">
        <v>1</v>
      </c>
      <c r="S424" s="11">
        <v>43049.472488425927</v>
      </c>
      <c r="U424" s="8" t="str">
        <f t="shared" si="143"/>
        <v xml:space="preserve">&lt;etma:1:1:50269:2&gt;  rdf:type skos:Concept ;  </v>
      </c>
      <c r="V424" s="8" t="str">
        <f t="shared" si="144"/>
        <v xml:space="preserve"> dcterms:source "https://www.mindat.org/min-50269.html" ; </v>
      </c>
      <c r="W424" s="8" t="str">
        <f t="shared" si="145"/>
        <v xml:space="preserve">skos:definition "A stony meteorite that lacks chondrules and originated on a differentiated parent body."@en ; </v>
      </c>
      <c r="X424" s="8" t="str">
        <f t="shared" si="134"/>
        <v xml:space="preserve"> skos:inScheme &lt;https://mindat.org/etmat/cscheme&gt; ;  </v>
      </c>
      <c r="Y424" s="8" t="str">
        <f t="shared" ref="Y424:Y426" si="149">"skos:prefLabel """ &amp; B424 &amp; """@en ; rdfs:label """ &amp; B424 &amp; """@en ; "</f>
        <v xml:space="preserve">skos:prefLabel "Differentiated achondrite meteorite"@en ; rdfs:label "Differentiated achondrite meteorite"@en ; </v>
      </c>
      <c r="Z424" s="8" t="str">
        <f t="shared" ref="Z424:Z426" si="150">IF(ISBLANK(Q424),"", "skos:altLabel """&amp;Q424&amp;"""@en ; ") &amp; IF(ISBLANK(P424),"", "skos:exactMatch  &lt;etma:"&amp;P424&amp;"&gt; ; ") &amp;  IF(ISBLANK(R424),"", " skos:notation  """&amp; R424 &amp;"""@en ; ")</f>
        <v/>
      </c>
      <c r="AA424" s="8" t="str">
        <f t="shared" si="128"/>
        <v/>
      </c>
      <c r="AB424" s="8" t="str">
        <f t="shared" si="129"/>
        <v xml:space="preserve">skos:broader &lt;etma:1:1:49514:3&gt; ; </v>
      </c>
      <c r="AC424" s="8" t="str">
        <f t="shared" si="130"/>
        <v>dcterms:modified "2017-11-10T11:20";  .</v>
      </c>
      <c r="AD424" s="10" t="str">
        <f t="shared" si="141"/>
        <v>&lt;etma:1:1:50269:2&gt;  rdf:type skos:Concept ;     dcterms:source "https://www.mindat.org/min-50269.html" ;   skos:definition "A stony meteorite that lacks chondrules and originated on a differentiated parent body."@en ;    skos:inScheme &lt;https://mindat.org/etmat/cscheme&gt; ;    skos:prefLabel "Differentiated achondrite meteorite"@en ; rdfs:label "Differentiated achondrite meteorite"@en ;   skos:broader &lt;etma:1:1:49514:3&gt; ;   dcterms:modified "2017-11-10T11:20";  .</v>
      </c>
      <c r="AE424" s="8" t="s">
        <v>2591</v>
      </c>
    </row>
    <row r="425" spans="1:31" hidden="1" x14ac:dyDescent="0.25">
      <c r="A425" s="8">
        <v>102</v>
      </c>
      <c r="B425" s="8" t="s">
        <v>2256</v>
      </c>
      <c r="C425" s="8">
        <v>50270</v>
      </c>
      <c r="D425" s="8" t="s">
        <v>2257</v>
      </c>
      <c r="E425" s="8" t="s">
        <v>2258</v>
      </c>
      <c r="F425" s="9">
        <v>7</v>
      </c>
      <c r="G425" s="9" t="s">
        <v>14</v>
      </c>
      <c r="H425" s="1" t="s">
        <v>2259</v>
      </c>
      <c r="I425" s="8" t="str">
        <f t="shared" si="148"/>
        <v>https://www.mindat.org/min-50270.html</v>
      </c>
      <c r="J425" s="8">
        <v>50269</v>
      </c>
      <c r="K425" s="8" t="s">
        <v>2260</v>
      </c>
      <c r="N425" s="9">
        <v>1</v>
      </c>
      <c r="S425" s="11">
        <v>43049.473680555559</v>
      </c>
      <c r="U425" s="8" t="str">
        <f t="shared" si="143"/>
        <v xml:space="preserve">&lt;etma:1:1:50270:8&gt;  rdf:type skos:Concept ;  </v>
      </c>
      <c r="V425" s="8" t="str">
        <f t="shared" si="144"/>
        <v xml:space="preserve"> dcterms:source "https://www.mindat.org/min-50270.html" ; </v>
      </c>
      <c r="W425" s="8" t="str">
        <f t="shared" si="145"/>
        <v xml:space="preserve">skos:definition "A stony meteorite that lacks chondrules and originated on an asteroid."@en ; </v>
      </c>
      <c r="X425" s="8" t="str">
        <f t="shared" si="134"/>
        <v xml:space="preserve"> skos:inScheme &lt;https://mindat.org/etmat/cscheme&gt; ;  </v>
      </c>
      <c r="Y425" s="8" t="str">
        <f t="shared" si="149"/>
        <v xml:space="preserve">skos:prefLabel "Asteroidal achondrite meteorite"@en ; rdfs:label "Asteroidal achondrite meteorite"@en ; </v>
      </c>
      <c r="Z425" s="8" t="str">
        <f t="shared" si="150"/>
        <v/>
      </c>
      <c r="AA425" s="8" t="str">
        <f t="shared" si="128"/>
        <v/>
      </c>
      <c r="AB425" s="8" t="str">
        <f t="shared" si="129"/>
        <v xml:space="preserve">skos:broader &lt;etma:1:1:50269:2&gt; ; </v>
      </c>
      <c r="AC425" s="8" t="str">
        <f t="shared" si="130"/>
        <v>dcterms:modified "2017-11-10T11:22";  .</v>
      </c>
      <c r="AD425" s="10" t="str">
        <f t="shared" si="141"/>
        <v>&lt;etma:1:1:50270:8&gt;  rdf:type skos:Concept ;     dcterms:source "https://www.mindat.org/min-50270.html" ;   skos:definition "A stony meteorite that lacks chondrules and originated on an asteroid."@en ;    skos:inScheme &lt;https://mindat.org/etmat/cscheme&gt; ;    skos:prefLabel "Asteroidal achondrite meteorite"@en ; rdfs:label "Asteroidal achondrite meteorite"@en ;   skos:broader &lt;etma:1:1:50269:2&gt; ;   dcterms:modified "2017-11-10T11:22";  .</v>
      </c>
      <c r="AE425" s="8" t="s">
        <v>2591</v>
      </c>
    </row>
    <row r="426" spans="1:31" s="9" customFormat="1" x14ac:dyDescent="0.25">
      <c r="A426" s="9">
        <v>377</v>
      </c>
      <c r="B426" s="9" t="s">
        <v>1894</v>
      </c>
      <c r="C426" s="9">
        <v>50275</v>
      </c>
      <c r="D426" s="9" t="s">
        <v>1892</v>
      </c>
      <c r="E426" s="9" t="s">
        <v>1893</v>
      </c>
      <c r="F426" s="9">
        <v>7</v>
      </c>
      <c r="G426" s="9" t="s">
        <v>14</v>
      </c>
      <c r="H426" s="1" t="s">
        <v>2479</v>
      </c>
      <c r="I426" s="9" t="s">
        <v>2480</v>
      </c>
      <c r="J426" s="9">
        <v>50269</v>
      </c>
      <c r="K426" s="9" t="s">
        <v>2260</v>
      </c>
      <c r="N426" s="9">
        <v>1</v>
      </c>
      <c r="O426" s="9" t="s">
        <v>2249</v>
      </c>
      <c r="R426" s="9" t="s">
        <v>1895</v>
      </c>
      <c r="S426" s="11">
        <f t="shared" ref="S426:S436" ca="1" si="151">NOW()</f>
        <v>45097.373057291668</v>
      </c>
      <c r="U426" s="8" t="str">
        <f t="shared" si="143"/>
        <v xml:space="preserve">&lt;etma:1:1:50275:3&gt;  rdf:type skos:Concept ;  </v>
      </c>
      <c r="V426" s="8" t="str">
        <f t="shared" si="144"/>
        <v xml:space="preserve"> dcterms:source "https://www.lpi.usra.edu/meteor/metbullclass.php?sea=Lunar" ; </v>
      </c>
      <c r="W426" s="8" t="str">
        <f t="shared" si="145"/>
        <v xml:space="preserve">skos:definition "lunar rocks that were ejected from the Moon by impacts and later fell to the Earth as meteorites"@en ; </v>
      </c>
      <c r="X426" s="8" t="str">
        <f t="shared" si="134"/>
        <v xml:space="preserve"> skos:inScheme &lt;https://mindat.org/etmat/cscheme&gt; ;  </v>
      </c>
      <c r="Y426" s="8" t="str">
        <f t="shared" si="149"/>
        <v xml:space="preserve">skos:prefLabel "Lunar achondrite meteorite"@en ; rdfs:label "Lunar achondrite meteorite"@en ; </v>
      </c>
      <c r="Z426" s="8" t="str">
        <f t="shared" si="150"/>
        <v xml:space="preserve"> skos:notation  "Lunar"@en ; </v>
      </c>
      <c r="AA426" s="8" t="str">
        <f t="shared" si="128"/>
        <v>dcterms:source "https://www.lpi.usra.edu/meteor/metbullclass.php?sea=Lunar";</v>
      </c>
      <c r="AB426" s="8" t="str">
        <f t="shared" si="129"/>
        <v xml:space="preserve">skos:broader &lt;etma:1:1:50269:2&gt; ; </v>
      </c>
      <c r="AC426" s="8" t="str">
        <f t="shared" ca="1" si="130"/>
        <v>dcterms:modified "2023-06-20T08:57";  .</v>
      </c>
      <c r="AD426" s="10" t="str">
        <f t="shared" ca="1" si="141"/>
        <v>&lt;etma:1:1:50275:3&gt;  rdf:type skos:Concept ;     dcterms:source "https://www.lpi.usra.edu/meteor/metbullclass.php?sea=Lunar" ;   skos:definition "lunar rocks that were ejected from the Moon by impacts and later fell to the Earth as meteorites"@en ;    skos:inScheme &lt;https://mindat.org/etmat/cscheme&gt; ;    skos:prefLabel "Lunar achondrite meteorite"@en ; rdfs:label "Lunar achondrite meteorite"@en ;    skos:notation  "Lunar"@en ;   dcterms:source "https://www.lpi.usra.edu/meteor/metbullclass.php?sea=Lunar";  skos:broader &lt;etma:1:1:50269:2&gt; ;   dcterms:modified "2023-06-20T08:57";  .</v>
      </c>
      <c r="AE426" s="8" t="s">
        <v>2591</v>
      </c>
    </row>
    <row r="427" spans="1:31" x14ac:dyDescent="0.25">
      <c r="A427" s="8">
        <v>378</v>
      </c>
      <c r="B427" s="8" t="s">
        <v>1898</v>
      </c>
      <c r="C427" s="8">
        <v>50444</v>
      </c>
      <c r="D427" s="8" t="s">
        <v>1896</v>
      </c>
      <c r="E427" s="8" t="s">
        <v>1897</v>
      </c>
      <c r="F427" s="9">
        <v>7</v>
      </c>
      <c r="G427" s="9" t="s">
        <v>14</v>
      </c>
      <c r="H427" s="1" t="s">
        <v>1899</v>
      </c>
      <c r="I427" s="8" t="str">
        <f t="shared" ref="I427:I480" si="152">"https://www.mindat.org/min-"&amp; C427 &amp; ".html"</f>
        <v>https://www.mindat.org/min-50444.html</v>
      </c>
      <c r="J427" s="8">
        <v>49553</v>
      </c>
      <c r="K427" s="8" t="s">
        <v>180</v>
      </c>
      <c r="L427" s="9">
        <v>49557</v>
      </c>
      <c r="M427" s="8" t="s">
        <v>195</v>
      </c>
      <c r="N427" s="9">
        <v>0</v>
      </c>
      <c r="O427" s="9" t="s">
        <v>2249</v>
      </c>
      <c r="R427" s="8" t="s">
        <v>1900</v>
      </c>
      <c r="S427" s="11">
        <f t="shared" ca="1" si="151"/>
        <v>45097.373057291668</v>
      </c>
      <c r="U427" s="8" t="str">
        <f t="shared" si="143"/>
        <v xml:space="preserve">&lt;etma:1:1:50444:1&gt;  rdf:type skos:Concept ;  </v>
      </c>
      <c r="V427" s="8" t="str">
        <f t="shared" si="144"/>
        <v xml:space="preserve"> dcterms:source "https://www.mindat.org/min-50444.html" ; </v>
      </c>
      <c r="W427" s="8" t="str">
        <f t="shared" si="145"/>
        <v xml:space="preserve">skos:definition "A CM chondrite that is a breccia containing materials of petrologic type 1 and 2."@en ; </v>
      </c>
      <c r="X427" s="8" t="str">
        <f t="shared" si="134"/>
        <v xml:space="preserve"> skos:inScheme &lt;https://mindat.org/etmat/cscheme&gt; ;  </v>
      </c>
      <c r="Y427" s="8" t="str">
        <f t="shared" ref="Y427:Y481" si="153">"skos:prefLabel """ &amp; B427 &amp; """@en ; rdfs:label """ &amp; B427 &amp; """@en ; "</f>
        <v xml:space="preserve">skos:prefLabel "CM1-2 chondrite meteorite"@en ; rdfs:label "CM1-2 chondrite meteorite"@en ; </v>
      </c>
      <c r="Z427" s="8" t="str">
        <f t="shared" ref="Z427:Z481" si="154">IF(ISBLANK(Q427),"", "skos:altLabel """&amp;Q427&amp;"""@en ; ") &amp; IF(ISBLANK(P427),"", "skos:exactMatch  &lt;etma:"&amp;P427&amp;"&gt; ; ") &amp;  IF(ISBLANK(R427),"", " skos:notation  """&amp; R427 &amp;"""@en ; ")</f>
        <v xml:space="preserve"> skos:notation  "CM1-2"@en ; </v>
      </c>
      <c r="AA427" s="8" t="str">
        <f t="shared" si="128"/>
        <v>dcterms:source "https://www.lpi.usra.edu/meteor/metbullclass.php?sea=CM1-2";</v>
      </c>
      <c r="AB427" s="8" t="str">
        <f t="shared" si="129"/>
        <v xml:space="preserve">skos:broader &lt;etma:1:1:49553:2&gt;, &lt;etma:1:1:49557:8&gt; ; </v>
      </c>
      <c r="AC427" s="8" t="str">
        <f t="shared" ca="1" si="130"/>
        <v>dcterms:modified "2023-06-20T08:57";  .</v>
      </c>
      <c r="AD427" s="10" t="str">
        <f t="shared" ref="AD427:AD481" ca="1" si="155">_xlfn.TEXTJOIN("  ", TRUE, U427:AC427)</f>
        <v>&lt;etma:1:1:50444:1&gt;  rdf:type skos:Concept ;     dcterms:source "https://www.mindat.org/min-50444.html" ;   skos:definition "A CM chondrite that is a breccia containing materials of petrologic type 1 and 2."@en ;    skos:inScheme &lt;https://mindat.org/etmat/cscheme&gt; ;    skos:prefLabel "CM1-2 chondrite meteorite"@en ; rdfs:label "CM1-2 chondrite meteorite"@en ;    skos:notation  "CM1-2"@en ;   dcterms:source "https://www.lpi.usra.edu/meteor/metbullclass.php?sea=CM1-2";  skos:broader &lt;etma:1:1:49553:2&gt;, &lt;etma:1:1:49557:8&gt; ;   dcterms:modified "2023-06-20T08:57";  .</v>
      </c>
      <c r="AE427" s="8" t="s">
        <v>2591</v>
      </c>
    </row>
    <row r="428" spans="1:31" x14ac:dyDescent="0.25">
      <c r="A428" s="8">
        <v>379</v>
      </c>
      <c r="B428" s="8" t="s">
        <v>1903</v>
      </c>
      <c r="C428" s="8">
        <v>50445</v>
      </c>
      <c r="D428" s="8" t="s">
        <v>1901</v>
      </c>
      <c r="E428" s="8" t="s">
        <v>1902</v>
      </c>
      <c r="F428" s="9">
        <v>7</v>
      </c>
      <c r="G428" s="9" t="s">
        <v>14</v>
      </c>
      <c r="H428" s="1" t="s">
        <v>1904</v>
      </c>
      <c r="I428" s="8" t="str">
        <f t="shared" si="152"/>
        <v>https://www.mindat.org/min-50445.html</v>
      </c>
      <c r="J428" s="8">
        <v>49585</v>
      </c>
      <c r="K428" s="8" t="s">
        <v>315</v>
      </c>
      <c r="L428" s="9">
        <v>49649</v>
      </c>
      <c r="M428" s="8" t="s">
        <v>595</v>
      </c>
      <c r="N428" s="9">
        <v>0</v>
      </c>
      <c r="O428" s="9" t="s">
        <v>2249</v>
      </c>
      <c r="R428" s="8" t="s">
        <v>1905</v>
      </c>
      <c r="S428" s="11">
        <f t="shared" ca="1" si="151"/>
        <v>45097.373057291668</v>
      </c>
      <c r="U428" s="8" t="str">
        <f t="shared" ref="U427:U480" si="156">"&lt;etma:"&amp;D428&amp; "&gt;  rdf:type skos:Concept ;  "</f>
        <v xml:space="preserve">&lt;etma:1:1:50445:0&gt;  rdf:type skos:Concept ;  </v>
      </c>
      <c r="V428" s="8" t="str">
        <f t="shared" ref="V427:V480" si="157" xml:space="preserve"> " dcterms:source """ &amp; I428 &amp; """ ; "</f>
        <v xml:space="preserve"> dcterms:source "https://www.mindat.org/min-50445.html" ; </v>
      </c>
      <c r="W428" s="8" t="str">
        <f t="shared" ref="W427:W480" si="158">"skos:definition """ &amp; H428 &amp; """@en ; "</f>
        <v xml:space="preserve">skos:definition "An H chondrite or L chondrite that is of petrological type 3."@en ; </v>
      </c>
      <c r="X428" s="8" t="str">
        <f t="shared" si="134"/>
        <v xml:space="preserve"> skos:inScheme &lt;https://mindat.org/etmat/cscheme&gt; ;  </v>
      </c>
      <c r="Y428" s="8" t="str">
        <f t="shared" si="153"/>
        <v xml:space="preserve">skos:prefLabel "H/L3 chondrite meteorite"@en ; rdfs:label "H/L3 chondrite meteorite"@en ; </v>
      </c>
      <c r="Z428" s="8" t="str">
        <f t="shared" si="154"/>
        <v xml:space="preserve"> skos:notation  "H/L3"@en ; </v>
      </c>
      <c r="AA428" s="8" t="str">
        <f t="shared" si="128"/>
        <v>dcterms:source "https://www.lpi.usra.edu/meteor/metbullclass.php?sea=H/L3";</v>
      </c>
      <c r="AB428" s="8" t="str">
        <f t="shared" si="129"/>
        <v xml:space="preserve">skos:broader &lt;etma:1:1:49585:1&gt;, &lt;etma:1:1:49649:8&gt; ; </v>
      </c>
      <c r="AC428" s="8" t="str">
        <f t="shared" ca="1" si="130"/>
        <v>dcterms:modified "2023-06-20T08:57";  .</v>
      </c>
      <c r="AD428" s="10" t="str">
        <f t="shared" ca="1" si="155"/>
        <v>&lt;etma:1:1:50445:0&gt;  rdf:type skos:Concept ;     dcterms:source "https://www.mindat.org/min-50445.html" ;   skos:definition "An H chondrite or L chondrite that is of petrological type 3."@en ;    skos:inScheme &lt;https://mindat.org/etmat/cscheme&gt; ;    skos:prefLabel "H/L3 chondrite meteorite"@en ; rdfs:label "H/L3 chondrite meteorite"@en ;    skos:notation  "H/L3"@en ;   dcterms:source "https://www.lpi.usra.edu/meteor/metbullclass.php?sea=H/L3";  skos:broader &lt;etma:1:1:49585:1&gt;, &lt;etma:1:1:49649:8&gt; ;   dcterms:modified "2023-06-20T08:57";  .</v>
      </c>
      <c r="AE428" s="8" t="s">
        <v>2591</v>
      </c>
    </row>
    <row r="429" spans="1:31" x14ac:dyDescent="0.25">
      <c r="A429" s="8">
        <v>380</v>
      </c>
      <c r="B429" s="8" t="s">
        <v>1908</v>
      </c>
      <c r="C429" s="8">
        <v>50446</v>
      </c>
      <c r="D429" s="8" t="s">
        <v>1906</v>
      </c>
      <c r="E429" s="8" t="s">
        <v>1907</v>
      </c>
      <c r="F429" s="9">
        <v>7</v>
      </c>
      <c r="G429" s="9" t="s">
        <v>14</v>
      </c>
      <c r="H429" s="1" t="s">
        <v>1909</v>
      </c>
      <c r="I429" s="8" t="str">
        <f t="shared" si="152"/>
        <v>https://www.mindat.org/min-50446.html</v>
      </c>
      <c r="J429" s="8">
        <v>49585</v>
      </c>
      <c r="K429" s="8" t="s">
        <v>315</v>
      </c>
      <c r="L429" s="9">
        <v>49606</v>
      </c>
      <c r="M429" s="8" t="s">
        <v>395</v>
      </c>
      <c r="N429" s="9">
        <v>0</v>
      </c>
      <c r="O429" s="9" t="s">
        <v>2249</v>
      </c>
      <c r="R429" s="8" t="s">
        <v>1910</v>
      </c>
      <c r="S429" s="11">
        <f t="shared" ca="1" si="151"/>
        <v>45097.373057291668</v>
      </c>
      <c r="U429" s="8" t="str">
        <f t="shared" si="156"/>
        <v xml:space="preserve">&lt;etma:1:1:50446:9&gt;  rdf:type skos:Concept ;  </v>
      </c>
      <c r="V429" s="8" t="str">
        <f t="shared" si="157"/>
        <v xml:space="preserve"> dcterms:source "https://www.mindat.org/min-50446.html" ; </v>
      </c>
      <c r="W429" s="8" t="str">
        <f t="shared" si="158"/>
        <v xml:space="preserve">skos:definition "An H chondrite that is a breccia of components ranging from petrologic type 3 to type 4."@en ; </v>
      </c>
      <c r="X429" s="8" t="str">
        <f t="shared" si="134"/>
        <v xml:space="preserve"> skos:inScheme &lt;https://mindat.org/etmat/cscheme&gt; ;  </v>
      </c>
      <c r="Y429" s="8" t="str">
        <f t="shared" si="153"/>
        <v xml:space="preserve">skos:prefLabel "H3-4 chondrite meteorite"@en ; rdfs:label "H3-4 chondrite meteorite"@en ; </v>
      </c>
      <c r="Z429" s="8" t="str">
        <f t="shared" si="154"/>
        <v xml:space="preserve"> skos:notation  "H3-4"@en ; </v>
      </c>
      <c r="AA429" s="8" t="str">
        <f t="shared" si="128"/>
        <v>dcterms:source "https://www.lpi.usra.edu/meteor/metbullclass.php?sea=H3-4";</v>
      </c>
      <c r="AB429" s="8" t="str">
        <f t="shared" si="129"/>
        <v xml:space="preserve">skos:broader &lt;etma:1:1:49585:1&gt;, &lt;etma:1:1:49606:3&gt; ; </v>
      </c>
      <c r="AC429" s="8" t="str">
        <f t="shared" ca="1" si="130"/>
        <v>dcterms:modified "2023-06-20T08:57";  .</v>
      </c>
      <c r="AD429" s="10" t="str">
        <f t="shared" ca="1" si="155"/>
        <v>&lt;etma:1:1:50446:9&gt;  rdf:type skos:Concept ;     dcterms:source "https://www.mindat.org/min-50446.html" ;   skos:definition "An H chondrite that is a breccia of components ranging from petrologic type 3 to type 4."@en ;    skos:inScheme &lt;https://mindat.org/etmat/cscheme&gt; ;    skos:prefLabel "H3-4 chondrite meteorite"@en ; rdfs:label "H3-4 chondrite meteorite"@en ;    skos:notation  "H3-4"@en ;   dcterms:source "https://www.lpi.usra.edu/meteor/metbullclass.php?sea=H3-4";  skos:broader &lt;etma:1:1:49585:1&gt;, &lt;etma:1:1:49606:3&gt; ;   dcterms:modified "2023-06-20T08:57";  .</v>
      </c>
      <c r="AE429" s="8" t="s">
        <v>2591</v>
      </c>
    </row>
    <row r="430" spans="1:31" x14ac:dyDescent="0.25">
      <c r="A430" s="8">
        <v>381</v>
      </c>
      <c r="B430" s="8" t="s">
        <v>1913</v>
      </c>
      <c r="C430" s="8">
        <v>50447</v>
      </c>
      <c r="D430" s="8" t="s">
        <v>1911</v>
      </c>
      <c r="E430" s="8" t="s">
        <v>1912</v>
      </c>
      <c r="F430" s="9">
        <v>7</v>
      </c>
      <c r="G430" s="9" t="s">
        <v>14</v>
      </c>
      <c r="H430" s="1" t="s">
        <v>1914</v>
      </c>
      <c r="I430" s="8" t="str">
        <f t="shared" si="152"/>
        <v>https://www.mindat.org/min-50447.html</v>
      </c>
      <c r="J430" s="8">
        <v>49609</v>
      </c>
      <c r="K430" s="8" t="s">
        <v>410</v>
      </c>
      <c r="L430" s="9">
        <v>49617</v>
      </c>
      <c r="M430" s="8" t="s">
        <v>440</v>
      </c>
      <c r="N430" s="9">
        <v>0</v>
      </c>
      <c r="O430" s="9" t="s">
        <v>2249</v>
      </c>
      <c r="R430" s="8" t="s">
        <v>1915</v>
      </c>
      <c r="S430" s="11">
        <f t="shared" ca="1" si="151"/>
        <v>45097.373057291668</v>
      </c>
      <c r="U430" s="8" t="str">
        <f t="shared" si="156"/>
        <v xml:space="preserve">&lt;etma:1:1:50447:8&gt;  rdf:type skos:Concept ;  </v>
      </c>
      <c r="V430" s="8" t="str">
        <f t="shared" si="157"/>
        <v xml:space="preserve"> dcterms:source "https://www.mindat.org/min-50447.html" ; </v>
      </c>
      <c r="W430" s="8" t="str">
        <f t="shared" si="158"/>
        <v xml:space="preserve">skos:definition "An H chondrite or L chondrite that is a breccia of petrological type 4 and 5 components."@en ; </v>
      </c>
      <c r="X430" s="8" t="str">
        <f t="shared" si="134"/>
        <v xml:space="preserve"> skos:inScheme &lt;https://mindat.org/etmat/cscheme&gt; ;  </v>
      </c>
      <c r="Y430" s="8" t="str">
        <f t="shared" si="153"/>
        <v xml:space="preserve">skos:prefLabel "H/L4-5 chondrite meteorite"@en ; rdfs:label "H/L4-5 chondrite meteorite"@en ; </v>
      </c>
      <c r="Z430" s="8" t="str">
        <f t="shared" si="154"/>
        <v xml:space="preserve"> skos:notation  "H/L4-5"@en ; </v>
      </c>
      <c r="AA430" s="8" t="str">
        <f t="shared" si="128"/>
        <v>dcterms:source "https://www.lpi.usra.edu/meteor/metbullclass.php?sea=H/L4-5";</v>
      </c>
      <c r="AB430" s="8" t="str">
        <f t="shared" si="129"/>
        <v xml:space="preserve">skos:broader &lt;etma:1:1:49609:0&gt;, &lt;etma:1:1:49617:9&gt; ; </v>
      </c>
      <c r="AC430" s="8" t="str">
        <f t="shared" ca="1" si="130"/>
        <v>dcterms:modified "2023-06-20T08:57";  .</v>
      </c>
      <c r="AD430" s="10" t="str">
        <f t="shared" ca="1" si="155"/>
        <v>&lt;etma:1:1:50447:8&gt;  rdf:type skos:Concept ;     dcterms:source "https://www.mindat.org/min-50447.html" ;   skos:definition "An H chondrite or L chondrite that is a breccia of petrological type 4 and 5 components."@en ;    skos:inScheme &lt;https://mindat.org/etmat/cscheme&gt; ;    skos:prefLabel "H/L4-5 chondrite meteorite"@en ; rdfs:label "H/L4-5 chondrite meteorite"@en ;    skos:notation  "H/L4-5"@en ;   dcterms:source "https://www.lpi.usra.edu/meteor/metbullclass.php?sea=H/L4-5";  skos:broader &lt;etma:1:1:49609:0&gt;, &lt;etma:1:1:49617:9&gt; ;   dcterms:modified "2023-06-20T08:57";  .</v>
      </c>
      <c r="AE430" s="8" t="s">
        <v>2591</v>
      </c>
    </row>
    <row r="431" spans="1:31" x14ac:dyDescent="0.25">
      <c r="A431" s="8">
        <v>382</v>
      </c>
      <c r="B431" s="8" t="s">
        <v>1918</v>
      </c>
      <c r="C431" s="8">
        <v>50448</v>
      </c>
      <c r="D431" s="8" t="s">
        <v>1916</v>
      </c>
      <c r="E431" s="8" t="s">
        <v>1917</v>
      </c>
      <c r="F431" s="9">
        <v>7</v>
      </c>
      <c r="G431" s="9" t="s">
        <v>14</v>
      </c>
      <c r="H431" s="1" t="s">
        <v>1919</v>
      </c>
      <c r="I431" s="8" t="str">
        <f t="shared" si="152"/>
        <v>https://www.mindat.org/min-50448.html</v>
      </c>
      <c r="J431" s="8">
        <v>49606</v>
      </c>
      <c r="K431" s="8" t="s">
        <v>395</v>
      </c>
      <c r="N431" s="9">
        <v>0</v>
      </c>
      <c r="O431" s="9" t="s">
        <v>2249</v>
      </c>
      <c r="R431" s="8" t="s">
        <v>1920</v>
      </c>
      <c r="S431" s="11">
        <f t="shared" ca="1" si="151"/>
        <v>45097.373057291668</v>
      </c>
      <c r="U431" s="8" t="str">
        <f t="shared" si="156"/>
        <v xml:space="preserve">&lt;etma:1:1:50448:7&gt;  rdf:type skos:Concept ;  </v>
      </c>
      <c r="V431" s="8" t="str">
        <f t="shared" si="157"/>
        <v xml:space="preserve"> dcterms:source "https://www.mindat.org/min-50448.html" ; </v>
      </c>
      <c r="W431" s="8" t="str">
        <f t="shared" si="158"/>
        <v xml:space="preserve">skos:definition "An H chondrite that is a breccia of petrological type 4 and 5 components."@en ; </v>
      </c>
      <c r="X431" s="8" t="str">
        <f t="shared" si="134"/>
        <v xml:space="preserve"> skos:inScheme &lt;https://mindat.org/etmat/cscheme&gt; ;  </v>
      </c>
      <c r="Y431" s="8" t="str">
        <f t="shared" si="153"/>
        <v xml:space="preserve">skos:prefLabel "H4-5 chondrite meteorite"@en ; rdfs:label "H4-5 chondrite meteorite"@en ; </v>
      </c>
      <c r="Z431" s="8" t="str">
        <f t="shared" si="154"/>
        <v xml:space="preserve"> skos:notation  "H4-5"@en ; </v>
      </c>
      <c r="AA431" s="8" t="str">
        <f t="shared" si="128"/>
        <v>dcterms:source "https://www.lpi.usra.edu/meteor/metbullclass.php?sea=H4-5";</v>
      </c>
      <c r="AB431" s="8" t="str">
        <f t="shared" si="129"/>
        <v xml:space="preserve">skos:broader &lt;etma:1:1:49606:3&gt; ; </v>
      </c>
      <c r="AC431" s="8" t="str">
        <f t="shared" ca="1" si="130"/>
        <v>dcterms:modified "2023-06-20T08:57";  .</v>
      </c>
      <c r="AD431" s="10" t="str">
        <f t="shared" ca="1" si="155"/>
        <v>&lt;etma:1:1:50448:7&gt;  rdf:type skos:Concept ;     dcterms:source "https://www.mindat.org/min-50448.html" ;   skos:definition "An H chondrite that is a breccia of petrological type 4 and 5 components."@en ;    skos:inScheme &lt;https://mindat.org/etmat/cscheme&gt; ;    skos:prefLabel "H4-5 chondrite meteorite"@en ; rdfs:label "H4-5 chondrite meteorite"@en ;    skos:notation  "H4-5"@en ;   dcterms:source "https://www.lpi.usra.edu/meteor/metbullclass.php?sea=H4-5";  skos:broader &lt;etma:1:1:49606:3&gt; ;   dcterms:modified "2023-06-20T08:57";  .</v>
      </c>
      <c r="AE431" s="8" t="s">
        <v>2591</v>
      </c>
    </row>
    <row r="432" spans="1:31" x14ac:dyDescent="0.25">
      <c r="A432" s="8">
        <v>383</v>
      </c>
      <c r="B432" s="8" t="s">
        <v>1923</v>
      </c>
      <c r="C432" s="8">
        <v>50449</v>
      </c>
      <c r="D432" s="8" t="s">
        <v>1921</v>
      </c>
      <c r="E432" s="8" t="s">
        <v>1922</v>
      </c>
      <c r="F432" s="9">
        <v>7</v>
      </c>
      <c r="G432" s="9" t="s">
        <v>14</v>
      </c>
      <c r="H432" s="1" t="s">
        <v>1924</v>
      </c>
      <c r="I432" s="8" t="str">
        <f t="shared" si="152"/>
        <v>https://www.mindat.org/min-50449.html</v>
      </c>
      <c r="J432" s="8">
        <v>49619</v>
      </c>
      <c r="K432" s="8" t="s">
        <v>450</v>
      </c>
      <c r="L432" s="9">
        <v>49710</v>
      </c>
      <c r="M432" s="8" t="s">
        <v>870</v>
      </c>
      <c r="N432" s="9">
        <v>0</v>
      </c>
      <c r="O432" s="9" t="s">
        <v>2249</v>
      </c>
      <c r="R432" s="8" t="s">
        <v>1925</v>
      </c>
      <c r="S432" s="11">
        <f t="shared" ca="1" si="151"/>
        <v>45097.373057291668</v>
      </c>
      <c r="U432" s="8" t="str">
        <f t="shared" si="156"/>
        <v xml:space="preserve">&lt;etma:1:1:50449:6&gt;  rdf:type skos:Concept ;  </v>
      </c>
      <c r="V432" s="8" t="str">
        <f t="shared" si="157"/>
        <v xml:space="preserve"> dcterms:source "https://www.mindat.org/min-50449.html" ; </v>
      </c>
      <c r="W432" s="8" t="str">
        <f t="shared" si="158"/>
        <v xml:space="preserve">skos:definition "An H chondrite or L chondrite that is of petrological type 6."@en ; </v>
      </c>
      <c r="X432" s="8" t="str">
        <f t="shared" si="134"/>
        <v xml:space="preserve"> skos:inScheme &lt;https://mindat.org/etmat/cscheme&gt; ;  </v>
      </c>
      <c r="Y432" s="8" t="str">
        <f t="shared" si="153"/>
        <v xml:space="preserve">skos:prefLabel "H/L6 chondrite meteorite"@en ; rdfs:label "H/L6 chondrite meteorite"@en ; </v>
      </c>
      <c r="Z432" s="8" t="str">
        <f t="shared" si="154"/>
        <v xml:space="preserve"> skos:notation  "H/L6"@en ; </v>
      </c>
      <c r="AA432" s="8" t="str">
        <f t="shared" si="128"/>
        <v>dcterms:source "https://www.lpi.usra.edu/meteor/metbullclass.php?sea=H/L6";</v>
      </c>
      <c r="AB432" s="8" t="str">
        <f t="shared" si="129"/>
        <v xml:space="preserve">skos:broader &lt;etma:1:1:49619:7&gt;, &lt;etma:1:1:49710:5&gt; ; </v>
      </c>
      <c r="AC432" s="8" t="str">
        <f t="shared" ca="1" si="130"/>
        <v>dcterms:modified "2023-06-20T08:57";  .</v>
      </c>
      <c r="AD432" s="10" t="str">
        <f t="shared" ca="1" si="155"/>
        <v>&lt;etma:1:1:50449:6&gt;  rdf:type skos:Concept ;     dcterms:source "https://www.mindat.org/min-50449.html" ;   skos:definition "An H chondrite or L chondrite that is of petrological type 6."@en ;    skos:inScheme &lt;https://mindat.org/etmat/cscheme&gt; ;    skos:prefLabel "H/L6 chondrite meteorite"@en ; rdfs:label "H/L6 chondrite meteorite"@en ;    skos:notation  "H/L6"@en ;   dcterms:source "https://www.lpi.usra.edu/meteor/metbullclass.php?sea=H/L6";  skos:broader &lt;etma:1:1:49619:7&gt;, &lt;etma:1:1:49710:5&gt; ;   dcterms:modified "2023-06-20T08:57";  .</v>
      </c>
      <c r="AE432" s="8" t="s">
        <v>2591</v>
      </c>
    </row>
    <row r="433" spans="1:31" x14ac:dyDescent="0.25">
      <c r="A433" s="8">
        <v>384</v>
      </c>
      <c r="B433" s="8" t="s">
        <v>1928</v>
      </c>
      <c r="C433" s="8">
        <v>50450</v>
      </c>
      <c r="D433" s="8" t="s">
        <v>1926</v>
      </c>
      <c r="E433" s="8" t="s">
        <v>1927</v>
      </c>
      <c r="F433" s="9">
        <v>7</v>
      </c>
      <c r="G433" s="9" t="s">
        <v>14</v>
      </c>
      <c r="H433" s="1" t="s">
        <v>1929</v>
      </c>
      <c r="I433" s="8" t="str">
        <f t="shared" si="152"/>
        <v>https://www.mindat.org/min-50450.html</v>
      </c>
      <c r="J433" s="8">
        <v>49649</v>
      </c>
      <c r="K433" s="8" t="s">
        <v>595</v>
      </c>
      <c r="N433" s="9">
        <v>0</v>
      </c>
      <c r="O433" s="9" t="s">
        <v>2249</v>
      </c>
      <c r="R433" s="8" t="s">
        <v>1930</v>
      </c>
      <c r="S433" s="11">
        <f t="shared" ca="1" si="151"/>
        <v>45097.373057291668</v>
      </c>
      <c r="U433" s="8" t="str">
        <f t="shared" si="156"/>
        <v xml:space="preserve">&lt;etma:1:1:50450:2&gt;  rdf:type skos:Concept ;  </v>
      </c>
      <c r="V433" s="8" t="str">
        <f t="shared" si="157"/>
        <v xml:space="preserve"> dcterms:source "https://www.mindat.org/min-50450.html" ; </v>
      </c>
      <c r="W433" s="8" t="str">
        <f t="shared" si="158"/>
        <v xml:space="preserve">skos:definition "An L chondrite that is petrologic type 3.4."@en ; </v>
      </c>
      <c r="X433" s="8" t="str">
        <f t="shared" si="134"/>
        <v xml:space="preserve"> skos:inScheme &lt;https://mindat.org/etmat/cscheme&gt; ;  </v>
      </c>
      <c r="Y433" s="8" t="str">
        <f t="shared" si="153"/>
        <v xml:space="preserve">skos:prefLabel "L3.4 chondrite meteorite"@en ; rdfs:label "L3.4 chondrite meteorite"@en ; </v>
      </c>
      <c r="Z433" s="8" t="str">
        <f t="shared" si="154"/>
        <v xml:space="preserve"> skos:notation  "L3.4"@en ; </v>
      </c>
      <c r="AA433" s="8" t="str">
        <f t="shared" si="128"/>
        <v>dcterms:source "https://www.lpi.usra.edu/meteor/metbullclass.php?sea=L3.4";</v>
      </c>
      <c r="AB433" s="8" t="str">
        <f t="shared" si="129"/>
        <v xml:space="preserve">skos:broader &lt;etma:1:1:49649:8&gt; ; </v>
      </c>
      <c r="AC433" s="8" t="str">
        <f t="shared" ca="1" si="130"/>
        <v>dcterms:modified "2023-06-20T08:57";  .</v>
      </c>
      <c r="AD433" s="10" t="str">
        <f t="shared" ca="1" si="155"/>
        <v>&lt;etma:1:1:50450:2&gt;  rdf:type skos:Concept ;     dcterms:source "https://www.mindat.org/min-50450.html" ;   skos:definition "An L chondrite that is petrologic type 3.4."@en ;    skos:inScheme &lt;https://mindat.org/etmat/cscheme&gt; ;    skos:prefLabel "L3.4 chondrite meteorite"@en ; rdfs:label "L3.4 chondrite meteorite"@en ;    skos:notation  "L3.4"@en ;   dcterms:source "https://www.lpi.usra.edu/meteor/metbullclass.php?sea=L3.4";  skos:broader &lt;etma:1:1:49649:8&gt; ;   dcterms:modified "2023-06-20T08:57";  .</v>
      </c>
      <c r="AE433" s="8" t="s">
        <v>2591</v>
      </c>
    </row>
    <row r="434" spans="1:31" x14ac:dyDescent="0.25">
      <c r="A434" s="8">
        <v>385</v>
      </c>
      <c r="B434" s="8" t="s">
        <v>1933</v>
      </c>
      <c r="C434" s="8">
        <v>50451</v>
      </c>
      <c r="D434" s="8" t="s">
        <v>1931</v>
      </c>
      <c r="E434" s="8" t="s">
        <v>1932</v>
      </c>
      <c r="F434" s="9">
        <v>7</v>
      </c>
      <c r="G434" s="9" t="s">
        <v>14</v>
      </c>
      <c r="H434" s="1" t="s">
        <v>1934</v>
      </c>
      <c r="I434" s="8" t="str">
        <f t="shared" si="152"/>
        <v>https://www.mindat.org/min-50451.html</v>
      </c>
      <c r="J434" s="8">
        <v>49649</v>
      </c>
      <c r="K434" s="8" t="s">
        <v>595</v>
      </c>
      <c r="L434" s="9">
        <v>49695</v>
      </c>
      <c r="M434" s="8" t="s">
        <v>810</v>
      </c>
      <c r="N434" s="9">
        <v>0</v>
      </c>
      <c r="O434" s="9" t="s">
        <v>2249</v>
      </c>
      <c r="R434" s="8" t="s">
        <v>1935</v>
      </c>
      <c r="S434" s="11">
        <f t="shared" ca="1" si="151"/>
        <v>45097.373057291668</v>
      </c>
      <c r="U434" s="8" t="str">
        <f t="shared" si="156"/>
        <v xml:space="preserve">&lt;etma:1:1:50451:1&gt;  rdf:type skos:Concept ;  </v>
      </c>
      <c r="V434" s="8" t="str">
        <f t="shared" si="157"/>
        <v xml:space="preserve"> dcterms:source "https://www.mindat.org/min-50451.html" ; </v>
      </c>
      <c r="W434" s="8" t="str">
        <f t="shared" si="158"/>
        <v xml:space="preserve">skos:definition "An L chondrite that is petrologic type 3 to 4."@en ; </v>
      </c>
      <c r="X434" s="8" t="str">
        <f t="shared" si="134"/>
        <v xml:space="preserve"> skos:inScheme &lt;https://mindat.org/etmat/cscheme&gt; ;  </v>
      </c>
      <c r="Y434" s="8" t="str">
        <f t="shared" si="153"/>
        <v xml:space="preserve">skos:prefLabel "L3/4 chondrite meteorite"@en ; rdfs:label "L3/4 chondrite meteorite"@en ; </v>
      </c>
      <c r="Z434" s="8" t="str">
        <f t="shared" si="154"/>
        <v xml:space="preserve"> skos:notation  "L3/4"@en ; </v>
      </c>
      <c r="AA434" s="8" t="str">
        <f t="shared" si="128"/>
        <v>dcterms:source "https://www.lpi.usra.edu/meteor/metbullclass.php?sea=L3/4";</v>
      </c>
      <c r="AB434" s="8" t="str">
        <f t="shared" si="129"/>
        <v xml:space="preserve">skos:broader &lt;etma:1:1:49649:8&gt;, &lt;etma:1:1:49695:7&gt; ; </v>
      </c>
      <c r="AC434" s="8" t="str">
        <f t="shared" ca="1" si="130"/>
        <v>dcterms:modified "2023-06-20T08:57";  .</v>
      </c>
      <c r="AD434" s="10" t="str">
        <f t="shared" ca="1" si="155"/>
        <v>&lt;etma:1:1:50451:1&gt;  rdf:type skos:Concept ;     dcterms:source "https://www.mindat.org/min-50451.html" ;   skos:definition "An L chondrite that is petrologic type 3 to 4."@en ;    skos:inScheme &lt;https://mindat.org/etmat/cscheme&gt; ;    skos:prefLabel "L3/4 chondrite meteorite"@en ; rdfs:label "L3/4 chondrite meteorite"@en ;    skos:notation  "L3/4"@en ;   dcterms:source "https://www.lpi.usra.edu/meteor/metbullclass.php?sea=L3/4";  skos:broader &lt;etma:1:1:49649:8&gt;, &lt;etma:1:1:49695:7&gt; ;   dcterms:modified "2023-06-20T08:57";  .</v>
      </c>
      <c r="AE434" s="8" t="s">
        <v>2591</v>
      </c>
    </row>
    <row r="435" spans="1:31" x14ac:dyDescent="0.25">
      <c r="A435" s="8">
        <v>386</v>
      </c>
      <c r="B435" s="8" t="s">
        <v>1938</v>
      </c>
      <c r="C435" s="8">
        <v>50452</v>
      </c>
      <c r="D435" s="8" t="s">
        <v>1936</v>
      </c>
      <c r="E435" s="8" t="s">
        <v>1937</v>
      </c>
      <c r="F435" s="9">
        <v>7</v>
      </c>
      <c r="G435" s="9" t="s">
        <v>14</v>
      </c>
      <c r="H435" s="1" t="s">
        <v>1939</v>
      </c>
      <c r="I435" s="8" t="str">
        <f t="shared" si="152"/>
        <v>https://www.mindat.org/min-50452.html</v>
      </c>
      <c r="J435" s="8">
        <v>49649</v>
      </c>
      <c r="K435" s="8" t="s">
        <v>595</v>
      </c>
      <c r="L435" s="9">
        <v>49746</v>
      </c>
      <c r="M435" s="8" t="s">
        <v>1045</v>
      </c>
      <c r="N435" s="9">
        <v>0</v>
      </c>
      <c r="O435" s="9" t="s">
        <v>2249</v>
      </c>
      <c r="R435" s="8" t="s">
        <v>1940</v>
      </c>
      <c r="S435" s="11">
        <f t="shared" ca="1" si="151"/>
        <v>45097.373057291668</v>
      </c>
      <c r="U435" s="8" t="str">
        <f t="shared" si="156"/>
        <v xml:space="preserve">&lt;etma:1:1:50452:0&gt;  rdf:type skos:Concept ;  </v>
      </c>
      <c r="V435" s="8" t="str">
        <f t="shared" si="157"/>
        <v xml:space="preserve"> dcterms:source "https://www.mindat.org/min-50452.html" ; </v>
      </c>
      <c r="W435" s="8" t="str">
        <f t="shared" si="158"/>
        <v xml:space="preserve">skos:definition "An L chondrite (or less likely, an LL chondrite) that is of petrologic type 3."@en ; </v>
      </c>
      <c r="X435" s="8" t="str">
        <f t="shared" si="134"/>
        <v xml:space="preserve"> skos:inScheme &lt;https://mindat.org/etmat/cscheme&gt; ;  </v>
      </c>
      <c r="Y435" s="8" t="str">
        <f t="shared" si="153"/>
        <v xml:space="preserve">skos:prefLabel "L(LL)3 chondrite meteorite"@en ; rdfs:label "L(LL)3 chondrite meteorite"@en ; </v>
      </c>
      <c r="Z435" s="8" t="str">
        <f t="shared" si="154"/>
        <v xml:space="preserve"> skos:notation  "L(LL)3"@en ; </v>
      </c>
      <c r="AA435" s="8" t="str">
        <f t="shared" si="128"/>
        <v>dcterms:source "https://www.lpi.usra.edu/meteor/metbullclass.php?sea=L(LL)3";</v>
      </c>
      <c r="AB435" s="8" t="str">
        <f t="shared" si="129"/>
        <v xml:space="preserve">skos:broader &lt;etma:1:1:49649:8&gt;, &lt;etma:1:1:49746:0&gt; ; </v>
      </c>
      <c r="AC435" s="8" t="str">
        <f t="shared" ca="1" si="130"/>
        <v>dcterms:modified "2023-06-20T08:57";  .</v>
      </c>
      <c r="AD435" s="10" t="str">
        <f t="shared" ca="1" si="155"/>
        <v>&lt;etma:1:1:50452:0&gt;  rdf:type skos:Concept ;     dcterms:source "https://www.mindat.org/min-50452.html" ;   skos:definition "An L chondrite (or less likely, an LL chondrite) that is of petrologic type 3."@en ;    skos:inScheme &lt;https://mindat.org/etmat/cscheme&gt; ;    skos:prefLabel "L(LL)3 chondrite meteorite"@en ; rdfs:label "L(LL)3 chondrite meteorite"@en ;    skos:notation  "L(LL)3"@en ;   dcterms:source "https://www.lpi.usra.edu/meteor/metbullclass.php?sea=L(LL)3";  skos:broader &lt;etma:1:1:49649:8&gt;, &lt;etma:1:1:49746:0&gt; ;   dcterms:modified "2023-06-20T08:57";  .</v>
      </c>
      <c r="AE435" s="8" t="s">
        <v>2591</v>
      </c>
    </row>
    <row r="436" spans="1:31" x14ac:dyDescent="0.25">
      <c r="A436" s="8">
        <v>387</v>
      </c>
      <c r="B436" s="8" t="s">
        <v>1943</v>
      </c>
      <c r="C436" s="8">
        <v>50453</v>
      </c>
      <c r="D436" s="8" t="s">
        <v>1941</v>
      </c>
      <c r="E436" s="8" t="s">
        <v>1942</v>
      </c>
      <c r="F436" s="9">
        <v>7</v>
      </c>
      <c r="G436" s="9" t="s">
        <v>14</v>
      </c>
      <c r="H436" s="1" t="s">
        <v>1944</v>
      </c>
      <c r="I436" s="8" t="str">
        <f t="shared" si="152"/>
        <v>https://www.mindat.org/min-50453.html</v>
      </c>
      <c r="J436" s="8">
        <v>49649</v>
      </c>
      <c r="K436" s="8" t="s">
        <v>595</v>
      </c>
      <c r="L436" s="9">
        <v>49746</v>
      </c>
      <c r="M436" s="8" t="s">
        <v>1045</v>
      </c>
      <c r="N436" s="9">
        <v>0</v>
      </c>
      <c r="O436" s="9" t="s">
        <v>2249</v>
      </c>
      <c r="R436" s="8" t="s">
        <v>1945</v>
      </c>
      <c r="S436" s="11">
        <f t="shared" ca="1" si="151"/>
        <v>45097.373057291668</v>
      </c>
      <c r="U436" s="8" t="str">
        <f t="shared" si="156"/>
        <v xml:space="preserve">&lt;etma:1:1:50453:9&gt;  rdf:type skos:Concept ;  </v>
      </c>
      <c r="V436" s="8" t="str">
        <f t="shared" si="157"/>
        <v xml:space="preserve"> dcterms:source "https://www.mindat.org/min-50453.html" ; </v>
      </c>
      <c r="W436" s="8" t="str">
        <f t="shared" si="158"/>
        <v xml:space="preserve">skos:definition "An L chondrite or LL chondrite that is of petrological type 3."@en ; </v>
      </c>
      <c r="X436" s="8" t="str">
        <f t="shared" si="134"/>
        <v xml:space="preserve"> skos:inScheme &lt;https://mindat.org/etmat/cscheme&gt; ;  </v>
      </c>
      <c r="Y436" s="8" t="str">
        <f t="shared" si="153"/>
        <v xml:space="preserve">skos:prefLabel "L/LL3 chondrite meteorite"@en ; rdfs:label "L/LL3 chondrite meteorite"@en ; </v>
      </c>
      <c r="Z436" s="8" t="str">
        <f t="shared" si="154"/>
        <v xml:space="preserve"> skos:notation  "L/LL3"@en ; </v>
      </c>
      <c r="AA436" s="8" t="str">
        <f t="shared" si="128"/>
        <v>dcterms:source "https://www.lpi.usra.edu/meteor/metbullclass.php?sea=L/LL3";</v>
      </c>
      <c r="AB436" s="8" t="str">
        <f t="shared" si="129"/>
        <v xml:space="preserve">skos:broader &lt;etma:1:1:49649:8&gt;, &lt;etma:1:1:49746:0&gt; ; </v>
      </c>
      <c r="AC436" s="8" t="str">
        <f t="shared" ca="1" si="130"/>
        <v>dcterms:modified "2023-06-20T08:57";  .</v>
      </c>
      <c r="AD436" s="10" t="str">
        <f t="shared" ca="1" si="155"/>
        <v>&lt;etma:1:1:50453:9&gt;  rdf:type skos:Concept ;     dcterms:source "https://www.mindat.org/min-50453.html" ;   skos:definition "An L chondrite or LL chondrite that is of petrological type 3."@en ;    skos:inScheme &lt;https://mindat.org/etmat/cscheme&gt; ;    skos:prefLabel "L/LL3 chondrite meteorite"@en ; rdfs:label "L/LL3 chondrite meteorite"@en ;    skos:notation  "L/LL3"@en ;   dcterms:source "https://www.lpi.usra.edu/meteor/metbullclass.php?sea=L/LL3";  skos:broader &lt;etma:1:1:49649:8&gt;, &lt;etma:1:1:49746:0&gt; ;   dcterms:modified "2023-06-20T08:57";  .</v>
      </c>
      <c r="AE436" s="8" t="s">
        <v>2591</v>
      </c>
    </row>
    <row r="437" spans="1:31" x14ac:dyDescent="0.25">
      <c r="A437" s="8">
        <v>388</v>
      </c>
      <c r="B437" s="8" t="s">
        <v>1948</v>
      </c>
      <c r="C437" s="8">
        <v>50454</v>
      </c>
      <c r="D437" s="8" t="s">
        <v>1946</v>
      </c>
      <c r="E437" s="8" t="s">
        <v>1947</v>
      </c>
      <c r="F437" s="9">
        <v>7</v>
      </c>
      <c r="G437" s="9" t="s">
        <v>14</v>
      </c>
      <c r="H437" s="1" t="s">
        <v>1949</v>
      </c>
      <c r="I437" s="8" t="str">
        <f t="shared" si="152"/>
        <v>https://www.mindat.org/min-50454.html</v>
      </c>
      <c r="J437" s="8">
        <v>49683</v>
      </c>
      <c r="K437" s="8" t="s">
        <v>760</v>
      </c>
      <c r="N437" s="9">
        <v>0</v>
      </c>
      <c r="O437" s="9" t="s">
        <v>2249</v>
      </c>
      <c r="R437" s="8" t="s">
        <v>799</v>
      </c>
      <c r="S437" s="11">
        <v>43039.511493055557</v>
      </c>
      <c r="U437" s="8" t="str">
        <f t="shared" si="156"/>
        <v xml:space="preserve">&lt;etma:1:1:50454:8&gt;  rdf:type skos:Concept ;  </v>
      </c>
      <c r="V437" s="8" t="str">
        <f t="shared" si="157"/>
        <v xml:space="preserve"> dcterms:source "https://www.mindat.org/min-50454.html" ; </v>
      </c>
      <c r="W437" s="8" t="str">
        <f t="shared" si="158"/>
        <v xml:space="preserve">skos:definition "An L chondrite or LL chondrite that is of petrological type 3.1."@en ; </v>
      </c>
      <c r="X437" s="8" t="str">
        <f t="shared" si="134"/>
        <v xml:space="preserve"> skos:inScheme &lt;https://mindat.org/etmat/cscheme&gt; ;  </v>
      </c>
      <c r="Y437" s="8" t="str">
        <f t="shared" si="153"/>
        <v xml:space="preserve">skos:prefLabel "L/LL3.1 chondrite meteorite"@en ; rdfs:label "L/LL3.1 chondrite meteorite"@en ; </v>
      </c>
      <c r="Z437" s="8" t="str">
        <f t="shared" si="154"/>
        <v xml:space="preserve"> skos:notation  "L/LL3.10"@en ; </v>
      </c>
      <c r="AA437" s="8" t="str">
        <f t="shared" si="128"/>
        <v>dcterms:source "https://www.lpi.usra.edu/meteor/metbullclass.php?sea=L/LL3.10";</v>
      </c>
      <c r="AB437" s="8" t="str">
        <f t="shared" si="129"/>
        <v xml:space="preserve">skos:broader &lt;etma:1:1:49683:2&gt; ; </v>
      </c>
      <c r="AC437" s="8" t="str">
        <f t="shared" si="130"/>
        <v>dcterms:modified "2017-10-31T12:16";  .</v>
      </c>
      <c r="AD437" s="10" t="str">
        <f t="shared" si="155"/>
        <v>&lt;etma:1:1:50454:8&gt;  rdf:type skos:Concept ;     dcterms:source "https://www.mindat.org/min-50454.html" ;   skos:definition "An L chondrite or LL chondrite that is of petrological type 3.1."@en ;    skos:inScheme &lt;https://mindat.org/etmat/cscheme&gt; ;    skos:prefLabel "L/LL3.1 chondrite meteorite"@en ; rdfs:label "L/LL3.1 chondrite meteorite"@en ;    skos:notation  "L/LL3.10"@en ;   dcterms:source "https://www.lpi.usra.edu/meteor/metbullclass.php?sea=L/LL3.10";  skos:broader &lt;etma:1:1:49683:2&gt; ;   dcterms:modified "2017-10-31T12:16";  .</v>
      </c>
      <c r="AE437" s="8" t="s">
        <v>2591</v>
      </c>
    </row>
    <row r="438" spans="1:31" x14ac:dyDescent="0.25">
      <c r="A438" s="8">
        <v>389</v>
      </c>
      <c r="B438" s="8" t="s">
        <v>1952</v>
      </c>
      <c r="C438" s="8">
        <v>50455</v>
      </c>
      <c r="D438" s="8" t="s">
        <v>1950</v>
      </c>
      <c r="E438" s="8" t="s">
        <v>1951</v>
      </c>
      <c r="F438" s="9">
        <v>7</v>
      </c>
      <c r="G438" s="9" t="s">
        <v>14</v>
      </c>
      <c r="H438" s="1" t="s">
        <v>1953</v>
      </c>
      <c r="I438" s="8" t="str">
        <f t="shared" si="152"/>
        <v>https://www.mindat.org/min-50455.html</v>
      </c>
      <c r="J438" s="8">
        <v>50453</v>
      </c>
      <c r="K438" s="8" t="s">
        <v>1941</v>
      </c>
      <c r="N438" s="9">
        <v>0</v>
      </c>
      <c r="O438" s="9" t="s">
        <v>2249</v>
      </c>
      <c r="R438" s="8" t="s">
        <v>1954</v>
      </c>
      <c r="S438" s="11">
        <f t="shared" ref="S438:S447" ca="1" si="159">NOW()</f>
        <v>45097.373057291668</v>
      </c>
      <c r="U438" s="8" t="str">
        <f t="shared" si="156"/>
        <v xml:space="preserve">&lt;etma:1:1:50455:7&gt;  rdf:type skos:Concept ;  </v>
      </c>
      <c r="V438" s="8" t="str">
        <f t="shared" si="157"/>
        <v xml:space="preserve"> dcterms:source "https://www.mindat.org/min-50455.html" ; </v>
      </c>
      <c r="W438" s="8" t="str">
        <f t="shared" si="158"/>
        <v xml:space="preserve">skos:definition "An L chondrite or LL chondrite that is of petrological type 3.2."@en ; </v>
      </c>
      <c r="X438" s="8" t="str">
        <f t="shared" si="134"/>
        <v xml:space="preserve"> skos:inScheme &lt;https://mindat.org/etmat/cscheme&gt; ;  </v>
      </c>
      <c r="Y438" s="8" t="str">
        <f t="shared" si="153"/>
        <v xml:space="preserve">skos:prefLabel "L/LL3.2 chondrite meteorite"@en ; rdfs:label "L/LL3.2 chondrite meteorite"@en ; </v>
      </c>
      <c r="Z438" s="8" t="str">
        <f t="shared" si="154"/>
        <v xml:space="preserve"> skos:notation  "L/LL3.2"@en ; </v>
      </c>
      <c r="AA438" s="8" t="str">
        <f t="shared" si="128"/>
        <v>dcterms:source "https://www.lpi.usra.edu/meteor/metbullclass.php?sea=L/LL3.2";</v>
      </c>
      <c r="AB438" s="8" t="str">
        <f t="shared" si="129"/>
        <v xml:space="preserve">skos:broader &lt;etma:1:1:50453:9&gt; ; </v>
      </c>
      <c r="AC438" s="8" t="str">
        <f t="shared" ca="1" si="130"/>
        <v>dcterms:modified "2023-06-20T08:57";  .</v>
      </c>
      <c r="AD438" s="10" t="str">
        <f t="shared" ca="1" si="155"/>
        <v>&lt;etma:1:1:50455:7&gt;  rdf:type skos:Concept ;     dcterms:source "https://www.mindat.org/min-50455.html" ;   skos:definition "An L chondrite or LL chondrite that is of petrological type 3.2."@en ;    skos:inScheme &lt;https://mindat.org/etmat/cscheme&gt; ;    skos:prefLabel "L/LL3.2 chondrite meteorite"@en ; rdfs:label "L/LL3.2 chondrite meteorite"@en ;    skos:notation  "L/LL3.2"@en ;   dcterms:source "https://www.lpi.usra.edu/meteor/metbullclass.php?sea=L/LL3.2";  skos:broader &lt;etma:1:1:50453:9&gt; ;   dcterms:modified "2023-06-20T08:57";  .</v>
      </c>
      <c r="AE438" s="8" t="s">
        <v>2591</v>
      </c>
    </row>
    <row r="439" spans="1:31" x14ac:dyDescent="0.25">
      <c r="A439" s="8">
        <v>390</v>
      </c>
      <c r="B439" s="8" t="s">
        <v>1957</v>
      </c>
      <c r="C439" s="8">
        <v>50456</v>
      </c>
      <c r="D439" s="8" t="s">
        <v>1955</v>
      </c>
      <c r="E439" s="8" t="s">
        <v>1956</v>
      </c>
      <c r="F439" s="9">
        <v>7</v>
      </c>
      <c r="G439" s="9" t="s">
        <v>14</v>
      </c>
      <c r="H439" s="1" t="s">
        <v>1958</v>
      </c>
      <c r="I439" s="8" t="str">
        <f t="shared" si="152"/>
        <v>https://www.mindat.org/min-50456.html</v>
      </c>
      <c r="J439" s="8">
        <v>49695</v>
      </c>
      <c r="K439" s="8" t="s">
        <v>810</v>
      </c>
      <c r="L439" s="9">
        <v>49702</v>
      </c>
      <c r="M439" s="8" t="s">
        <v>840</v>
      </c>
      <c r="N439" s="9">
        <v>0</v>
      </c>
      <c r="O439" s="9" t="s">
        <v>2249</v>
      </c>
      <c r="R439" s="8" t="s">
        <v>1959</v>
      </c>
      <c r="S439" s="11">
        <f t="shared" ca="1" si="159"/>
        <v>45097.373057291668</v>
      </c>
      <c r="U439" s="8" t="str">
        <f t="shared" si="156"/>
        <v xml:space="preserve">&lt;etma:1:1:50456:6&gt;  rdf:type skos:Concept ;  </v>
      </c>
      <c r="V439" s="8" t="str">
        <f t="shared" si="157"/>
        <v xml:space="preserve"> dcterms:source "https://www.mindat.org/min-50456.html" ; </v>
      </c>
      <c r="W439" s="8" t="str">
        <f t="shared" si="158"/>
        <v xml:space="preserve">skos:definition "An L chondrite that is a breccia of petrological types 4 to 5."@en ; </v>
      </c>
      <c r="X439" s="8" t="str">
        <f t="shared" si="134"/>
        <v xml:space="preserve"> skos:inScheme &lt;https://mindat.org/etmat/cscheme&gt; ;  </v>
      </c>
      <c r="Y439" s="8" t="str">
        <f t="shared" si="153"/>
        <v xml:space="preserve">skos:prefLabel "L4-5 chondrite meteorite"@en ; rdfs:label "L4-5 chondrite meteorite"@en ; </v>
      </c>
      <c r="Z439" s="8" t="str">
        <f t="shared" si="154"/>
        <v xml:space="preserve"> skos:notation  "L4-5"@en ; </v>
      </c>
      <c r="AA439" s="8" t="str">
        <f t="shared" si="128"/>
        <v>dcterms:source "https://www.lpi.usra.edu/meteor/metbullclass.php?sea=L4-5";</v>
      </c>
      <c r="AB439" s="8" t="str">
        <f t="shared" si="129"/>
        <v xml:space="preserve">skos:broader &lt;etma:1:1:49695:7&gt;, &lt;etma:1:1:49702:6&gt; ; </v>
      </c>
      <c r="AC439" s="8" t="str">
        <f t="shared" ca="1" si="130"/>
        <v>dcterms:modified "2023-06-20T08:57";  .</v>
      </c>
      <c r="AD439" s="10" t="str">
        <f t="shared" ca="1" si="155"/>
        <v>&lt;etma:1:1:50456:6&gt;  rdf:type skos:Concept ;     dcterms:source "https://www.mindat.org/min-50456.html" ;   skos:definition "An L chondrite that is a breccia of petrological types 4 to 5."@en ;    skos:inScheme &lt;https://mindat.org/etmat/cscheme&gt; ;    skos:prefLabel "L4-5 chondrite meteorite"@en ; rdfs:label "L4-5 chondrite meteorite"@en ;    skos:notation  "L4-5"@en ;   dcterms:source "https://www.lpi.usra.edu/meteor/metbullclass.php?sea=L4-5";  skos:broader &lt;etma:1:1:49695:7&gt;, &lt;etma:1:1:49702:6&gt; ;   dcterms:modified "2023-06-20T08:57";  .</v>
      </c>
      <c r="AE439" s="8" t="s">
        <v>2591</v>
      </c>
    </row>
    <row r="440" spans="1:31" x14ac:dyDescent="0.25">
      <c r="A440" s="8">
        <v>391</v>
      </c>
      <c r="B440" s="8" t="s">
        <v>1962</v>
      </c>
      <c r="C440" s="8">
        <v>50457</v>
      </c>
      <c r="D440" s="8" t="s">
        <v>1960</v>
      </c>
      <c r="E440" s="8" t="s">
        <v>1961</v>
      </c>
      <c r="F440" s="9">
        <v>7</v>
      </c>
      <c r="G440" s="9" t="s">
        <v>14</v>
      </c>
      <c r="H440" s="1" t="s">
        <v>1963</v>
      </c>
      <c r="I440" s="8" t="str">
        <f t="shared" si="152"/>
        <v>https://www.mindat.org/min-50457.html</v>
      </c>
      <c r="J440" s="8">
        <v>49702</v>
      </c>
      <c r="K440" s="8" t="s">
        <v>840</v>
      </c>
      <c r="L440" s="9">
        <v>49772</v>
      </c>
      <c r="M440" s="8" t="s">
        <v>1145</v>
      </c>
      <c r="N440" s="9">
        <v>0</v>
      </c>
      <c r="O440" s="9" t="s">
        <v>2249</v>
      </c>
      <c r="R440" s="8" t="s">
        <v>1964</v>
      </c>
      <c r="S440" s="11">
        <f t="shared" ca="1" si="159"/>
        <v>45097.373057291668</v>
      </c>
      <c r="U440" s="8" t="str">
        <f t="shared" si="156"/>
        <v xml:space="preserve">&lt;etma:1:1:50457:5&gt;  rdf:type skos:Concept ;  </v>
      </c>
      <c r="V440" s="8" t="str">
        <f t="shared" si="157"/>
        <v xml:space="preserve"> dcterms:source "https://www.mindat.org/min-50457.html" ; </v>
      </c>
      <c r="W440" s="8" t="str">
        <f t="shared" si="158"/>
        <v xml:space="preserve">skos:definition "An L chondrite (or less likely, an LL chondrite) that is of petrologic type 5."@en ; </v>
      </c>
      <c r="X440" s="8" t="str">
        <f t="shared" si="134"/>
        <v xml:space="preserve"> skos:inScheme &lt;https://mindat.org/etmat/cscheme&gt; ;  </v>
      </c>
      <c r="Y440" s="8" t="str">
        <f t="shared" si="153"/>
        <v xml:space="preserve">skos:prefLabel "L(LL)5 chondrite meteorite"@en ; rdfs:label "L(LL)5 chondrite meteorite"@en ; </v>
      </c>
      <c r="Z440" s="8" t="str">
        <f t="shared" si="154"/>
        <v xml:space="preserve"> skos:notation  "L(LL)5"@en ; </v>
      </c>
      <c r="AA440" s="8" t="str">
        <f t="shared" si="128"/>
        <v>dcterms:source "https://www.lpi.usra.edu/meteor/metbullclass.php?sea=L(LL)5";</v>
      </c>
      <c r="AB440" s="8" t="str">
        <f t="shared" si="129"/>
        <v xml:space="preserve">skos:broader &lt;etma:1:1:49702:6&gt;, &lt;etma:1:1:49772:5&gt; ; </v>
      </c>
      <c r="AC440" s="8" t="str">
        <f t="shared" ca="1" si="130"/>
        <v>dcterms:modified "2023-06-20T08:57";  .</v>
      </c>
      <c r="AD440" s="10" t="str">
        <f t="shared" ca="1" si="155"/>
        <v>&lt;etma:1:1:50457:5&gt;  rdf:type skos:Concept ;     dcterms:source "https://www.mindat.org/min-50457.html" ;   skos:definition "An L chondrite (or less likely, an LL chondrite) that is of petrologic type 5."@en ;    skos:inScheme &lt;https://mindat.org/etmat/cscheme&gt; ;    skos:prefLabel "L(LL)5 chondrite meteorite"@en ; rdfs:label "L(LL)5 chondrite meteorite"@en ;    skos:notation  "L(LL)5"@en ;   dcterms:source "https://www.lpi.usra.edu/meteor/metbullclass.php?sea=L(LL)5";  skos:broader &lt;etma:1:1:49702:6&gt;, &lt;etma:1:1:49772:5&gt; ;   dcterms:modified "2023-06-20T08:57";  .</v>
      </c>
      <c r="AE440" s="8" t="s">
        <v>2591</v>
      </c>
    </row>
    <row r="441" spans="1:31" x14ac:dyDescent="0.25">
      <c r="A441" s="8">
        <v>392</v>
      </c>
      <c r="B441" s="8" t="s">
        <v>1967</v>
      </c>
      <c r="C441" s="8">
        <v>50458</v>
      </c>
      <c r="D441" s="8" t="s">
        <v>1965</v>
      </c>
      <c r="E441" s="8" t="s">
        <v>1966</v>
      </c>
      <c r="F441" s="9">
        <v>7</v>
      </c>
      <c r="G441" s="9" t="s">
        <v>14</v>
      </c>
      <c r="H441" s="1" t="s">
        <v>1968</v>
      </c>
      <c r="I441" s="8" t="str">
        <f t="shared" si="152"/>
        <v>https://www.mindat.org/min-50458.html</v>
      </c>
      <c r="J441" s="8">
        <v>49703</v>
      </c>
      <c r="K441" s="8" t="s">
        <v>845</v>
      </c>
      <c r="L441" s="9">
        <v>50459</v>
      </c>
      <c r="M441" s="8" t="s">
        <v>1970</v>
      </c>
      <c r="N441" s="9">
        <v>0</v>
      </c>
      <c r="O441" s="9" t="s">
        <v>2249</v>
      </c>
      <c r="R441" s="8" t="s">
        <v>1969</v>
      </c>
      <c r="S441" s="11">
        <f t="shared" ca="1" si="159"/>
        <v>45097.373057291668</v>
      </c>
      <c r="U441" s="8" t="str">
        <f t="shared" si="156"/>
        <v xml:space="preserve">&lt;etma:1:1:50458:4&gt;  rdf:type skos:Concept ;  </v>
      </c>
      <c r="V441" s="8" t="str">
        <f t="shared" si="157"/>
        <v xml:space="preserve"> dcterms:source "https://www.mindat.org/min-50458.html" ; </v>
      </c>
      <c r="W441" s="8" t="str">
        <f t="shared" si="158"/>
        <v xml:space="preserve">skos:definition "An L chondrite (or less likely, an LL chondrite) that is a breccia of components ranging from petrologic type 5 to 6."@en ; </v>
      </c>
      <c r="X441" s="8" t="str">
        <f t="shared" si="134"/>
        <v xml:space="preserve"> skos:inScheme &lt;https://mindat.org/etmat/cscheme&gt; ;  </v>
      </c>
      <c r="Y441" s="8" t="str">
        <f t="shared" si="153"/>
        <v xml:space="preserve">skos:prefLabel "L/LL5-6 chondrite meteorite"@en ; rdfs:label "L/LL5-6 chondrite meteorite"@en ; </v>
      </c>
      <c r="Z441" s="8" t="str">
        <f t="shared" si="154"/>
        <v xml:space="preserve"> skos:notation  "L/LL5-6"@en ; </v>
      </c>
      <c r="AA441" s="8" t="str">
        <f t="shared" si="128"/>
        <v>dcterms:source "https://www.lpi.usra.edu/meteor/metbullclass.php?sea=L/LL5-6";</v>
      </c>
      <c r="AB441" s="8" t="str">
        <f t="shared" si="129"/>
        <v xml:space="preserve">skos:broader &lt;etma:1:1:49703:5&gt;, &lt;etma:1:1:50459:3&gt; ; </v>
      </c>
      <c r="AC441" s="8" t="str">
        <f t="shared" ca="1" si="130"/>
        <v>dcterms:modified "2023-06-20T08:57";  .</v>
      </c>
      <c r="AD441" s="10" t="str">
        <f t="shared" ca="1" si="155"/>
        <v>&lt;etma:1:1:50458:4&gt;  rdf:type skos:Concept ;     dcterms:source "https://www.mindat.org/min-50458.html" ;   skos:definition "An L chondrite (or less likely, an LL chondrite) that is a breccia of components ranging from petrologic type 5 to 6."@en ;    skos:inScheme &lt;https://mindat.org/etmat/cscheme&gt; ;    skos:prefLabel "L/LL5-6 chondrite meteorite"@en ; rdfs:label "L/LL5-6 chondrite meteorite"@en ;    skos:notation  "L/LL5-6"@en ;   dcterms:source "https://www.lpi.usra.edu/meteor/metbullclass.php?sea=L/LL5-6";  skos:broader &lt;etma:1:1:49703:5&gt;, &lt;etma:1:1:50459:3&gt; ;   dcterms:modified "2023-06-20T08:57";  .</v>
      </c>
      <c r="AE441" s="8" t="s">
        <v>2591</v>
      </c>
    </row>
    <row r="442" spans="1:31" x14ac:dyDescent="0.25">
      <c r="A442" s="8">
        <v>393</v>
      </c>
      <c r="B442" s="8" t="s">
        <v>1972</v>
      </c>
      <c r="C442" s="8">
        <v>50459</v>
      </c>
      <c r="D442" s="8" t="s">
        <v>1970</v>
      </c>
      <c r="E442" s="8" t="s">
        <v>1971</v>
      </c>
      <c r="F442" s="9">
        <v>7</v>
      </c>
      <c r="G442" s="9" t="s">
        <v>14</v>
      </c>
      <c r="H442" s="1" t="s">
        <v>1973</v>
      </c>
      <c r="I442" s="8" t="str">
        <f t="shared" si="152"/>
        <v>https://www.mindat.org/min-50459.html</v>
      </c>
      <c r="J442" s="8">
        <v>49710</v>
      </c>
      <c r="K442" s="8" t="s">
        <v>870</v>
      </c>
      <c r="L442" s="9">
        <v>49776</v>
      </c>
      <c r="M442" s="8" t="s">
        <v>1160</v>
      </c>
      <c r="N442" s="9">
        <v>0</v>
      </c>
      <c r="O442" s="9" t="s">
        <v>2249</v>
      </c>
      <c r="R442" s="8" t="s">
        <v>1974</v>
      </c>
      <c r="S442" s="11">
        <f t="shared" ca="1" si="159"/>
        <v>45097.373057291668</v>
      </c>
      <c r="U442" s="8" t="str">
        <f t="shared" si="156"/>
        <v xml:space="preserve">&lt;etma:1:1:50459:3&gt;  rdf:type skos:Concept ;  </v>
      </c>
      <c r="V442" s="8" t="str">
        <f t="shared" si="157"/>
        <v xml:space="preserve"> dcterms:source "https://www.mindat.org/min-50459.html" ; </v>
      </c>
      <c r="W442" s="8" t="str">
        <f t="shared" si="158"/>
        <v xml:space="preserve">skos:definition "An L chondrite (or less likely, an LL chondrite) that is of petrologic type 6."@en ; </v>
      </c>
      <c r="X442" s="8" t="str">
        <f t="shared" si="134"/>
        <v xml:space="preserve"> skos:inScheme &lt;https://mindat.org/etmat/cscheme&gt; ;  </v>
      </c>
      <c r="Y442" s="8" t="str">
        <f t="shared" si="153"/>
        <v xml:space="preserve">skos:prefLabel "L(LL)6 chondrite meteorite"@en ; rdfs:label "L(LL)6 chondrite meteorite"@en ; </v>
      </c>
      <c r="Z442" s="8" t="str">
        <f t="shared" si="154"/>
        <v xml:space="preserve"> skos:notation  "L(LL)6"@en ; </v>
      </c>
      <c r="AA442" s="8" t="str">
        <f t="shared" si="128"/>
        <v>dcterms:source "https://www.lpi.usra.edu/meteor/metbullclass.php?sea=L(LL)6";</v>
      </c>
      <c r="AB442" s="8" t="str">
        <f t="shared" si="129"/>
        <v xml:space="preserve">skos:broader &lt;etma:1:1:49710:5&gt;, &lt;etma:1:1:49776:1&gt; ; </v>
      </c>
      <c r="AC442" s="8" t="str">
        <f t="shared" ca="1" si="130"/>
        <v>dcterms:modified "2023-06-20T08:57";  .</v>
      </c>
      <c r="AD442" s="10" t="str">
        <f t="shared" ca="1" si="155"/>
        <v>&lt;etma:1:1:50459:3&gt;  rdf:type skos:Concept ;     dcterms:source "https://www.mindat.org/min-50459.html" ;   skos:definition "An L chondrite (or less likely, an LL chondrite) that is of petrologic type 6."@en ;    skos:inScheme &lt;https://mindat.org/etmat/cscheme&gt; ;    skos:prefLabel "L(LL)6 chondrite meteorite"@en ; rdfs:label "L(LL)6 chondrite meteorite"@en ;    skos:notation  "L(LL)6"@en ;   dcterms:source "https://www.lpi.usra.edu/meteor/metbullclass.php?sea=L(LL)6";  skos:broader &lt;etma:1:1:49710:5&gt;, &lt;etma:1:1:49776:1&gt; ;   dcterms:modified "2023-06-20T08:57";  .</v>
      </c>
      <c r="AE442" s="8" t="s">
        <v>2591</v>
      </c>
    </row>
    <row r="443" spans="1:31" x14ac:dyDescent="0.25">
      <c r="A443" s="8">
        <v>394</v>
      </c>
      <c r="B443" s="8" t="s">
        <v>1977</v>
      </c>
      <c r="C443" s="8">
        <v>50460</v>
      </c>
      <c r="D443" s="8" t="s">
        <v>1975</v>
      </c>
      <c r="E443" s="8" t="s">
        <v>1976</v>
      </c>
      <c r="F443" s="9">
        <v>7</v>
      </c>
      <c r="G443" s="9" t="s">
        <v>14</v>
      </c>
      <c r="H443" s="1" t="s">
        <v>1978</v>
      </c>
      <c r="I443" s="8" t="str">
        <f t="shared" si="152"/>
        <v>https://www.mindat.org/min-50460.html</v>
      </c>
      <c r="J443" s="8">
        <v>49746</v>
      </c>
      <c r="K443" s="8" t="s">
        <v>1045</v>
      </c>
      <c r="L443" s="9">
        <v>49768</v>
      </c>
      <c r="M443" s="8" t="s">
        <v>1130</v>
      </c>
      <c r="N443" s="9">
        <v>0</v>
      </c>
      <c r="O443" s="9" t="s">
        <v>2249</v>
      </c>
      <c r="R443" s="8" t="s">
        <v>1979</v>
      </c>
      <c r="S443" s="11">
        <f t="shared" ca="1" si="159"/>
        <v>45097.373057291668</v>
      </c>
      <c r="U443" s="8" t="str">
        <f t="shared" si="156"/>
        <v xml:space="preserve">&lt;etma:1:1:50460:9&gt;  rdf:type skos:Concept ;  </v>
      </c>
      <c r="V443" s="8" t="str">
        <f t="shared" si="157"/>
        <v xml:space="preserve"> dcterms:source "https://www.mindat.org/min-50460.html" ; </v>
      </c>
      <c r="W443" s="8" t="str">
        <f t="shared" si="158"/>
        <v xml:space="preserve">skos:definition "An LL chondrite that is a breccia of petrological types 3 to 4."@en ; </v>
      </c>
      <c r="X443" s="8" t="str">
        <f t="shared" si="134"/>
        <v xml:space="preserve"> skos:inScheme &lt;https://mindat.org/etmat/cscheme&gt; ;  </v>
      </c>
      <c r="Y443" s="8" t="str">
        <f t="shared" si="153"/>
        <v xml:space="preserve">skos:prefLabel "LL3-4 chondrite meteorite"@en ; rdfs:label "LL3-4 chondrite meteorite"@en ; </v>
      </c>
      <c r="Z443" s="8" t="str">
        <f t="shared" si="154"/>
        <v xml:space="preserve"> skos:notation  "LL3-4"@en ; </v>
      </c>
      <c r="AA443" s="8" t="str">
        <f t="shared" si="128"/>
        <v>dcterms:source "https://www.lpi.usra.edu/meteor/metbullclass.php?sea=LL3-4";</v>
      </c>
      <c r="AB443" s="8" t="str">
        <f t="shared" si="129"/>
        <v xml:space="preserve">skos:broader &lt;etma:1:1:49746:0&gt;, &lt;etma:1:1:49768:2&gt; ; </v>
      </c>
      <c r="AC443" s="8" t="str">
        <f t="shared" ca="1" si="130"/>
        <v>dcterms:modified "2023-06-20T08:57";  .</v>
      </c>
      <c r="AD443" s="10" t="str">
        <f t="shared" ca="1" si="155"/>
        <v>&lt;etma:1:1:50460:9&gt;  rdf:type skos:Concept ;     dcterms:source "https://www.mindat.org/min-50460.html" ;   skos:definition "An LL chondrite that is a breccia of petrological types 3 to 4."@en ;    skos:inScheme &lt;https://mindat.org/etmat/cscheme&gt; ;    skos:prefLabel "LL3-4 chondrite meteorite"@en ; rdfs:label "LL3-4 chondrite meteorite"@en ;    skos:notation  "LL3-4"@en ;   dcterms:source "https://www.lpi.usra.edu/meteor/metbullclass.php?sea=LL3-4";  skos:broader &lt;etma:1:1:49746:0&gt;, &lt;etma:1:1:49768:2&gt; ;   dcterms:modified "2023-06-20T08:57";  .</v>
      </c>
      <c r="AE443" s="8" t="s">
        <v>2591</v>
      </c>
    </row>
    <row r="444" spans="1:31" x14ac:dyDescent="0.25">
      <c r="A444" s="8">
        <v>395</v>
      </c>
      <c r="B444" s="8" t="s">
        <v>1982</v>
      </c>
      <c r="C444" s="8">
        <v>50461</v>
      </c>
      <c r="D444" s="8" t="s">
        <v>1980</v>
      </c>
      <c r="E444" s="8" t="s">
        <v>1981</v>
      </c>
      <c r="F444" s="9">
        <v>7</v>
      </c>
      <c r="G444" s="9" t="s">
        <v>14</v>
      </c>
      <c r="H444" s="1" t="s">
        <v>1983</v>
      </c>
      <c r="I444" s="8" t="str">
        <f t="shared" si="152"/>
        <v>https://www.mindat.org/min-50461.html</v>
      </c>
      <c r="J444" s="8">
        <v>49746</v>
      </c>
      <c r="K444" s="8" t="s">
        <v>1045</v>
      </c>
      <c r="N444" s="9">
        <v>0</v>
      </c>
      <c r="O444" s="9" t="s">
        <v>2249</v>
      </c>
      <c r="R444" s="8" t="s">
        <v>1984</v>
      </c>
      <c r="S444" s="11">
        <f t="shared" ca="1" si="159"/>
        <v>45097.373057291668</v>
      </c>
      <c r="U444" s="8" t="str">
        <f t="shared" si="156"/>
        <v xml:space="preserve">&lt;etma:1:1:50461:8&gt;  rdf:type skos:Concept ;  </v>
      </c>
      <c r="V444" s="8" t="str">
        <f t="shared" si="157"/>
        <v xml:space="preserve"> dcterms:source "https://www.mindat.org/min-50461.html" ; </v>
      </c>
      <c r="W444" s="8" t="str">
        <f t="shared" si="158"/>
        <v xml:space="preserve">skos:definition "An LL chondrite that is petrologic type 3.4."@en ; </v>
      </c>
      <c r="X444" s="8" t="str">
        <f t="shared" si="134"/>
        <v xml:space="preserve"> skos:inScheme &lt;https://mindat.org/etmat/cscheme&gt; ;  </v>
      </c>
      <c r="Y444" s="8" t="str">
        <f t="shared" si="153"/>
        <v xml:space="preserve">skos:prefLabel "LL3.4 chondrite meteorite"@en ; rdfs:label "LL3.4 chondrite meteorite"@en ; </v>
      </c>
      <c r="Z444" s="8" t="str">
        <f t="shared" si="154"/>
        <v xml:space="preserve"> skos:notation  "LL3.4"@en ; </v>
      </c>
      <c r="AA444" s="8" t="str">
        <f t="shared" si="128"/>
        <v>dcterms:source "https://www.lpi.usra.edu/meteor/metbullclass.php?sea=LL3.4";</v>
      </c>
      <c r="AB444" s="8" t="str">
        <f t="shared" si="129"/>
        <v xml:space="preserve">skos:broader &lt;etma:1:1:49746:0&gt; ; </v>
      </c>
      <c r="AC444" s="8" t="str">
        <f t="shared" ca="1" si="130"/>
        <v>dcterms:modified "2023-06-20T08:57";  .</v>
      </c>
      <c r="AD444" s="10" t="str">
        <f t="shared" ca="1" si="155"/>
        <v>&lt;etma:1:1:50461:8&gt;  rdf:type skos:Concept ;     dcterms:source "https://www.mindat.org/min-50461.html" ;   skos:definition "An LL chondrite that is petrologic type 3.4."@en ;    skos:inScheme &lt;https://mindat.org/etmat/cscheme&gt; ;    skos:prefLabel "LL3.4 chondrite meteorite"@en ; rdfs:label "LL3.4 chondrite meteorite"@en ;    skos:notation  "LL3.4"@en ;   dcterms:source "https://www.lpi.usra.edu/meteor/metbullclass.php?sea=LL3.4";  skos:broader &lt;etma:1:1:49746:0&gt; ;   dcterms:modified "2023-06-20T08:57";  .</v>
      </c>
      <c r="AE444" s="8" t="s">
        <v>2591</v>
      </c>
    </row>
    <row r="445" spans="1:31" x14ac:dyDescent="0.25">
      <c r="A445" s="8">
        <v>396</v>
      </c>
      <c r="B445" s="8" t="s">
        <v>1987</v>
      </c>
      <c r="C445" s="8">
        <v>50462</v>
      </c>
      <c r="D445" s="8" t="s">
        <v>1985</v>
      </c>
      <c r="E445" s="8" t="s">
        <v>1986</v>
      </c>
      <c r="F445" s="9">
        <v>7</v>
      </c>
      <c r="G445" s="9" t="s">
        <v>14</v>
      </c>
      <c r="H445" s="1" t="s">
        <v>1988</v>
      </c>
      <c r="I445" s="8" t="str">
        <f t="shared" si="152"/>
        <v>https://www.mindat.org/min-50462.html</v>
      </c>
      <c r="J445" s="8">
        <v>49768</v>
      </c>
      <c r="K445" s="8" t="s">
        <v>1130</v>
      </c>
      <c r="L445" s="9">
        <v>49772</v>
      </c>
      <c r="M445" s="8" t="s">
        <v>1145</v>
      </c>
      <c r="N445" s="9">
        <v>0</v>
      </c>
      <c r="O445" s="9" t="s">
        <v>2249</v>
      </c>
      <c r="R445" s="8" t="s">
        <v>1989</v>
      </c>
      <c r="S445" s="11">
        <f t="shared" ca="1" si="159"/>
        <v>45097.373057291668</v>
      </c>
      <c r="U445" s="8" t="str">
        <f t="shared" si="156"/>
        <v xml:space="preserve">&lt;etma:1:1:50462:7&gt;  rdf:type skos:Concept ;  </v>
      </c>
      <c r="V445" s="8" t="str">
        <f t="shared" si="157"/>
        <v xml:space="preserve"> dcterms:source "https://www.mindat.org/min-50462.html" ; </v>
      </c>
      <c r="W445" s="8" t="str">
        <f t="shared" si="158"/>
        <v xml:space="preserve">skos:definition "An LL chondrite that is a breccia of petrological types 4 to 5."@en ; </v>
      </c>
      <c r="X445" s="8" t="str">
        <f t="shared" si="134"/>
        <v xml:space="preserve"> skos:inScheme &lt;https://mindat.org/etmat/cscheme&gt; ;  </v>
      </c>
      <c r="Y445" s="8" t="str">
        <f t="shared" si="153"/>
        <v xml:space="preserve">skos:prefLabel "LL4-5 chondrite meteorite"@en ; rdfs:label "LL4-5 chondrite meteorite"@en ; </v>
      </c>
      <c r="Z445" s="8" t="str">
        <f t="shared" si="154"/>
        <v xml:space="preserve"> skos:notation  "LL4-5"@en ; </v>
      </c>
      <c r="AA445" s="8" t="str">
        <f t="shared" si="128"/>
        <v>dcterms:source "https://www.lpi.usra.edu/meteor/metbullclass.php?sea=LL4-5";</v>
      </c>
      <c r="AB445" s="8" t="str">
        <f t="shared" si="129"/>
        <v xml:space="preserve">skos:broader &lt;etma:1:1:49768:2&gt;, &lt;etma:1:1:49772:5&gt; ; </v>
      </c>
      <c r="AC445" s="8" t="str">
        <f t="shared" ca="1" si="130"/>
        <v>dcterms:modified "2023-06-20T08:57";  .</v>
      </c>
      <c r="AD445" s="10" t="str">
        <f t="shared" ca="1" si="155"/>
        <v>&lt;etma:1:1:50462:7&gt;  rdf:type skos:Concept ;     dcterms:source "https://www.mindat.org/min-50462.html" ;   skos:definition "An LL chondrite that is a breccia of petrological types 4 to 5."@en ;    skos:inScheme &lt;https://mindat.org/etmat/cscheme&gt; ;    skos:prefLabel "LL4-5 chondrite meteorite"@en ; rdfs:label "LL4-5 chondrite meteorite"@en ;    skos:notation  "LL4-5"@en ;   dcterms:source "https://www.lpi.usra.edu/meteor/metbullclass.php?sea=LL4-5";  skos:broader &lt;etma:1:1:49768:2&gt;, &lt;etma:1:1:49772:5&gt; ;   dcterms:modified "2023-06-20T08:57";  .</v>
      </c>
      <c r="AE445" s="8" t="s">
        <v>2591</v>
      </c>
    </row>
    <row r="446" spans="1:31" x14ac:dyDescent="0.25">
      <c r="A446" s="8">
        <v>397</v>
      </c>
      <c r="B446" s="8" t="s">
        <v>1992</v>
      </c>
      <c r="C446" s="8">
        <v>50463</v>
      </c>
      <c r="D446" s="8" t="s">
        <v>1990</v>
      </c>
      <c r="E446" s="8" t="s">
        <v>1991</v>
      </c>
      <c r="F446" s="9">
        <v>7</v>
      </c>
      <c r="G446" s="9" t="s">
        <v>14</v>
      </c>
      <c r="H446" s="1" t="s">
        <v>1993</v>
      </c>
      <c r="I446" s="8" t="str">
        <f t="shared" si="152"/>
        <v>https://www.mindat.org/min-50463.html</v>
      </c>
      <c r="J446" s="8">
        <v>49772</v>
      </c>
      <c r="K446" s="8" t="s">
        <v>1145</v>
      </c>
      <c r="L446" s="9">
        <v>49776</v>
      </c>
      <c r="M446" s="8" t="s">
        <v>1160</v>
      </c>
      <c r="N446" s="9">
        <v>0</v>
      </c>
      <c r="O446" s="9" t="s">
        <v>2249</v>
      </c>
      <c r="R446" s="8" t="s">
        <v>1994</v>
      </c>
      <c r="S446" s="11">
        <f t="shared" ca="1" si="159"/>
        <v>45097.373057291668</v>
      </c>
      <c r="U446" s="8" t="str">
        <f t="shared" si="156"/>
        <v xml:space="preserve">&lt;etma:1:1:50463:6&gt;  rdf:type skos:Concept ;  </v>
      </c>
      <c r="V446" s="8" t="str">
        <f t="shared" si="157"/>
        <v xml:space="preserve"> dcterms:source "https://www.mindat.org/min-50463.html" ; </v>
      </c>
      <c r="W446" s="8" t="str">
        <f t="shared" si="158"/>
        <v xml:space="preserve">skos:definition "An LL chondrite that is a breccia of petrological types 5 to 6."@en ; </v>
      </c>
      <c r="X446" s="8" t="str">
        <f t="shared" si="134"/>
        <v xml:space="preserve"> skos:inScheme &lt;https://mindat.org/etmat/cscheme&gt; ;  </v>
      </c>
      <c r="Y446" s="8" t="str">
        <f t="shared" si="153"/>
        <v xml:space="preserve">skos:prefLabel "LL5-6 chondrite meteorite"@en ; rdfs:label "LL5-6 chondrite meteorite"@en ; </v>
      </c>
      <c r="Z446" s="8" t="str">
        <f t="shared" si="154"/>
        <v xml:space="preserve"> skos:notation  "LL5-6"@en ; </v>
      </c>
      <c r="AA446" s="8" t="str">
        <f t="shared" si="128"/>
        <v>dcterms:source "https://www.lpi.usra.edu/meteor/metbullclass.php?sea=LL5-6";</v>
      </c>
      <c r="AB446" s="8" t="str">
        <f t="shared" si="129"/>
        <v xml:space="preserve">skos:broader &lt;etma:1:1:49772:5&gt;, &lt;etma:1:1:49776:1&gt; ; </v>
      </c>
      <c r="AC446" s="8" t="str">
        <f t="shared" ca="1" si="130"/>
        <v>dcterms:modified "2023-06-20T08:57";  .</v>
      </c>
      <c r="AD446" s="10" t="str">
        <f t="shared" ca="1" si="155"/>
        <v>&lt;etma:1:1:50463:6&gt;  rdf:type skos:Concept ;     dcterms:source "https://www.mindat.org/min-50463.html" ;   skos:definition "An LL chondrite that is a breccia of petrological types 5 to 6."@en ;    skos:inScheme &lt;https://mindat.org/etmat/cscheme&gt; ;    skos:prefLabel "LL5-6 chondrite meteorite"@en ; rdfs:label "LL5-6 chondrite meteorite"@en ;    skos:notation  "LL5-6"@en ;   dcterms:source "https://www.lpi.usra.edu/meteor/metbullclass.php?sea=LL5-6";  skos:broader &lt;etma:1:1:49772:5&gt;, &lt;etma:1:1:49776:1&gt; ;   dcterms:modified "2023-06-20T08:57";  .</v>
      </c>
      <c r="AE446" s="8" t="s">
        <v>2591</v>
      </c>
    </row>
    <row r="447" spans="1:31" hidden="1" x14ac:dyDescent="0.25">
      <c r="A447" s="8">
        <v>113</v>
      </c>
      <c r="B447" s="8" t="s">
        <v>2428</v>
      </c>
      <c r="C447" s="8">
        <v>51453</v>
      </c>
      <c r="D447" s="8" t="s">
        <v>2346</v>
      </c>
      <c r="E447" s="8" t="s">
        <v>2429</v>
      </c>
      <c r="F447" s="9">
        <v>7</v>
      </c>
      <c r="G447" s="9" t="s">
        <v>14</v>
      </c>
      <c r="H447" s="1" t="s">
        <v>2430</v>
      </c>
      <c r="I447" s="8" t="str">
        <f t="shared" si="152"/>
        <v>https://www.mindat.org/min-51453.html</v>
      </c>
      <c r="J447" s="8">
        <v>49091</v>
      </c>
      <c r="K447" s="8" t="s">
        <v>2425</v>
      </c>
      <c r="L447" s="9">
        <v>50222</v>
      </c>
      <c r="M447" s="8" t="s">
        <v>2455</v>
      </c>
      <c r="N447" s="9">
        <v>1</v>
      </c>
      <c r="S447" s="11">
        <f t="shared" ca="1" si="159"/>
        <v>45097.373057291668</v>
      </c>
      <c r="U447" s="8" t="str">
        <f t="shared" si="156"/>
        <v xml:space="preserve">&lt;etma:1:1:51453:6&gt;  rdf:type skos:Concept ;  </v>
      </c>
      <c r="V447" s="8" t="str">
        <f t="shared" si="157"/>
        <v xml:space="preserve"> dcterms:source "https://www.mindat.org/min-51453.html" ; </v>
      </c>
      <c r="W447" s="8" t="str">
        <f t="shared" si="158"/>
        <v xml:space="preserve">skos:definition "Consolidated clastic impact debris breccia."@en ; </v>
      </c>
      <c r="X447" s="8" t="str">
        <f t="shared" si="134"/>
        <v xml:space="preserve"> skos:inScheme &lt;https://mindat.org/etmat/cscheme&gt; ;  </v>
      </c>
      <c r="Y447" s="8" t="str">
        <f t="shared" si="153"/>
        <v xml:space="preserve">skos:prefLabel "Shock lithified impact regolith breccia"@en ; rdfs:label "Shock lithified impact regolith breccia"@en ; </v>
      </c>
      <c r="Z447" s="8" t="str">
        <f t="shared" si="154"/>
        <v/>
      </c>
      <c r="AA447" s="8" t="str">
        <f t="shared" si="128"/>
        <v/>
      </c>
      <c r="AB447" s="8" t="str">
        <f t="shared" si="129"/>
        <v xml:space="preserve">skos:broader &lt;etma:1:1:49091:7&gt;, &lt;etma:1:1:50222:1&gt; ; </v>
      </c>
      <c r="AC447" s="8" t="str">
        <f t="shared" ca="1" si="130"/>
        <v>dcterms:modified "2023-06-20T08:57";  .</v>
      </c>
      <c r="AD447" s="10" t="str">
        <f t="shared" ca="1" si="155"/>
        <v>&lt;etma:1:1:51453:6&gt;  rdf:type skos:Concept ;     dcterms:source "https://www.mindat.org/min-51453.html" ;   skos:definition "Consolidated clastic impact debris breccia."@en ;    skos:inScheme &lt;https://mindat.org/etmat/cscheme&gt; ;    skos:prefLabel "Shock lithified impact regolith breccia"@en ; rdfs:label "Shock lithified impact regolith breccia"@en ;   skos:broader &lt;etma:1:1:49091:7&gt;, &lt;etma:1:1:50222:1&gt; ;   dcterms:modified "2023-06-20T08:57";  .</v>
      </c>
      <c r="AE447" s="8" t="s">
        <v>2591</v>
      </c>
    </row>
    <row r="448" spans="1:31" x14ac:dyDescent="0.25">
      <c r="A448" s="8">
        <v>398</v>
      </c>
      <c r="B448" s="8" t="s">
        <v>1997</v>
      </c>
      <c r="C448" s="8">
        <v>52197</v>
      </c>
      <c r="D448" s="8" t="s">
        <v>1995</v>
      </c>
      <c r="E448" s="8" t="s">
        <v>1996</v>
      </c>
      <c r="F448" s="9">
        <v>7</v>
      </c>
      <c r="G448" s="9" t="s">
        <v>14</v>
      </c>
      <c r="H448" s="1" t="s">
        <v>1998</v>
      </c>
      <c r="I448" s="8" t="str">
        <f t="shared" si="152"/>
        <v>https://www.mindat.org/min-52197.html</v>
      </c>
      <c r="J448" s="8">
        <v>49938</v>
      </c>
      <c r="K448" s="8" t="s">
        <v>1817</v>
      </c>
      <c r="N448" s="9">
        <v>0</v>
      </c>
      <c r="O448" s="9" t="s">
        <v>2249</v>
      </c>
      <c r="R448" s="8" t="s">
        <v>1999</v>
      </c>
      <c r="S448" s="11">
        <v>43049.493692129632</v>
      </c>
      <c r="U448" s="8" t="str">
        <f t="shared" si="156"/>
        <v xml:space="preserve">&lt;etma:1:1:52197:0&gt;  rdf:type skos:Concept ;  </v>
      </c>
      <c r="V448" s="8" t="str">
        <f t="shared" si="157"/>
        <v xml:space="preserve"> dcterms:source "https://www.mindat.org/min-52197.html" ; </v>
      </c>
      <c r="W448" s="8" t="str">
        <f t="shared" si="158"/>
        <v xml:space="preserve">skos:definition "An orthopyroxene-rich martian meteorite; this martian meteorite is not assigned to the shergottite, nakhlite, or chassignite types."@en ; </v>
      </c>
      <c r="X448" s="8" t="str">
        <f t="shared" si="134"/>
        <v xml:space="preserve"> skos:inScheme &lt;https://mindat.org/etmat/cscheme&gt; ;  </v>
      </c>
      <c r="Y448" s="8" t="str">
        <f t="shared" si="153"/>
        <v xml:space="preserve">skos:prefLabel "Orthopyroxene-rich Martian meteorite"@en ; rdfs:label "Orthopyroxene-rich Martian meteorite"@en ; </v>
      </c>
      <c r="Z448" s="8" t="str">
        <f t="shared" si="154"/>
        <v xml:space="preserve"> skos:notation  "Martian (OPX)"@en ; </v>
      </c>
      <c r="AA448" s="8" t="str">
        <f t="shared" si="128"/>
        <v>dcterms:source "https://www.lpi.usra.edu/meteor/metbullclass.php?sea=Martian%20(OPX)";</v>
      </c>
      <c r="AB448" s="8" t="str">
        <f t="shared" si="129"/>
        <v xml:space="preserve">skos:broader &lt;etma:1:1:49938:9&gt; ; </v>
      </c>
      <c r="AC448" s="8" t="str">
        <f t="shared" si="130"/>
        <v>dcterms:modified "2017-11-10T11:50";  .</v>
      </c>
      <c r="AD448" s="10" t="str">
        <f t="shared" si="155"/>
        <v>&lt;etma:1:1:52197:0&gt;  rdf:type skos:Concept ;     dcterms:source "https://www.mindat.org/min-52197.html" ;   skos:definition "An orthopyroxene-rich martian meteorite; this martian meteorite is not assigned to the shergottite, nakhlite, or chassignite types."@en ;    skos:inScheme &lt;https://mindat.org/etmat/cscheme&gt; ;    skos:prefLabel "Orthopyroxene-rich Martian meteorite"@en ; rdfs:label "Orthopyroxene-rich Martian meteorite"@en ;    skos:notation  "Martian (OPX)"@en ;   dcterms:source "https://www.lpi.usra.edu/meteor/metbullclass.php?sea=Martian%20(OPX)";  skos:broader &lt;etma:1:1:49938:9&gt; ;   dcterms:modified "2017-11-10T11:50";  .</v>
      </c>
      <c r="AE448" s="8" t="s">
        <v>2591</v>
      </c>
    </row>
    <row r="449" spans="1:31" x14ac:dyDescent="0.25">
      <c r="A449" s="8">
        <v>399</v>
      </c>
      <c r="B449" s="8" t="s">
        <v>2002</v>
      </c>
      <c r="C449" s="8">
        <v>52198</v>
      </c>
      <c r="D449" s="8" t="s">
        <v>2000</v>
      </c>
      <c r="E449" s="8" t="s">
        <v>2001</v>
      </c>
      <c r="F449" s="9">
        <v>7</v>
      </c>
      <c r="G449" s="9" t="s">
        <v>14</v>
      </c>
      <c r="H449" s="1" t="s">
        <v>2003</v>
      </c>
      <c r="I449" s="8" t="str">
        <f t="shared" si="152"/>
        <v>https://www.mindat.org/min-52198.html</v>
      </c>
      <c r="J449" s="8">
        <v>49938</v>
      </c>
      <c r="K449" s="8" t="s">
        <v>1817</v>
      </c>
      <c r="N449" s="9">
        <v>0</v>
      </c>
      <c r="O449" s="9" t="s">
        <v>2249</v>
      </c>
      <c r="R449" s="8" t="s">
        <v>2004</v>
      </c>
      <c r="S449" s="11">
        <v>43049.493356481478</v>
      </c>
      <c r="U449" s="8" t="str">
        <f t="shared" si="156"/>
        <v xml:space="preserve">&lt;etma:1:1:52198:9&gt;  rdf:type skos:Concept ;  </v>
      </c>
      <c r="V449" s="8" t="str">
        <f t="shared" si="157"/>
        <v xml:space="preserve"> dcterms:source "https://www.mindat.org/min-52198.html" ; </v>
      </c>
      <c r="W449" s="8" t="str">
        <f t="shared" si="158"/>
        <v xml:space="preserve">skos:definition "A martian meteorite that is a breccia dominantly composed of basaltic clasts; this martian meteorite is not assigned to the shergottite, nakhlite, or chassignite types."@en ; </v>
      </c>
      <c r="X449" s="8" t="str">
        <f t="shared" si="134"/>
        <v xml:space="preserve"> skos:inScheme &lt;https://mindat.org/etmat/cscheme&gt; ;  </v>
      </c>
      <c r="Y449" s="8" t="str">
        <f t="shared" si="153"/>
        <v xml:space="preserve">skos:prefLabel "Martian (basaltic breccia) meteorite"@en ; rdfs:label "Martian (basaltic breccia) meteorite"@en ; </v>
      </c>
      <c r="Z449" s="8" t="str">
        <f t="shared" si="154"/>
        <v xml:space="preserve"> skos:notation  "Martian (basaltic breccia)"@en ; </v>
      </c>
      <c r="AA449" s="8" t="str">
        <f t="shared" si="128"/>
        <v>dcterms:source "https://www.lpi.usra.edu/meteor/metbullclass.php?sea=Martian%20(basaltic%20breccia)";</v>
      </c>
      <c r="AB449" s="8" t="str">
        <f t="shared" si="129"/>
        <v xml:space="preserve">skos:broader &lt;etma:1:1:49938:9&gt; ; </v>
      </c>
      <c r="AC449" s="8" t="str">
        <f t="shared" si="130"/>
        <v>dcterms:modified "2017-11-10T11:50";  .</v>
      </c>
      <c r="AD449" s="10" t="str">
        <f t="shared" si="155"/>
        <v>&lt;etma:1:1:52198:9&gt;  rdf:type skos:Concept ;     dcterms:source "https://www.mindat.org/min-52198.html" ;   skos:definition "A martian meteorite that is a breccia dominantly composed of basaltic clasts; this martian meteorite is not assigned to the shergottite, nakhlite, or chassignite types."@en ;    skos:inScheme &lt;https://mindat.org/etmat/cscheme&gt; ;    skos:prefLabel "Martian (basaltic breccia) meteorite"@en ; rdfs:label "Martian (basaltic breccia) meteorite"@en ;    skos:notation  "Martian (basaltic breccia)"@en ;   dcterms:source "https://www.lpi.usra.edu/meteor/metbullclass.php?sea=Martian%20(basaltic%20breccia)";  skos:broader &lt;etma:1:1:49938:9&gt; ;   dcterms:modified "2017-11-10T11:50";  .</v>
      </c>
      <c r="AE449" s="8" t="s">
        <v>2591</v>
      </c>
    </row>
    <row r="450" spans="1:31" x14ac:dyDescent="0.25">
      <c r="A450" s="8">
        <v>400</v>
      </c>
      <c r="B450" s="8" t="s">
        <v>2007</v>
      </c>
      <c r="C450" s="8">
        <v>52199</v>
      </c>
      <c r="D450" s="8" t="s">
        <v>2005</v>
      </c>
      <c r="E450" s="8" t="s">
        <v>2006</v>
      </c>
      <c r="F450" s="9">
        <v>7</v>
      </c>
      <c r="G450" s="9" t="s">
        <v>14</v>
      </c>
      <c r="H450" s="1" t="s">
        <v>2008</v>
      </c>
      <c r="I450" s="8" t="str">
        <f t="shared" si="152"/>
        <v>https://www.mindat.org/min-52199.html</v>
      </c>
      <c r="J450" s="8">
        <v>49585</v>
      </c>
      <c r="K450" s="8" t="s">
        <v>315</v>
      </c>
      <c r="N450" s="9">
        <v>0</v>
      </c>
      <c r="O450" s="9" t="s">
        <v>2249</v>
      </c>
      <c r="R450" s="8" t="s">
        <v>2009</v>
      </c>
      <c r="S450" s="11">
        <v>43039.59375</v>
      </c>
      <c r="U450" s="8" t="str">
        <f t="shared" si="156"/>
        <v xml:space="preserve">&lt;etma:1:1:52199:8&gt;  rdf:type skos:Concept ;  </v>
      </c>
      <c r="V450" s="8" t="str">
        <f t="shared" si="157"/>
        <v xml:space="preserve"> dcterms:source "https://www.mindat.org/min-52199.html" ; </v>
      </c>
      <c r="W450" s="8" t="str">
        <f t="shared" si="158"/>
        <v xml:space="preserve">skos:definition "An H chondrite that is petrological type 3.5"@en ; </v>
      </c>
      <c r="X450" s="8" t="str">
        <f t="shared" si="134"/>
        <v xml:space="preserve"> skos:inScheme &lt;https://mindat.org/etmat/cscheme&gt; ;  </v>
      </c>
      <c r="Y450" s="8" t="str">
        <f t="shared" si="153"/>
        <v xml:space="preserve">skos:prefLabel "H3.5 chondrite meteorite"@en ; rdfs:label "H3.5 chondrite meteorite"@en ; </v>
      </c>
      <c r="Z450" s="8" t="str">
        <f t="shared" si="154"/>
        <v xml:space="preserve"> skos:notation  "H3.5"@en ; </v>
      </c>
      <c r="AA450" s="8" t="str">
        <f t="shared" si="128"/>
        <v>dcterms:source "https://www.lpi.usra.edu/meteor/metbullclass.php?sea=H3.5";</v>
      </c>
      <c r="AB450" s="8" t="str">
        <f t="shared" si="129"/>
        <v xml:space="preserve">skos:broader &lt;etma:1:1:49585:1&gt; ; </v>
      </c>
      <c r="AC450" s="8" t="str">
        <f t="shared" si="130"/>
        <v>dcterms:modified "2017-10-31T14:15";  .</v>
      </c>
      <c r="AD450" s="10" t="str">
        <f t="shared" si="155"/>
        <v>&lt;etma:1:1:52199:8&gt;  rdf:type skos:Concept ;     dcterms:source "https://www.mindat.org/min-52199.html" ;   skos:definition "An H chondrite that is petrological type 3.5"@en ;    skos:inScheme &lt;https://mindat.org/etmat/cscheme&gt; ;    skos:prefLabel "H3.5 chondrite meteorite"@en ; rdfs:label "H3.5 chondrite meteorite"@en ;    skos:notation  "H3.5"@en ;   dcterms:source "https://www.lpi.usra.edu/meteor/metbullclass.php?sea=H3.5";  skos:broader &lt;etma:1:1:49585:1&gt; ;   dcterms:modified "2017-10-31T14:15";  .</v>
      </c>
      <c r="AE450" s="8" t="s">
        <v>2591</v>
      </c>
    </row>
    <row r="451" spans="1:31" x14ac:dyDescent="0.25">
      <c r="A451" s="8">
        <v>401</v>
      </c>
      <c r="B451" s="8" t="s">
        <v>2012</v>
      </c>
      <c r="C451" s="8">
        <v>52200</v>
      </c>
      <c r="D451" s="8" t="s">
        <v>2010</v>
      </c>
      <c r="E451" s="8" t="s">
        <v>2011</v>
      </c>
      <c r="F451" s="9">
        <v>7</v>
      </c>
      <c r="G451" s="9" t="s">
        <v>14</v>
      </c>
      <c r="H451" s="1" t="s">
        <v>2013</v>
      </c>
      <c r="I451" s="8" t="str">
        <f t="shared" si="152"/>
        <v>https://www.mindat.org/min-52200.html</v>
      </c>
      <c r="J451" s="8">
        <v>49585</v>
      </c>
      <c r="K451" s="8" t="s">
        <v>315</v>
      </c>
      <c r="N451" s="9">
        <v>0</v>
      </c>
      <c r="O451" s="9" t="s">
        <v>2249</v>
      </c>
      <c r="R451" s="8" t="s">
        <v>2014</v>
      </c>
      <c r="S451" s="11">
        <v>43039.593518518515</v>
      </c>
      <c r="U451" s="8" t="str">
        <f t="shared" si="156"/>
        <v xml:space="preserve">&lt;etma:1:1:52200:3&gt;  rdf:type skos:Concept ;  </v>
      </c>
      <c r="V451" s="8" t="str">
        <f t="shared" si="157"/>
        <v xml:space="preserve"> dcterms:source "https://www.mindat.org/min-52200.html" ; </v>
      </c>
      <c r="W451" s="8" t="str">
        <f t="shared" si="158"/>
        <v xml:space="preserve">skos:definition "An H chondrite that is petrological type 3.4"@en ; </v>
      </c>
      <c r="X451" s="8" t="str">
        <f t="shared" si="134"/>
        <v xml:space="preserve"> skos:inScheme &lt;https://mindat.org/etmat/cscheme&gt; ;  </v>
      </c>
      <c r="Y451" s="8" t="str">
        <f t="shared" si="153"/>
        <v xml:space="preserve">skos:prefLabel "H3.4 chondrite meteorite"@en ; rdfs:label "H3.4 chondrite meteorite"@en ; </v>
      </c>
      <c r="Z451" s="8" t="str">
        <f t="shared" si="154"/>
        <v xml:space="preserve"> skos:notation  "H3.4"@en ; </v>
      </c>
      <c r="AA451" s="8" t="str">
        <f t="shared" ref="AA451:AA502" si="160">IF(NOT(ISBLANK(R451)), "dcterms:source ""https://www.lpi.usra.edu/meteor/metbullclass.php?sea=" &amp; SUBSTITUTE(R451," ","%20") &amp; """;","")</f>
        <v>dcterms:source "https://www.lpi.usra.edu/meteor/metbullclass.php?sea=H3.4";</v>
      </c>
      <c r="AB451" s="8" t="str">
        <f t="shared" ref="AB451:AB502" si="161">"skos:broader &lt;etma:"&amp;K451&amp;"&gt;" &amp; IF(ISBLANK(M451),"", ", &lt;etma:"&amp;M451&amp;"&gt;") &amp; " ; "</f>
        <v xml:space="preserve">skos:broader &lt;etma:1:1:49585:1&gt; ; </v>
      </c>
      <c r="AC451" s="8" t="str">
        <f t="shared" ref="AC451:AC502" si="162">"dcterms:modified """&amp;  TEXT(S451,"YYYY-MM-DDTHH:MM") &amp;""";  ."</f>
        <v>dcterms:modified "2017-10-31T14:14";  .</v>
      </c>
      <c r="AD451" s="10" t="str">
        <f t="shared" si="155"/>
        <v>&lt;etma:1:1:52200:3&gt;  rdf:type skos:Concept ;     dcterms:source "https://www.mindat.org/min-52200.html" ;   skos:definition "An H chondrite that is petrological type 3.4"@en ;    skos:inScheme &lt;https://mindat.org/etmat/cscheme&gt; ;    skos:prefLabel "H3.4 chondrite meteorite"@en ; rdfs:label "H3.4 chondrite meteorite"@en ;    skos:notation  "H3.4"@en ;   dcterms:source "https://www.lpi.usra.edu/meteor/metbullclass.php?sea=H3.4";  skos:broader &lt;etma:1:1:49585:1&gt; ;   dcterms:modified "2017-10-31T14:14";  .</v>
      </c>
      <c r="AE451" s="8" t="s">
        <v>2591</v>
      </c>
    </row>
    <row r="452" spans="1:31" x14ac:dyDescent="0.25">
      <c r="A452" s="8">
        <v>402</v>
      </c>
      <c r="B452" s="8" t="s">
        <v>2017</v>
      </c>
      <c r="C452" s="8">
        <v>52201</v>
      </c>
      <c r="D452" s="8" t="s">
        <v>2015</v>
      </c>
      <c r="E452" s="8" t="s">
        <v>2016</v>
      </c>
      <c r="F452" s="9">
        <v>7</v>
      </c>
      <c r="G452" s="9" t="s">
        <v>14</v>
      </c>
      <c r="H452" s="1" t="s">
        <v>2018</v>
      </c>
      <c r="I452" s="8" t="str">
        <f t="shared" si="152"/>
        <v>https://www.mindat.org/min-52201.html</v>
      </c>
      <c r="J452" s="8">
        <v>50269</v>
      </c>
      <c r="K452" s="8" t="s">
        <v>2260</v>
      </c>
      <c r="N452" s="9">
        <v>0</v>
      </c>
      <c r="O452" s="9" t="s">
        <v>2249</v>
      </c>
      <c r="R452" s="8" t="s">
        <v>2019</v>
      </c>
      <c r="S452" s="11">
        <v>43049.47283564815</v>
      </c>
      <c r="U452" s="8" t="str">
        <f t="shared" si="156"/>
        <v xml:space="preserve">&lt;etma:1:1:52201:2&gt;  rdf:type skos:Concept ;  </v>
      </c>
      <c r="V452" s="8" t="str">
        <f t="shared" si="157"/>
        <v xml:space="preserve"> dcterms:source "https://www.mindat.org/min-52201.html" ; </v>
      </c>
      <c r="W452" s="8" t="str">
        <f t="shared" si="158"/>
        <v xml:space="preserve">skos:definition "A stony meteorite that lacks chondrules and originated on a differentiated parent body, which has been well-enough characterized to determine that it does not fit into any of the established groups."@en ; </v>
      </c>
      <c r="X452" s="8" t="str">
        <f t="shared" si="134"/>
        <v xml:space="preserve"> skos:inScheme &lt;https://mindat.org/etmat/cscheme&gt; ;  </v>
      </c>
      <c r="Y452" s="8" t="str">
        <f t="shared" si="153"/>
        <v xml:space="preserve">skos:prefLabel "Ungrouped Achondrite meteorite"@en ; rdfs:label "Ungrouped Achondrite meteorite"@en ; </v>
      </c>
      <c r="Z452" s="8" t="str">
        <f t="shared" si="154"/>
        <v xml:space="preserve"> skos:notation  "Achondrite-ung"@en ; </v>
      </c>
      <c r="AA452" s="8" t="str">
        <f t="shared" si="160"/>
        <v>dcterms:source "https://www.lpi.usra.edu/meteor/metbullclass.php?sea=Achondrite-ung";</v>
      </c>
      <c r="AB452" s="8" t="str">
        <f t="shared" si="161"/>
        <v xml:space="preserve">skos:broader &lt;etma:1:1:50269:2&gt; ; </v>
      </c>
      <c r="AC452" s="8" t="str">
        <f t="shared" si="162"/>
        <v>dcterms:modified "2017-11-10T11:20";  .</v>
      </c>
      <c r="AD452" s="10" t="str">
        <f t="shared" si="155"/>
        <v>&lt;etma:1:1:52201:2&gt;  rdf:type skos:Concept ;     dcterms:source "https://www.mindat.org/min-52201.html" ;   skos:definition "A stony meteorite that lacks chondrules and originated on a differentiated parent body, which has been well-enough characterized to determine that it does not fit into any of the established groups."@en ;    skos:inScheme &lt;https://mindat.org/etmat/cscheme&gt; ;    skos:prefLabel "Ungrouped Achondrite meteorite"@en ; rdfs:label "Ungrouped Achondrite meteorite"@en ;    skos:notation  "Achondrite-ung"@en ;   dcterms:source "https://www.lpi.usra.edu/meteor/metbullclass.php?sea=Achondrite-ung";  skos:broader &lt;etma:1:1:50269:2&gt; ;   dcterms:modified "2017-11-10T11:20";  .</v>
      </c>
      <c r="AE452" s="8" t="s">
        <v>2591</v>
      </c>
    </row>
    <row r="453" spans="1:31" x14ac:dyDescent="0.25">
      <c r="A453" s="8">
        <v>403</v>
      </c>
      <c r="B453" s="8" t="s">
        <v>2022</v>
      </c>
      <c r="C453" s="8">
        <v>52202</v>
      </c>
      <c r="D453" s="8" t="s">
        <v>2020</v>
      </c>
      <c r="E453" s="8" t="s">
        <v>2021</v>
      </c>
      <c r="F453" s="9">
        <v>7</v>
      </c>
      <c r="G453" s="9" t="s">
        <v>14</v>
      </c>
      <c r="H453" s="1" t="s">
        <v>2023</v>
      </c>
      <c r="I453" s="8" t="str">
        <f t="shared" si="152"/>
        <v>https://www.mindat.org/min-52202.html</v>
      </c>
      <c r="J453" s="8">
        <v>49520</v>
      </c>
      <c r="K453" s="8" t="s">
        <v>36</v>
      </c>
      <c r="N453" s="9">
        <v>0</v>
      </c>
      <c r="O453" s="9">
        <v>52363</v>
      </c>
      <c r="P453" s="8" t="s">
        <v>2535</v>
      </c>
      <c r="Q453" s="8" t="s">
        <v>2536</v>
      </c>
      <c r="R453" s="8" t="s">
        <v>2024</v>
      </c>
      <c r="S453" s="11">
        <v>43050.458958333336</v>
      </c>
      <c r="U453" s="8" t="str">
        <f t="shared" si="156"/>
        <v xml:space="preserve">&lt;etma:1:1:52202:1&gt;  rdf:type skos:Concept ;  </v>
      </c>
      <c r="V453" s="8" t="str">
        <f t="shared" si="157"/>
        <v xml:space="preserve"> dcterms:source "https://www.mindat.org/min-52202.html" ; </v>
      </c>
      <c r="W453" s="8" t="str">
        <f t="shared" si="158"/>
        <v xml:space="preserve">skos:definition "A carbonaceous chondrite of unspecified petrologic type that is ungrouped."@en ; </v>
      </c>
      <c r="X453" s="8" t="str">
        <f t="shared" ref="X427:X480" si="163">" skos:inScheme &lt;http://example.org/mindat/etmat/cscheme&gt; ;  "</f>
        <v xml:space="preserve"> skos:inScheme &lt;http://example.org/mindat/etmat/cscheme&gt; ;  </v>
      </c>
      <c r="Y453" s="8" t="str">
        <f t="shared" si="153"/>
        <v xml:space="preserve">skos:prefLabel "Ungrouped C chondrite meteorite"@en ; rdfs:label "Ungrouped C chondrite meteorite"@en ; </v>
      </c>
      <c r="Z453" s="8" t="str">
        <f t="shared" si="154"/>
        <v xml:space="preserve">skos:altLabel "C-ung chondrite meteorite"@en ; skos:exactMatch  &lt;etma:1:1:52363:1&gt; ;  skos:notation  "C-ung"@en ; </v>
      </c>
      <c r="AA453" s="8" t="str">
        <f t="shared" si="160"/>
        <v>dcterms:source "https://www.lpi.usra.edu/meteor/metbullclass.php?sea=C-ung";</v>
      </c>
      <c r="AB453" s="8" t="str">
        <f t="shared" si="161"/>
        <v xml:space="preserve">skos:broader &lt;etma:1:1:49520:4&gt; ; </v>
      </c>
      <c r="AC453" s="8" t="str">
        <f t="shared" si="162"/>
        <v>dcterms:modified "2017-11-11T11:00";  .</v>
      </c>
      <c r="AD453" s="10" t="str">
        <f t="shared" si="155"/>
        <v>&lt;etma:1:1:52202:1&gt;  rdf:type skos:Concept ;     dcterms:source "https://www.mindat.org/min-52202.html" ;   skos:definition "A carbonaceous chondrite of unspecified petrologic type that is ungrouped."@en ;    skos:inScheme &lt;http://example.org/mindat/etmat/cscheme&gt; ;    skos:prefLabel "Ungrouped C chondrite meteorite"@en ; rdfs:label "Ungrouped C chondrite meteorite"@en ;   skos:altLabel "C-ung chondrite meteorite"@en ; skos:exactMatch  &lt;etma:1:1:52363:1&gt; ;  skos:notation  "C-ung"@en ;   dcterms:source "https://www.lpi.usra.edu/meteor/metbullclass.php?sea=C-ung";  skos:broader &lt;etma:1:1:49520:4&gt; ;   dcterms:modified "2017-11-11T11:00";  .</v>
      </c>
      <c r="AE453" s="8" t="s">
        <v>2591</v>
      </c>
    </row>
    <row r="454" spans="1:31" x14ac:dyDescent="0.25">
      <c r="A454" s="8">
        <v>404</v>
      </c>
      <c r="B454" s="8" t="s">
        <v>2027</v>
      </c>
      <c r="C454" s="8">
        <v>52203</v>
      </c>
      <c r="D454" s="8" t="s">
        <v>2025</v>
      </c>
      <c r="E454" s="8" t="s">
        <v>2026</v>
      </c>
      <c r="F454" s="9">
        <v>7</v>
      </c>
      <c r="G454" s="9" t="s">
        <v>14</v>
      </c>
      <c r="H454" s="1" t="s">
        <v>2028</v>
      </c>
      <c r="I454" s="8" t="str">
        <f t="shared" si="152"/>
        <v>https://www.mindat.org/min-52203.html</v>
      </c>
      <c r="J454" s="8">
        <v>49544</v>
      </c>
      <c r="K454" s="8" t="s">
        <v>135</v>
      </c>
      <c r="L454" s="9">
        <v>49551</v>
      </c>
      <c r="M454" s="8" t="s">
        <v>170</v>
      </c>
      <c r="N454" s="9">
        <v>0</v>
      </c>
      <c r="O454" s="9" t="s">
        <v>2249</v>
      </c>
      <c r="R454" s="8" t="s">
        <v>2029</v>
      </c>
      <c r="S454" s="11">
        <v>43039.475891203707</v>
      </c>
      <c r="U454" s="8" t="str">
        <f t="shared" si="156"/>
        <v xml:space="preserve">&lt;etma:1:1:52203:0&gt;  rdf:type skos:Concept ;  </v>
      </c>
      <c r="V454" s="8" t="str">
        <f t="shared" si="157"/>
        <v xml:space="preserve"> dcterms:source "https://www.mindat.org/min-52203.html" ; </v>
      </c>
      <c r="W454" s="8" t="str">
        <f t="shared" si="158"/>
        <v xml:space="preserve">skos:definition "A carbonaceous chondrite of the CK group with clasts ranging from petrologic type type 3 to type 6."@en ; </v>
      </c>
      <c r="X454" s="8" t="str">
        <f t="shared" ref="X454:X456" si="164">" skos:inScheme &lt;https://mindat.org/etmat/cscheme&gt; ;  "</f>
        <v xml:space="preserve"> skos:inScheme &lt;https://mindat.org/etmat/cscheme&gt; ;  </v>
      </c>
      <c r="Y454" s="8" t="str">
        <f t="shared" si="153"/>
        <v xml:space="preserve">skos:prefLabel "CK3-6 chondrite meteorite"@en ; rdfs:label "CK3-6 chondrite meteorite"@en ; </v>
      </c>
      <c r="Z454" s="8" t="str">
        <f t="shared" si="154"/>
        <v xml:space="preserve"> skos:notation  "CK3-6"@en ; </v>
      </c>
      <c r="AA454" s="8" t="str">
        <f t="shared" si="160"/>
        <v>dcterms:source "https://www.lpi.usra.edu/meteor/metbullclass.php?sea=CK3-6";</v>
      </c>
      <c r="AB454" s="8" t="str">
        <f t="shared" si="161"/>
        <v xml:space="preserve">skos:broader &lt;etma:1:1:49544:4&gt;, &lt;etma:1:1:49551:4&gt; ; </v>
      </c>
      <c r="AC454" s="8" t="str">
        <f t="shared" si="162"/>
        <v>dcterms:modified "2017-10-31T11:25";  .</v>
      </c>
      <c r="AD454" s="10" t="str">
        <f t="shared" si="155"/>
        <v>&lt;etma:1:1:52203:0&gt;  rdf:type skos:Concept ;     dcterms:source "https://www.mindat.org/min-52203.html" ;   skos:definition "A carbonaceous chondrite of the CK group with clasts ranging from petrologic type type 3 to type 6."@en ;    skos:inScheme &lt;https://mindat.org/etmat/cscheme&gt; ;    skos:prefLabel "CK3-6 chondrite meteorite"@en ; rdfs:label "CK3-6 chondrite meteorite"@en ;    skos:notation  "CK3-6"@en ;   dcterms:source "https://www.lpi.usra.edu/meteor/metbullclass.php?sea=CK3-6";  skos:broader &lt;etma:1:1:49544:4&gt;, &lt;etma:1:1:49551:4&gt; ;   dcterms:modified "2017-10-31T11:25";  .</v>
      </c>
      <c r="AE454" s="8" t="s">
        <v>2591</v>
      </c>
    </row>
    <row r="455" spans="1:31" x14ac:dyDescent="0.25">
      <c r="A455" s="8">
        <v>405</v>
      </c>
      <c r="B455" s="8" t="s">
        <v>2032</v>
      </c>
      <c r="C455" s="8">
        <v>52204</v>
      </c>
      <c r="D455" s="8" t="s">
        <v>2030</v>
      </c>
      <c r="E455" s="8" t="s">
        <v>2031</v>
      </c>
      <c r="F455" s="9">
        <v>7</v>
      </c>
      <c r="G455" s="9" t="s">
        <v>14</v>
      </c>
      <c r="H455" s="1" t="s">
        <v>2033</v>
      </c>
      <c r="I455" s="8" t="str">
        <f t="shared" si="152"/>
        <v>https://www.mindat.org/min-52204.html</v>
      </c>
      <c r="J455" s="8">
        <v>49539</v>
      </c>
      <c r="K455" s="8" t="s">
        <v>2284</v>
      </c>
      <c r="L455" s="9">
        <v>49538</v>
      </c>
      <c r="M455" s="8" t="s">
        <v>115</v>
      </c>
      <c r="N455" s="9">
        <v>0</v>
      </c>
      <c r="O455" s="9" t="s">
        <v>2249</v>
      </c>
      <c r="R455" s="8" t="s">
        <v>2034</v>
      </c>
      <c r="S455" s="11">
        <v>43039.476875</v>
      </c>
      <c r="U455" s="8" t="str">
        <f t="shared" si="156"/>
        <v xml:space="preserve">&lt;etma:1:1:52204:9&gt;  rdf:type skos:Concept ;  </v>
      </c>
      <c r="V455" s="8" t="str">
        <f t="shared" si="157"/>
        <v xml:space="preserve"> dcterms:source "https://www.mindat.org/min-52204.html" ; </v>
      </c>
      <c r="W455" s="8" t="str">
        <f t="shared" si="158"/>
        <v xml:space="preserve">skos:definition "A carbonaceous chondrite that is transitional between the CH group and the b-subgroup of the CB group"@en ; </v>
      </c>
      <c r="X455" s="8" t="str">
        <f t="shared" si="164"/>
        <v xml:space="preserve"> skos:inScheme &lt;https://mindat.org/etmat/cscheme&gt; ;  </v>
      </c>
      <c r="Y455" s="8" t="str">
        <f t="shared" si="153"/>
        <v xml:space="preserve">skos:prefLabel "CH/CBb chondrite meteorite"@en ; rdfs:label "CH/CBb chondrite meteorite"@en ; </v>
      </c>
      <c r="Z455" s="8" t="str">
        <f t="shared" si="154"/>
        <v xml:space="preserve"> skos:notation  "CH/CBb"@en ; </v>
      </c>
      <c r="AA455" s="8" t="str">
        <f t="shared" si="160"/>
        <v>dcterms:source "https://www.lpi.usra.edu/meteor/metbullclass.php?sea=CH/CBb";</v>
      </c>
      <c r="AB455" s="8" t="str">
        <f t="shared" si="161"/>
        <v xml:space="preserve">skos:broader &lt;etma:1:1:49539:2&gt;, &lt;etma:1:1:49538:3&gt; ; </v>
      </c>
      <c r="AC455" s="8" t="str">
        <f t="shared" si="162"/>
        <v>dcterms:modified "2017-10-31T11:26";  .</v>
      </c>
      <c r="AD455" s="10" t="str">
        <f t="shared" si="155"/>
        <v>&lt;etma:1:1:52204:9&gt;  rdf:type skos:Concept ;     dcterms:source "https://www.mindat.org/min-52204.html" ;   skos:definition "A carbonaceous chondrite that is transitional between the CH group and the b-subgroup of the CB group"@en ;    skos:inScheme &lt;https://mindat.org/etmat/cscheme&gt; ;    skos:prefLabel "CH/CBb chondrite meteorite"@en ; rdfs:label "CH/CBb chondrite meteorite"@en ;    skos:notation  "CH/CBb"@en ;   dcterms:source "https://www.lpi.usra.edu/meteor/metbullclass.php?sea=CH/CBb";  skos:broader &lt;etma:1:1:49539:2&gt;, &lt;etma:1:1:49538:3&gt; ;   dcterms:modified "2017-10-31T11:26";  .</v>
      </c>
      <c r="AE455" s="8" t="s">
        <v>2591</v>
      </c>
    </row>
    <row r="456" spans="1:31" x14ac:dyDescent="0.25">
      <c r="A456" s="8">
        <v>406</v>
      </c>
      <c r="B456" s="8" t="s">
        <v>2037</v>
      </c>
      <c r="C456" s="8">
        <v>52205</v>
      </c>
      <c r="D456" s="8" t="s">
        <v>2035</v>
      </c>
      <c r="E456" s="8" t="s">
        <v>2036</v>
      </c>
      <c r="F456" s="9">
        <v>7</v>
      </c>
      <c r="G456" s="9" t="s">
        <v>14</v>
      </c>
      <c r="H456" s="1" t="s">
        <v>2038</v>
      </c>
      <c r="I456" s="8" t="str">
        <f t="shared" si="152"/>
        <v>https://www.mindat.org/min-52205.html</v>
      </c>
      <c r="J456" s="8">
        <v>49548</v>
      </c>
      <c r="K456" s="8" t="s">
        <v>155</v>
      </c>
      <c r="L456" s="9">
        <v>49550</v>
      </c>
      <c r="M456" s="8" t="s">
        <v>165</v>
      </c>
      <c r="N456" s="9">
        <v>0</v>
      </c>
      <c r="O456" s="9" t="s">
        <v>2249</v>
      </c>
      <c r="R456" s="8" t="s">
        <v>2039</v>
      </c>
      <c r="S456" s="11">
        <v>43039.478333333333</v>
      </c>
      <c r="U456" s="8" t="str">
        <f t="shared" si="156"/>
        <v xml:space="preserve">&lt;etma:1:1:52205:8&gt;  rdf:type skos:Concept ;  </v>
      </c>
      <c r="V456" s="8" t="str">
        <f t="shared" si="157"/>
        <v xml:space="preserve"> dcterms:source "https://www.mindat.org/min-52205.html" ; </v>
      </c>
      <c r="W456" s="8" t="str">
        <f t="shared" si="158"/>
        <v xml:space="preserve">skos:definition "A carbonaceous chondrite of the CK group that is either petrologic type 4 or type 5."@en ; </v>
      </c>
      <c r="X456" s="8" t="str">
        <f t="shared" si="164"/>
        <v xml:space="preserve"> skos:inScheme &lt;https://mindat.org/etmat/cscheme&gt; ;  </v>
      </c>
      <c r="Y456" s="8" t="str">
        <f t="shared" si="153"/>
        <v xml:space="preserve">skos:prefLabel "CK4/5 chondrite meteorite"@en ; rdfs:label "CK4/5 chondrite meteorite"@en ; </v>
      </c>
      <c r="Z456" s="8" t="str">
        <f t="shared" si="154"/>
        <v xml:space="preserve"> skos:notation  "CK4/5"@en ; </v>
      </c>
      <c r="AA456" s="8" t="str">
        <f t="shared" si="160"/>
        <v>dcterms:source "https://www.lpi.usra.edu/meteor/metbullclass.php?sea=CK4/5";</v>
      </c>
      <c r="AB456" s="8" t="str">
        <f t="shared" si="161"/>
        <v xml:space="preserve">skos:broader &lt;etma:1:1:49548:0&gt;, &lt;etma:1:1:49550:5&gt; ; </v>
      </c>
      <c r="AC456" s="8" t="str">
        <f t="shared" si="162"/>
        <v>dcterms:modified "2017-10-31T11:28";  .</v>
      </c>
      <c r="AD456" s="10" t="str">
        <f t="shared" si="155"/>
        <v>&lt;etma:1:1:52205:8&gt;  rdf:type skos:Concept ;     dcterms:source "https://www.mindat.org/min-52205.html" ;   skos:definition "A carbonaceous chondrite of the CK group that is either petrologic type 4 or type 5."@en ;    skos:inScheme &lt;https://mindat.org/etmat/cscheme&gt; ;    skos:prefLabel "CK4/5 chondrite meteorite"@en ; rdfs:label "CK4/5 chondrite meteorite"@en ;    skos:notation  "CK4/5"@en ;   dcterms:source "https://www.lpi.usra.edu/meteor/metbullclass.php?sea=CK4/5";  skos:broader &lt;etma:1:1:49548:0&gt;, &lt;etma:1:1:49550:5&gt; ;   dcterms:modified "2017-10-31T11:28";  .</v>
      </c>
      <c r="AE456" s="8" t="s">
        <v>2591</v>
      </c>
    </row>
    <row r="457" spans="1:31" x14ac:dyDescent="0.25">
      <c r="A457" s="8">
        <v>407</v>
      </c>
      <c r="B457" s="8" t="s">
        <v>2042</v>
      </c>
      <c r="C457" s="8">
        <v>52206</v>
      </c>
      <c r="D457" s="8" t="s">
        <v>2040</v>
      </c>
      <c r="E457" s="8" t="s">
        <v>2041</v>
      </c>
      <c r="F457" s="9">
        <v>7</v>
      </c>
      <c r="G457" s="9" t="s">
        <v>14</v>
      </c>
      <c r="H457" s="1" t="s">
        <v>2043</v>
      </c>
      <c r="I457" s="8" t="str">
        <f t="shared" si="152"/>
        <v>https://www.mindat.org/min-52206.html</v>
      </c>
      <c r="J457" s="8">
        <v>49550</v>
      </c>
      <c r="K457" s="8" t="s">
        <v>165</v>
      </c>
      <c r="N457" s="9">
        <v>0</v>
      </c>
      <c r="O457" s="9">
        <v>52387</v>
      </c>
      <c r="P457" s="8" t="s">
        <v>2537</v>
      </c>
      <c r="Q457" s="8" t="s">
        <v>2538</v>
      </c>
      <c r="R457" s="8" t="s">
        <v>2044</v>
      </c>
      <c r="S457" s="11">
        <v>43051.01635416667</v>
      </c>
      <c r="U457" s="8" t="str">
        <f t="shared" si="156"/>
        <v xml:space="preserve">&lt;etma:1:1:52206:7&gt;  rdf:type skos:Concept ;  </v>
      </c>
      <c r="V457" s="8" t="str">
        <f t="shared" si="157"/>
        <v xml:space="preserve"> dcterms:source "https://www.mindat.org/min-52206.html" ; </v>
      </c>
      <c r="W457" s="8" t="str">
        <f t="shared" si="158"/>
        <v xml:space="preserve">skos:definition "A carbonaceous chondrite of the CK group that is anomalous and petrologic type 5."@en ; </v>
      </c>
      <c r="X457" s="8" t="str">
        <f t="shared" si="163"/>
        <v xml:space="preserve"> skos:inScheme &lt;http://example.org/mindat/etmat/cscheme&gt; ;  </v>
      </c>
      <c r="Y457" s="8" t="str">
        <f t="shared" si="153"/>
        <v xml:space="preserve">skos:prefLabel "Anomalous CK5 chondrite meteorite"@en ; rdfs:label "Anomalous CK5 chondrite meteorite"@en ; </v>
      </c>
      <c r="Z457" s="8" t="str">
        <f t="shared" si="154"/>
        <v xml:space="preserve">skos:altLabel "CK5-an chondrite meteorite"@en ; skos:exactMatch  &lt;etma:1:1:52387:1&gt; ;  skos:notation  "CK5-an"@en ; </v>
      </c>
      <c r="AA457" s="8" t="str">
        <f t="shared" si="160"/>
        <v>dcterms:source "https://www.lpi.usra.edu/meteor/metbullclass.php?sea=CK5-an";</v>
      </c>
      <c r="AB457" s="8" t="str">
        <f t="shared" si="161"/>
        <v xml:space="preserve">skos:broader &lt;etma:1:1:49550:5&gt; ; </v>
      </c>
      <c r="AC457" s="8" t="str">
        <f t="shared" si="162"/>
        <v>dcterms:modified "2017-11-12T00:23";  .</v>
      </c>
      <c r="AD457" s="10" t="str">
        <f t="shared" si="155"/>
        <v>&lt;etma:1:1:52206:7&gt;  rdf:type skos:Concept ;     dcterms:source "https://www.mindat.org/min-52206.html" ;   skos:definition "A carbonaceous chondrite of the CK group that is anomalous and petrologic type 5."@en ;    skos:inScheme &lt;http://example.org/mindat/etmat/cscheme&gt; ;    skos:prefLabel "Anomalous CK5 chondrite meteorite"@en ; rdfs:label "Anomalous CK5 chondrite meteorite"@en ;   skos:altLabel "CK5-an chondrite meteorite"@en ; skos:exactMatch  &lt;etma:1:1:52387:1&gt; ;  skos:notation  "CK5-an"@en ;   dcterms:source "https://www.lpi.usra.edu/meteor/metbullclass.php?sea=CK5-an";  skos:broader &lt;etma:1:1:49550:5&gt; ;   dcterms:modified "2017-11-12T00:23";  .</v>
      </c>
      <c r="AE457" s="8" t="s">
        <v>2591</v>
      </c>
    </row>
    <row r="458" spans="1:31" x14ac:dyDescent="0.25">
      <c r="A458" s="8">
        <v>408</v>
      </c>
      <c r="B458" s="8" t="s">
        <v>2047</v>
      </c>
      <c r="C458" s="8">
        <v>52207</v>
      </c>
      <c r="D458" s="8" t="s">
        <v>2045</v>
      </c>
      <c r="E458" s="8" t="s">
        <v>2046</v>
      </c>
      <c r="F458" s="9">
        <v>7</v>
      </c>
      <c r="G458" s="9" t="s">
        <v>14</v>
      </c>
      <c r="H458" s="1" t="s">
        <v>2048</v>
      </c>
      <c r="I458" s="8" t="str">
        <f t="shared" si="152"/>
        <v>https://www.mindat.org/min-52207.html</v>
      </c>
      <c r="J458" s="8">
        <v>49550</v>
      </c>
      <c r="K458" s="8" t="s">
        <v>165</v>
      </c>
      <c r="L458" s="9">
        <v>49551</v>
      </c>
      <c r="M458" s="8" t="s">
        <v>170</v>
      </c>
      <c r="N458" s="9">
        <v>0</v>
      </c>
      <c r="O458" s="9" t="s">
        <v>2249</v>
      </c>
      <c r="R458" s="8" t="s">
        <v>2049</v>
      </c>
      <c r="S458" s="11">
        <v>43039.479895833334</v>
      </c>
      <c r="U458" s="8" t="str">
        <f t="shared" si="156"/>
        <v xml:space="preserve">&lt;etma:1:1:52207:6&gt;  rdf:type skos:Concept ;  </v>
      </c>
      <c r="V458" s="8" t="str">
        <f t="shared" si="157"/>
        <v xml:space="preserve"> dcterms:source "https://www.mindat.org/min-52207.html" ; </v>
      </c>
      <c r="W458" s="8" t="str">
        <f t="shared" si="158"/>
        <v xml:space="preserve">skos:definition "A carbonaceous chondrite of the CK group that is either petrologic type 5 or type 6."@en ; </v>
      </c>
      <c r="X458" s="8" t="str">
        <f t="shared" ref="X458:X502" si="165">" skos:inScheme &lt;https://mindat.org/etmat/cscheme&gt; ;  "</f>
        <v xml:space="preserve"> skos:inScheme &lt;https://mindat.org/etmat/cscheme&gt; ;  </v>
      </c>
      <c r="Y458" s="8" t="str">
        <f t="shared" si="153"/>
        <v xml:space="preserve">skos:prefLabel "CK5/6 chondrite meteorite"@en ; rdfs:label "CK5/6 chondrite meteorite"@en ; </v>
      </c>
      <c r="Z458" s="8" t="str">
        <f t="shared" si="154"/>
        <v xml:space="preserve"> skos:notation  "CK5/6"@en ; </v>
      </c>
      <c r="AA458" s="8" t="str">
        <f t="shared" si="160"/>
        <v>dcterms:source "https://www.lpi.usra.edu/meteor/metbullclass.php?sea=CK5/6";</v>
      </c>
      <c r="AB458" s="8" t="str">
        <f t="shared" si="161"/>
        <v xml:space="preserve">skos:broader &lt;etma:1:1:49550:5&gt;, &lt;etma:1:1:49551:4&gt; ; </v>
      </c>
      <c r="AC458" s="8" t="str">
        <f t="shared" si="162"/>
        <v>dcterms:modified "2017-10-31T11:31";  .</v>
      </c>
      <c r="AD458" s="10" t="str">
        <f t="shared" si="155"/>
        <v>&lt;etma:1:1:52207:6&gt;  rdf:type skos:Concept ;     dcterms:source "https://www.mindat.org/min-52207.html" ;   skos:definition "A carbonaceous chondrite of the CK group that is either petrologic type 5 or type 6."@en ;    skos:inScheme &lt;https://mindat.org/etmat/cscheme&gt; ;    skos:prefLabel "CK5/6 chondrite meteorite"@en ; rdfs:label "CK5/6 chondrite meteorite"@en ;    skos:notation  "CK5/6"@en ;   dcterms:source "https://www.lpi.usra.edu/meteor/metbullclass.php?sea=CK5/6";  skos:broader &lt;etma:1:1:49550:5&gt;, &lt;etma:1:1:49551:4&gt; ;   dcterms:modified "2017-10-31T11:31";  .</v>
      </c>
      <c r="AE458" s="8" t="s">
        <v>2591</v>
      </c>
    </row>
    <row r="459" spans="1:31" x14ac:dyDescent="0.25">
      <c r="A459" s="8">
        <v>409</v>
      </c>
      <c r="B459" s="8" t="s">
        <v>2052</v>
      </c>
      <c r="C459" s="8">
        <v>52208</v>
      </c>
      <c r="D459" s="8" t="s">
        <v>2050</v>
      </c>
      <c r="E459" s="8" t="s">
        <v>2051</v>
      </c>
      <c r="F459" s="9">
        <v>7</v>
      </c>
      <c r="G459" s="9" t="s">
        <v>14</v>
      </c>
      <c r="H459" s="1" t="s">
        <v>2053</v>
      </c>
      <c r="I459" s="8" t="str">
        <f t="shared" si="152"/>
        <v>https://www.mindat.org/min-52208.html</v>
      </c>
      <c r="J459" s="8">
        <v>49813</v>
      </c>
      <c r="K459" s="8" t="s">
        <v>1333</v>
      </c>
      <c r="N459" s="9">
        <v>0</v>
      </c>
      <c r="O459" s="9" t="s">
        <v>2249</v>
      </c>
      <c r="R459" s="8" t="s">
        <v>2054</v>
      </c>
      <c r="S459" s="11">
        <v>43039.483298611114</v>
      </c>
      <c r="U459" s="8" t="str">
        <f t="shared" si="156"/>
        <v xml:space="preserve">&lt;etma:1:1:52208:5&gt;  rdf:type skos:Concept ;  </v>
      </c>
      <c r="V459" s="8" t="str">
        <f t="shared" si="157"/>
        <v xml:space="preserve"> dcterms:source "https://www.mindat.org/min-52208.html" ; </v>
      </c>
      <c r="W459" s="8" t="str">
        <f t="shared" si="158"/>
        <v xml:space="preserve">skos:definition "An enstatite chondrite of the EH group that is either petrologic type 4 or 5."@en ; </v>
      </c>
      <c r="X459" s="8" t="str">
        <f t="shared" si="165"/>
        <v xml:space="preserve"> skos:inScheme &lt;https://mindat.org/etmat/cscheme&gt; ;  </v>
      </c>
      <c r="Y459" s="8" t="str">
        <f t="shared" si="153"/>
        <v xml:space="preserve">skos:prefLabel "EH4/5 chondrite meteorite"@en ; rdfs:label "EH4/5 chondrite meteorite"@en ; </v>
      </c>
      <c r="Z459" s="8" t="str">
        <f t="shared" si="154"/>
        <v xml:space="preserve"> skos:notation  "EH4/5"@en ; </v>
      </c>
      <c r="AA459" s="8" t="str">
        <f t="shared" si="160"/>
        <v>dcterms:source "https://www.lpi.usra.edu/meteor/metbullclass.php?sea=EH4/5";</v>
      </c>
      <c r="AB459" s="8" t="str">
        <f t="shared" si="161"/>
        <v xml:space="preserve">skos:broader &lt;etma:1:1:49813:1&gt; ; </v>
      </c>
      <c r="AC459" s="8" t="str">
        <f t="shared" si="162"/>
        <v>dcterms:modified "2017-10-31T11:35";  .</v>
      </c>
      <c r="AD459" s="10" t="str">
        <f t="shared" si="155"/>
        <v>&lt;etma:1:1:52208:5&gt;  rdf:type skos:Concept ;     dcterms:source "https://www.mindat.org/min-52208.html" ;   skos:definition "An enstatite chondrite of the EH group that is either petrologic type 4 or 5."@en ;    skos:inScheme &lt;https://mindat.org/etmat/cscheme&gt; ;    skos:prefLabel "EH4/5 chondrite meteorite"@en ; rdfs:label "EH4/5 chondrite meteorite"@en ;    skos:notation  "EH4/5"@en ;   dcterms:source "https://www.lpi.usra.edu/meteor/metbullclass.php?sea=EH4/5";  skos:broader &lt;etma:1:1:49813:1&gt; ;   dcterms:modified "2017-10-31T11:35";  .</v>
      </c>
      <c r="AE459" s="8" t="s">
        <v>2591</v>
      </c>
    </row>
    <row r="460" spans="1:31" x14ac:dyDescent="0.25">
      <c r="A460" s="8">
        <v>410</v>
      </c>
      <c r="B460" s="8" t="s">
        <v>2057</v>
      </c>
      <c r="C460" s="8">
        <v>52209</v>
      </c>
      <c r="D460" s="8" t="s">
        <v>2055</v>
      </c>
      <c r="E460" s="8" t="s">
        <v>2056</v>
      </c>
      <c r="F460" s="9">
        <v>7</v>
      </c>
      <c r="G460" s="9" t="s">
        <v>14</v>
      </c>
      <c r="H460" s="1" t="s">
        <v>2058</v>
      </c>
      <c r="I460" s="8" t="str">
        <f t="shared" si="152"/>
        <v>https://www.mindat.org/min-52209.html</v>
      </c>
      <c r="J460" s="8">
        <v>49835</v>
      </c>
      <c r="K460" s="8" t="s">
        <v>1428</v>
      </c>
      <c r="L460" s="9">
        <v>49836</v>
      </c>
      <c r="M460" s="8" t="s">
        <v>1433</v>
      </c>
      <c r="N460" s="9">
        <v>0</v>
      </c>
      <c r="O460" s="9" t="s">
        <v>2249</v>
      </c>
      <c r="R460" s="8" t="s">
        <v>2059</v>
      </c>
      <c r="S460" s="11">
        <v>43039.580474537041</v>
      </c>
      <c r="U460" s="8" t="str">
        <f t="shared" si="156"/>
        <v xml:space="preserve">&lt;etma:1:1:52209:4&gt;  rdf:type skos:Concept ;  </v>
      </c>
      <c r="V460" s="8" t="str">
        <f t="shared" si="157"/>
        <v xml:space="preserve"> dcterms:source "https://www.mindat.org/min-52209.html" ; </v>
      </c>
      <c r="W460" s="8" t="str">
        <f t="shared" si="158"/>
        <v xml:space="preserve">skos:definition "An R chondrite that is a breccia of type 3 and type 4 components."@en ; </v>
      </c>
      <c r="X460" s="8" t="str">
        <f t="shared" si="165"/>
        <v xml:space="preserve"> skos:inScheme &lt;https://mindat.org/etmat/cscheme&gt; ;  </v>
      </c>
      <c r="Y460" s="8" t="str">
        <f t="shared" si="153"/>
        <v xml:space="preserve">skos:prefLabel "R3-4 chondrite meteorite"@en ; rdfs:label "R3-4 chondrite meteorite"@en ; </v>
      </c>
      <c r="Z460" s="8" t="str">
        <f t="shared" si="154"/>
        <v xml:space="preserve"> skos:notation  "R3-4"@en ; </v>
      </c>
      <c r="AA460" s="8" t="str">
        <f t="shared" si="160"/>
        <v>dcterms:source "https://www.lpi.usra.edu/meteor/metbullclass.php?sea=R3-4";</v>
      </c>
      <c r="AB460" s="8" t="str">
        <f t="shared" si="161"/>
        <v xml:space="preserve">skos:broader &lt;etma:1:1:49835:3&gt;, &lt;etma:1:1:49836:2&gt; ; </v>
      </c>
      <c r="AC460" s="8" t="str">
        <f t="shared" si="162"/>
        <v>dcterms:modified "2017-10-31T13:55";  .</v>
      </c>
      <c r="AD460" s="10" t="str">
        <f t="shared" si="155"/>
        <v>&lt;etma:1:1:52209:4&gt;  rdf:type skos:Concept ;     dcterms:source "https://www.mindat.org/min-52209.html" ;   skos:definition "An R chondrite that is a breccia of type 3 and type 4 components."@en ;    skos:inScheme &lt;https://mindat.org/etmat/cscheme&gt; ;    skos:prefLabel "R3-4 chondrite meteorite"@en ; rdfs:label "R3-4 chondrite meteorite"@en ;    skos:notation  "R3-4"@en ;   dcterms:source "https://www.lpi.usra.edu/meteor/metbullclass.php?sea=R3-4";  skos:broader &lt;etma:1:1:49835:3&gt;, &lt;etma:1:1:49836:2&gt; ;   dcterms:modified "2017-10-31T13:55";  .</v>
      </c>
      <c r="AE460" s="8" t="s">
        <v>2591</v>
      </c>
    </row>
    <row r="461" spans="1:31" x14ac:dyDescent="0.25">
      <c r="A461" s="8">
        <v>411</v>
      </c>
      <c r="B461" s="8" t="s">
        <v>2062</v>
      </c>
      <c r="C461" s="8">
        <v>52210</v>
      </c>
      <c r="D461" s="8" t="s">
        <v>2060</v>
      </c>
      <c r="E461" s="8" t="s">
        <v>2061</v>
      </c>
      <c r="F461" s="9">
        <v>7</v>
      </c>
      <c r="G461" s="9" t="s">
        <v>14</v>
      </c>
      <c r="H461" s="1" t="s">
        <v>2063</v>
      </c>
      <c r="I461" s="8" t="str">
        <f t="shared" si="152"/>
        <v>https://www.mindat.org/min-52210.html</v>
      </c>
      <c r="J461" s="8">
        <v>49835</v>
      </c>
      <c r="K461" s="8" t="s">
        <v>1428</v>
      </c>
      <c r="L461" s="9">
        <v>49837</v>
      </c>
      <c r="M461" s="8" t="s">
        <v>1438</v>
      </c>
      <c r="N461" s="9">
        <v>0</v>
      </c>
      <c r="O461" s="9" t="s">
        <v>2249</v>
      </c>
      <c r="R461" s="8" t="s">
        <v>2064</v>
      </c>
      <c r="S461" s="11">
        <v>43039.580034722225</v>
      </c>
      <c r="U461" s="8" t="str">
        <f t="shared" si="156"/>
        <v xml:space="preserve">&lt;etma:1:1:52210:0&gt;  rdf:type skos:Concept ;  </v>
      </c>
      <c r="V461" s="8" t="str">
        <f t="shared" si="157"/>
        <v xml:space="preserve"> dcterms:source "https://www.mindat.org/min-52210.html" ; </v>
      </c>
      <c r="W461" s="8" t="str">
        <f t="shared" si="158"/>
        <v xml:space="preserve">skos:definition "An R chondrite that is a breccia of type 3 to type 5 components."@en ; </v>
      </c>
      <c r="X461" s="8" t="str">
        <f t="shared" si="165"/>
        <v xml:space="preserve"> skos:inScheme &lt;https://mindat.org/etmat/cscheme&gt; ;  </v>
      </c>
      <c r="Y461" s="8" t="str">
        <f t="shared" si="153"/>
        <v xml:space="preserve">skos:prefLabel "R3-5 chondrite meteorite"@en ; rdfs:label "R3-5 chondrite meteorite"@en ; </v>
      </c>
      <c r="Z461" s="8" t="str">
        <f t="shared" si="154"/>
        <v xml:space="preserve"> skos:notation  "R3-5"@en ; </v>
      </c>
      <c r="AA461" s="8" t="str">
        <f t="shared" si="160"/>
        <v>dcterms:source "https://www.lpi.usra.edu/meteor/metbullclass.php?sea=R3-5";</v>
      </c>
      <c r="AB461" s="8" t="str">
        <f t="shared" si="161"/>
        <v xml:space="preserve">skos:broader &lt;etma:1:1:49835:3&gt;, &lt;etma:1:1:49837:1&gt; ; </v>
      </c>
      <c r="AC461" s="8" t="str">
        <f t="shared" si="162"/>
        <v>dcterms:modified "2017-10-31T13:55";  .</v>
      </c>
      <c r="AD461" s="10" t="str">
        <f t="shared" si="155"/>
        <v>&lt;etma:1:1:52210:0&gt;  rdf:type skos:Concept ;     dcterms:source "https://www.mindat.org/min-52210.html" ;   skos:definition "An R chondrite that is a breccia of type 3 to type 5 components."@en ;    skos:inScheme &lt;https://mindat.org/etmat/cscheme&gt; ;    skos:prefLabel "R3-5 chondrite meteorite"@en ; rdfs:label "R3-5 chondrite meteorite"@en ;    skos:notation  "R3-5"@en ;   dcterms:source "https://www.lpi.usra.edu/meteor/metbullclass.php?sea=R3-5";  skos:broader &lt;etma:1:1:49835:3&gt;, &lt;etma:1:1:49837:1&gt; ;   dcterms:modified "2017-10-31T13:55";  .</v>
      </c>
      <c r="AE461" s="8" t="s">
        <v>2591</v>
      </c>
    </row>
    <row r="462" spans="1:31" x14ac:dyDescent="0.25">
      <c r="A462" s="8">
        <v>412</v>
      </c>
      <c r="B462" s="8" t="s">
        <v>2067</v>
      </c>
      <c r="C462" s="8">
        <v>52211</v>
      </c>
      <c r="D462" s="8" t="s">
        <v>2065</v>
      </c>
      <c r="E462" s="8" t="s">
        <v>2066</v>
      </c>
      <c r="F462" s="9">
        <v>7</v>
      </c>
      <c r="G462" s="9" t="s">
        <v>14</v>
      </c>
      <c r="H462" s="1" t="s">
        <v>2068</v>
      </c>
      <c r="I462" s="8" t="str">
        <f t="shared" si="152"/>
        <v>https://www.mindat.org/min-52211.html</v>
      </c>
      <c r="J462" s="8">
        <v>49835</v>
      </c>
      <c r="K462" s="8" t="s">
        <v>1428</v>
      </c>
      <c r="L462" s="9">
        <v>49838</v>
      </c>
      <c r="M462" s="8" t="s">
        <v>1443</v>
      </c>
      <c r="N462" s="9">
        <v>0</v>
      </c>
      <c r="O462" s="9" t="s">
        <v>2249</v>
      </c>
      <c r="R462" s="8" t="s">
        <v>2069</v>
      </c>
      <c r="S462" s="11">
        <v>43039.581087962964</v>
      </c>
      <c r="U462" s="8" t="str">
        <f t="shared" si="156"/>
        <v xml:space="preserve">&lt;etma:1:1:52211:9&gt;  rdf:type skos:Concept ;  </v>
      </c>
      <c r="V462" s="8" t="str">
        <f t="shared" si="157"/>
        <v xml:space="preserve"> dcterms:source "https://www.mindat.org/min-52211.html" ; </v>
      </c>
      <c r="W462" s="8" t="str">
        <f t="shared" si="158"/>
        <v xml:space="preserve">skos:definition "An R chondrite that is a breccia of type 3 to type 6 components."@en ; </v>
      </c>
      <c r="X462" s="8" t="str">
        <f t="shared" si="165"/>
        <v xml:space="preserve"> skos:inScheme &lt;https://mindat.org/etmat/cscheme&gt; ;  </v>
      </c>
      <c r="Y462" s="8" t="str">
        <f t="shared" si="153"/>
        <v xml:space="preserve">skos:prefLabel "R3-6 chondrite meteorite"@en ; rdfs:label "R3-6 chondrite meteorite"@en ; </v>
      </c>
      <c r="Z462" s="8" t="str">
        <f t="shared" si="154"/>
        <v xml:space="preserve"> skos:notation  "R3-6"@en ; </v>
      </c>
      <c r="AA462" s="8" t="str">
        <f t="shared" si="160"/>
        <v>dcterms:source "https://www.lpi.usra.edu/meteor/metbullclass.php?sea=R3-6";</v>
      </c>
      <c r="AB462" s="8" t="str">
        <f t="shared" si="161"/>
        <v xml:space="preserve">skos:broader &lt;etma:1:1:49835:3&gt;, &lt;etma:1:1:49838:0&gt; ; </v>
      </c>
      <c r="AC462" s="8" t="str">
        <f t="shared" si="162"/>
        <v>dcterms:modified "2017-10-31T13:56";  .</v>
      </c>
      <c r="AD462" s="10" t="str">
        <f t="shared" si="155"/>
        <v>&lt;etma:1:1:52211:9&gt;  rdf:type skos:Concept ;     dcterms:source "https://www.mindat.org/min-52211.html" ;   skos:definition "An R chondrite that is a breccia of type 3 to type 6 components."@en ;    skos:inScheme &lt;https://mindat.org/etmat/cscheme&gt; ;    skos:prefLabel "R3-6 chondrite meteorite"@en ; rdfs:label "R3-6 chondrite meteorite"@en ;    skos:notation  "R3-6"@en ;   dcterms:source "https://www.lpi.usra.edu/meteor/metbullclass.php?sea=R3-6";  skos:broader &lt;etma:1:1:49835:3&gt;, &lt;etma:1:1:49838:0&gt; ;   dcterms:modified "2017-10-31T13:56";  .</v>
      </c>
      <c r="AE462" s="8" t="s">
        <v>2591</v>
      </c>
    </row>
    <row r="463" spans="1:31" x14ac:dyDescent="0.25">
      <c r="A463" s="8">
        <v>413</v>
      </c>
      <c r="B463" s="8" t="s">
        <v>2072</v>
      </c>
      <c r="C463" s="8">
        <v>52212</v>
      </c>
      <c r="D463" s="8" t="s">
        <v>2070</v>
      </c>
      <c r="E463" s="8" t="s">
        <v>2071</v>
      </c>
      <c r="F463" s="9">
        <v>7</v>
      </c>
      <c r="G463" s="9" t="s">
        <v>14</v>
      </c>
      <c r="H463" s="1" t="s">
        <v>2073</v>
      </c>
      <c r="I463" s="8" t="str">
        <f t="shared" si="152"/>
        <v>https://www.mindat.org/min-52212.html</v>
      </c>
      <c r="J463" s="8">
        <v>49835</v>
      </c>
      <c r="K463" s="8" t="s">
        <v>1428</v>
      </c>
      <c r="N463" s="9">
        <v>0</v>
      </c>
      <c r="O463" s="9" t="s">
        <v>2249</v>
      </c>
      <c r="R463" s="8" t="s">
        <v>2074</v>
      </c>
      <c r="S463" s="11">
        <v>43039.582060185188</v>
      </c>
      <c r="U463" s="8" t="str">
        <f t="shared" si="156"/>
        <v xml:space="preserve">&lt;etma:1:1:52212:8&gt;  rdf:type skos:Concept ;  </v>
      </c>
      <c r="V463" s="8" t="str">
        <f t="shared" si="157"/>
        <v xml:space="preserve"> dcterms:source "https://www.mindat.org/min-52212.html" ; </v>
      </c>
      <c r="W463" s="8" t="str">
        <f t="shared" si="158"/>
        <v xml:space="preserve">skos:definition "An R chondrite that is petrologic type 3.4"@en ; </v>
      </c>
      <c r="X463" s="8" t="str">
        <f t="shared" si="165"/>
        <v xml:space="preserve"> skos:inScheme &lt;https://mindat.org/etmat/cscheme&gt; ;  </v>
      </c>
      <c r="Y463" s="8" t="str">
        <f t="shared" si="153"/>
        <v xml:space="preserve">skos:prefLabel "R3.4 chondrite meteorite"@en ; rdfs:label "R3.4 chondrite meteorite"@en ; </v>
      </c>
      <c r="Z463" s="8" t="str">
        <f t="shared" si="154"/>
        <v xml:space="preserve"> skos:notation  "R3.4"@en ; </v>
      </c>
      <c r="AA463" s="8" t="str">
        <f t="shared" si="160"/>
        <v>dcterms:source "https://www.lpi.usra.edu/meteor/metbullclass.php?sea=R3.4";</v>
      </c>
      <c r="AB463" s="8" t="str">
        <f t="shared" si="161"/>
        <v xml:space="preserve">skos:broader &lt;etma:1:1:49835:3&gt; ; </v>
      </c>
      <c r="AC463" s="8" t="str">
        <f t="shared" si="162"/>
        <v>dcterms:modified "2017-10-31T13:58";  .</v>
      </c>
      <c r="AD463" s="10" t="str">
        <f t="shared" si="155"/>
        <v>&lt;etma:1:1:52212:8&gt;  rdf:type skos:Concept ;     dcterms:source "https://www.mindat.org/min-52212.html" ;   skos:definition "An R chondrite that is petrologic type 3.4"@en ;    skos:inScheme &lt;https://mindat.org/etmat/cscheme&gt; ;    skos:prefLabel "R3.4 chondrite meteorite"@en ; rdfs:label "R3.4 chondrite meteorite"@en ;    skos:notation  "R3.4"@en ;   dcterms:source "https://www.lpi.usra.edu/meteor/metbullclass.php?sea=R3.4";  skos:broader &lt;etma:1:1:49835:3&gt; ;   dcterms:modified "2017-10-31T13:58";  .</v>
      </c>
      <c r="AE463" s="8" t="s">
        <v>2591</v>
      </c>
    </row>
    <row r="464" spans="1:31" x14ac:dyDescent="0.25">
      <c r="A464" s="8">
        <v>414</v>
      </c>
      <c r="B464" s="8" t="s">
        <v>2077</v>
      </c>
      <c r="C464" s="8">
        <v>52213</v>
      </c>
      <c r="D464" s="8" t="s">
        <v>2075</v>
      </c>
      <c r="E464" s="8" t="s">
        <v>2076</v>
      </c>
      <c r="F464" s="9">
        <v>7</v>
      </c>
      <c r="G464" s="9" t="s">
        <v>14</v>
      </c>
      <c r="H464" s="1" t="s">
        <v>2078</v>
      </c>
      <c r="I464" s="8" t="str">
        <f t="shared" si="152"/>
        <v>https://www.mindat.org/min-52213.html</v>
      </c>
      <c r="J464" s="8">
        <v>52209</v>
      </c>
      <c r="K464" s="8" t="s">
        <v>2055</v>
      </c>
      <c r="N464" s="9">
        <v>0</v>
      </c>
      <c r="O464" s="9" t="s">
        <v>2249</v>
      </c>
      <c r="R464" s="8" t="s">
        <v>2079</v>
      </c>
      <c r="S464" s="11">
        <v>43039.583043981482</v>
      </c>
      <c r="U464" s="8" t="str">
        <f t="shared" si="156"/>
        <v xml:space="preserve">&lt;etma:1:1:52213:7&gt;  rdf:type skos:Concept ;  </v>
      </c>
      <c r="V464" s="8" t="str">
        <f t="shared" si="157"/>
        <v xml:space="preserve"> dcterms:source "https://www.mindat.org/min-52213.html" ; </v>
      </c>
      <c r="W464" s="8" t="str">
        <f t="shared" si="158"/>
        <v xml:space="preserve">skos:definition "An R chondrite that is a breccia of type 3.5 to type 4 components."@en ; </v>
      </c>
      <c r="X464" s="8" t="str">
        <f t="shared" si="165"/>
        <v xml:space="preserve"> skos:inScheme &lt;https://mindat.org/etmat/cscheme&gt; ;  </v>
      </c>
      <c r="Y464" s="8" t="str">
        <f t="shared" si="153"/>
        <v xml:space="preserve">skos:prefLabel "R3.5-4 chondrite meteorite"@en ; rdfs:label "R3.5-4 chondrite meteorite"@en ; </v>
      </c>
      <c r="Z464" s="8" t="str">
        <f t="shared" si="154"/>
        <v xml:space="preserve"> skos:notation  "R3.5-4"@en ; </v>
      </c>
      <c r="AA464" s="8" t="str">
        <f t="shared" si="160"/>
        <v>dcterms:source "https://www.lpi.usra.edu/meteor/metbullclass.php?sea=R3.5-4";</v>
      </c>
      <c r="AB464" s="8" t="str">
        <f t="shared" si="161"/>
        <v xml:space="preserve">skos:broader &lt;etma:1:1:52209:4&gt; ; </v>
      </c>
      <c r="AC464" s="8" t="str">
        <f t="shared" si="162"/>
        <v>dcterms:modified "2017-10-31T13:59";  .</v>
      </c>
      <c r="AD464" s="10" t="str">
        <f t="shared" si="155"/>
        <v>&lt;etma:1:1:52213:7&gt;  rdf:type skos:Concept ;     dcterms:source "https://www.mindat.org/min-52213.html" ;   skos:definition "An R chondrite that is a breccia of type 3.5 to type 4 components."@en ;    skos:inScheme &lt;https://mindat.org/etmat/cscheme&gt; ;    skos:prefLabel "R3.5-4 chondrite meteorite"@en ; rdfs:label "R3.5-4 chondrite meteorite"@en ;    skos:notation  "R3.5-4"@en ;   dcterms:source "https://www.lpi.usra.edu/meteor/metbullclass.php?sea=R3.5-4";  skos:broader &lt;etma:1:1:52209:4&gt; ;   dcterms:modified "2017-10-31T13:59";  .</v>
      </c>
      <c r="AE464" s="8" t="s">
        <v>2591</v>
      </c>
    </row>
    <row r="465" spans="1:31" x14ac:dyDescent="0.25">
      <c r="A465" s="8">
        <v>415</v>
      </c>
      <c r="B465" s="8" t="s">
        <v>2082</v>
      </c>
      <c r="C465" s="8">
        <v>52214</v>
      </c>
      <c r="D465" s="8" t="s">
        <v>2080</v>
      </c>
      <c r="E465" s="8" t="s">
        <v>2081</v>
      </c>
      <c r="F465" s="9">
        <v>7</v>
      </c>
      <c r="G465" s="9" t="s">
        <v>14</v>
      </c>
      <c r="H465" s="1" t="s">
        <v>2083</v>
      </c>
      <c r="I465" s="8" t="str">
        <f t="shared" si="152"/>
        <v>https://www.mindat.org/min-52214.html</v>
      </c>
      <c r="J465" s="8">
        <v>52211</v>
      </c>
      <c r="K465" s="8" t="s">
        <v>2065</v>
      </c>
      <c r="N465" s="9">
        <v>0</v>
      </c>
      <c r="O465" s="9" t="s">
        <v>2249</v>
      </c>
      <c r="R465" s="8" t="s">
        <v>2084</v>
      </c>
      <c r="S465" s="11">
        <v>43039.584155092591</v>
      </c>
      <c r="U465" s="8" t="str">
        <f t="shared" si="156"/>
        <v xml:space="preserve">&lt;etma:1:1:52214:6&gt;  rdf:type skos:Concept ;  </v>
      </c>
      <c r="V465" s="8" t="str">
        <f t="shared" si="157"/>
        <v xml:space="preserve"> dcterms:source "https://www.mindat.org/min-52214.html" ; </v>
      </c>
      <c r="W465" s="8" t="str">
        <f t="shared" si="158"/>
        <v xml:space="preserve">skos:definition "An R chondrite that is a breccia of components ranging from petrologic type 3.5 to type 6."@en ; </v>
      </c>
      <c r="X465" s="8" t="str">
        <f t="shared" si="165"/>
        <v xml:space="preserve"> skos:inScheme &lt;https://mindat.org/etmat/cscheme&gt; ;  </v>
      </c>
      <c r="Y465" s="8" t="str">
        <f t="shared" si="153"/>
        <v xml:space="preserve">skos:prefLabel "R3.5-6 chondrite meteorite"@en ; rdfs:label "R3.5-6 chondrite meteorite"@en ; </v>
      </c>
      <c r="Z465" s="8" t="str">
        <f t="shared" si="154"/>
        <v xml:space="preserve"> skos:notation  "R3.5-6"@en ; </v>
      </c>
      <c r="AA465" s="8" t="str">
        <f t="shared" si="160"/>
        <v>dcterms:source "https://www.lpi.usra.edu/meteor/metbullclass.php?sea=R3.5-6";</v>
      </c>
      <c r="AB465" s="8" t="str">
        <f t="shared" si="161"/>
        <v xml:space="preserve">skos:broader &lt;etma:1:1:52211:9&gt; ; </v>
      </c>
      <c r="AC465" s="8" t="str">
        <f t="shared" si="162"/>
        <v>dcterms:modified "2017-10-31T14:01";  .</v>
      </c>
      <c r="AD465" s="10" t="str">
        <f t="shared" si="155"/>
        <v>&lt;etma:1:1:52214:6&gt;  rdf:type skos:Concept ;     dcterms:source "https://www.mindat.org/min-52214.html" ;   skos:definition "An R chondrite that is a breccia of components ranging from petrologic type 3.5 to type 6."@en ;    skos:inScheme &lt;https://mindat.org/etmat/cscheme&gt; ;    skos:prefLabel "R3.5-6 chondrite meteorite"@en ; rdfs:label "R3.5-6 chondrite meteorite"@en ;    skos:notation  "R3.5-6"@en ;   dcterms:source "https://www.lpi.usra.edu/meteor/metbullclass.php?sea=R3.5-6";  skos:broader &lt;etma:1:1:52211:9&gt; ;   dcterms:modified "2017-10-31T14:01";  .</v>
      </c>
      <c r="AE465" s="8" t="s">
        <v>2591</v>
      </c>
    </row>
    <row r="466" spans="1:31" x14ac:dyDescent="0.25">
      <c r="A466" s="8">
        <v>416</v>
      </c>
      <c r="B466" s="8" t="s">
        <v>2087</v>
      </c>
      <c r="C466" s="8">
        <v>52215</v>
      </c>
      <c r="D466" s="8" t="s">
        <v>2085</v>
      </c>
      <c r="E466" s="8" t="s">
        <v>2086</v>
      </c>
      <c r="F466" s="9">
        <v>7</v>
      </c>
      <c r="G466" s="9" t="s">
        <v>14</v>
      </c>
      <c r="H466" s="1" t="s">
        <v>2088</v>
      </c>
      <c r="I466" s="8" t="str">
        <f t="shared" si="152"/>
        <v>https://www.mindat.org/min-52215.html</v>
      </c>
      <c r="J466" s="8">
        <v>49835</v>
      </c>
      <c r="K466" s="8" t="s">
        <v>1428</v>
      </c>
      <c r="N466" s="9">
        <v>0</v>
      </c>
      <c r="O466" s="9" t="s">
        <v>2249</v>
      </c>
      <c r="R466" s="8" t="s">
        <v>2089</v>
      </c>
      <c r="S466" s="11">
        <v>43039.584733796299</v>
      </c>
      <c r="U466" s="8" t="str">
        <f t="shared" si="156"/>
        <v xml:space="preserve">&lt;etma:1:1:52215:5&gt;  rdf:type skos:Concept ;  </v>
      </c>
      <c r="V466" s="8" t="str">
        <f t="shared" si="157"/>
        <v xml:space="preserve"> dcterms:source "https://www.mindat.org/min-52215.html" ; </v>
      </c>
      <c r="W466" s="8" t="str">
        <f t="shared" si="158"/>
        <v xml:space="preserve">skos:definition "An R chondrite that is petrologic type 3.6"@en ; </v>
      </c>
      <c r="X466" s="8" t="str">
        <f t="shared" si="165"/>
        <v xml:space="preserve"> skos:inScheme &lt;https://mindat.org/etmat/cscheme&gt; ;  </v>
      </c>
      <c r="Y466" s="8" t="str">
        <f t="shared" si="153"/>
        <v xml:space="preserve">skos:prefLabel "R3.6 chondrite meteorite"@en ; rdfs:label "R3.6 chondrite meteorite"@en ; </v>
      </c>
      <c r="Z466" s="8" t="str">
        <f t="shared" si="154"/>
        <v xml:space="preserve"> skos:notation  "R3.6"@en ; </v>
      </c>
      <c r="AA466" s="8" t="str">
        <f t="shared" si="160"/>
        <v>dcterms:source "https://www.lpi.usra.edu/meteor/metbullclass.php?sea=R3.6";</v>
      </c>
      <c r="AB466" s="8" t="str">
        <f t="shared" si="161"/>
        <v xml:space="preserve">skos:broader &lt;etma:1:1:49835:3&gt; ; </v>
      </c>
      <c r="AC466" s="8" t="str">
        <f t="shared" si="162"/>
        <v>dcterms:modified "2017-10-31T14:02";  .</v>
      </c>
      <c r="AD466" s="10" t="str">
        <f t="shared" si="155"/>
        <v>&lt;etma:1:1:52215:5&gt;  rdf:type skos:Concept ;     dcterms:source "https://www.mindat.org/min-52215.html" ;   skos:definition "An R chondrite that is petrologic type 3.6"@en ;    skos:inScheme &lt;https://mindat.org/etmat/cscheme&gt; ;    skos:prefLabel "R3.6 chondrite meteorite"@en ; rdfs:label "R3.6 chondrite meteorite"@en ;    skos:notation  "R3.6"@en ;   dcterms:source "https://www.lpi.usra.edu/meteor/metbullclass.php?sea=R3.6";  skos:broader &lt;etma:1:1:49835:3&gt; ;   dcterms:modified "2017-10-31T14:02";  .</v>
      </c>
      <c r="AE466" s="8" t="s">
        <v>2591</v>
      </c>
    </row>
    <row r="467" spans="1:31" x14ac:dyDescent="0.25">
      <c r="A467" s="8">
        <v>417</v>
      </c>
      <c r="B467" s="8" t="s">
        <v>2092</v>
      </c>
      <c r="C467" s="8">
        <v>52216</v>
      </c>
      <c r="D467" s="8" t="s">
        <v>2090</v>
      </c>
      <c r="E467" s="8" t="s">
        <v>2091</v>
      </c>
      <c r="F467" s="9">
        <v>7</v>
      </c>
      <c r="G467" s="9" t="s">
        <v>14</v>
      </c>
      <c r="H467" s="1" t="s">
        <v>2093</v>
      </c>
      <c r="I467" s="8" t="str">
        <f t="shared" si="152"/>
        <v>https://www.mindat.org/min-52216.html</v>
      </c>
      <c r="J467" s="8">
        <v>49835</v>
      </c>
      <c r="K467" s="8" t="s">
        <v>1428</v>
      </c>
      <c r="N467" s="9">
        <v>0</v>
      </c>
      <c r="O467" s="9" t="s">
        <v>2249</v>
      </c>
      <c r="R467" s="8" t="s">
        <v>2094</v>
      </c>
      <c r="S467" s="11">
        <v>43039.585324074076</v>
      </c>
      <c r="U467" s="8" t="str">
        <f t="shared" si="156"/>
        <v xml:space="preserve">&lt;etma:1:1:52216:4&gt;  rdf:type skos:Concept ;  </v>
      </c>
      <c r="V467" s="8" t="str">
        <f t="shared" si="157"/>
        <v xml:space="preserve"> dcterms:source "https://www.mindat.org/min-52216.html" ; </v>
      </c>
      <c r="W467" s="8" t="str">
        <f t="shared" si="158"/>
        <v xml:space="preserve">skos:definition "An R chondrite that is petrologic type 3.7"@en ; </v>
      </c>
      <c r="X467" s="8" t="str">
        <f t="shared" si="165"/>
        <v xml:space="preserve"> skos:inScheme &lt;https://mindat.org/etmat/cscheme&gt; ;  </v>
      </c>
      <c r="Y467" s="8" t="str">
        <f t="shared" si="153"/>
        <v xml:space="preserve">skos:prefLabel "R3.7 chondrite meteorite"@en ; rdfs:label "R3.7 chondrite meteorite"@en ; </v>
      </c>
      <c r="Z467" s="8" t="str">
        <f t="shared" si="154"/>
        <v xml:space="preserve"> skos:notation  "R3.7"@en ; </v>
      </c>
      <c r="AA467" s="8" t="str">
        <f t="shared" si="160"/>
        <v>dcterms:source "https://www.lpi.usra.edu/meteor/metbullclass.php?sea=R3.7";</v>
      </c>
      <c r="AB467" s="8" t="str">
        <f t="shared" si="161"/>
        <v xml:space="preserve">skos:broader &lt;etma:1:1:49835:3&gt; ; </v>
      </c>
      <c r="AC467" s="8" t="str">
        <f t="shared" si="162"/>
        <v>dcterms:modified "2017-10-31T14:02";  .</v>
      </c>
      <c r="AD467" s="10" t="str">
        <f t="shared" si="155"/>
        <v>&lt;etma:1:1:52216:4&gt;  rdf:type skos:Concept ;     dcterms:source "https://www.mindat.org/min-52216.html" ;   skos:definition "An R chondrite that is petrologic type 3.7"@en ;    skos:inScheme &lt;https://mindat.org/etmat/cscheme&gt; ;    skos:prefLabel "R3.7 chondrite meteorite"@en ; rdfs:label "R3.7 chondrite meteorite"@en ;    skos:notation  "R3.7"@en ;   dcterms:source "https://www.lpi.usra.edu/meteor/metbullclass.php?sea=R3.7";  skos:broader &lt;etma:1:1:49835:3&gt; ;   dcterms:modified "2017-10-31T14:02";  .</v>
      </c>
      <c r="AE467" s="8" t="s">
        <v>2591</v>
      </c>
    </row>
    <row r="468" spans="1:31" x14ac:dyDescent="0.25">
      <c r="A468" s="8">
        <v>418</v>
      </c>
      <c r="B468" s="8" t="s">
        <v>2097</v>
      </c>
      <c r="C468" s="8">
        <v>52217</v>
      </c>
      <c r="D468" s="8" t="s">
        <v>2095</v>
      </c>
      <c r="E468" s="8" t="s">
        <v>2096</v>
      </c>
      <c r="F468" s="9">
        <v>7</v>
      </c>
      <c r="G468" s="9" t="s">
        <v>14</v>
      </c>
      <c r="H468" s="1" t="s">
        <v>2098</v>
      </c>
      <c r="I468" s="8" t="str">
        <f t="shared" si="152"/>
        <v>https://www.mindat.org/min-52217.html</v>
      </c>
      <c r="J468" s="8">
        <v>49835</v>
      </c>
      <c r="K468" s="8" t="s">
        <v>1428</v>
      </c>
      <c r="N468" s="9">
        <v>0</v>
      </c>
      <c r="O468" s="9" t="s">
        <v>2249</v>
      </c>
      <c r="R468" s="8" t="s">
        <v>2099</v>
      </c>
      <c r="S468" s="11">
        <v>43039.586909722224</v>
      </c>
      <c r="U468" s="8" t="str">
        <f t="shared" si="156"/>
        <v xml:space="preserve">&lt;etma:1:1:52217:3&gt;  rdf:type skos:Concept ;  </v>
      </c>
      <c r="V468" s="8" t="str">
        <f t="shared" si="157"/>
        <v xml:space="preserve"> dcterms:source "https://www.mindat.org/min-52217.html" ; </v>
      </c>
      <c r="W468" s="8" t="str">
        <f t="shared" si="158"/>
        <v xml:space="preserve">skos:definition "An R chondrite that is petrologic type 3.8"@en ; </v>
      </c>
      <c r="X468" s="8" t="str">
        <f t="shared" si="165"/>
        <v xml:space="preserve"> skos:inScheme &lt;https://mindat.org/etmat/cscheme&gt; ;  </v>
      </c>
      <c r="Y468" s="8" t="str">
        <f t="shared" si="153"/>
        <v xml:space="preserve">skos:prefLabel "R3.8 chondrite meteorite"@en ; rdfs:label "R3.8 chondrite meteorite"@en ; </v>
      </c>
      <c r="Z468" s="8" t="str">
        <f t="shared" si="154"/>
        <v xml:space="preserve"> skos:notation  "R3.8"@en ; </v>
      </c>
      <c r="AA468" s="8" t="str">
        <f t="shared" si="160"/>
        <v>dcterms:source "https://www.lpi.usra.edu/meteor/metbullclass.php?sea=R3.8";</v>
      </c>
      <c r="AB468" s="8" t="str">
        <f t="shared" si="161"/>
        <v xml:space="preserve">skos:broader &lt;etma:1:1:49835:3&gt; ; </v>
      </c>
      <c r="AC468" s="8" t="str">
        <f t="shared" si="162"/>
        <v>dcterms:modified "2017-10-31T14:05";  .</v>
      </c>
      <c r="AD468" s="10" t="str">
        <f t="shared" si="155"/>
        <v>&lt;etma:1:1:52217:3&gt;  rdf:type skos:Concept ;     dcterms:source "https://www.mindat.org/min-52217.html" ;   skos:definition "An R chondrite that is petrologic type 3.8"@en ;    skos:inScheme &lt;https://mindat.org/etmat/cscheme&gt; ;    skos:prefLabel "R3.8 chondrite meteorite"@en ; rdfs:label "R3.8 chondrite meteorite"@en ;    skos:notation  "R3.8"@en ;   dcterms:source "https://www.lpi.usra.edu/meteor/metbullclass.php?sea=R3.8";  skos:broader &lt;etma:1:1:49835:3&gt; ;   dcterms:modified "2017-10-31T14:05";  .</v>
      </c>
      <c r="AE468" s="8" t="s">
        <v>2591</v>
      </c>
    </row>
    <row r="469" spans="1:31" x14ac:dyDescent="0.25">
      <c r="A469" s="8">
        <v>419</v>
      </c>
      <c r="B469" s="8" t="s">
        <v>2102</v>
      </c>
      <c r="C469" s="8">
        <v>52218</v>
      </c>
      <c r="D469" s="8" t="s">
        <v>2100</v>
      </c>
      <c r="E469" s="8" t="s">
        <v>2101</v>
      </c>
      <c r="F469" s="9">
        <v>7</v>
      </c>
      <c r="G469" s="9" t="s">
        <v>14</v>
      </c>
      <c r="H469" s="1" t="s">
        <v>2103</v>
      </c>
      <c r="I469" s="8" t="str">
        <f t="shared" si="152"/>
        <v>https://www.mindat.org/min-52218.html</v>
      </c>
      <c r="J469" s="8">
        <v>52210</v>
      </c>
      <c r="K469" s="8" t="s">
        <v>2060</v>
      </c>
      <c r="N469" s="9">
        <v>0</v>
      </c>
      <c r="O469" s="9" t="s">
        <v>2249</v>
      </c>
      <c r="R469" s="8" t="s">
        <v>2104</v>
      </c>
      <c r="S469" s="11">
        <v>43039.586712962962</v>
      </c>
      <c r="U469" s="8" t="str">
        <f t="shared" si="156"/>
        <v xml:space="preserve">&lt;etma:1:1:52218:2&gt;  rdf:type skos:Concept ;  </v>
      </c>
      <c r="V469" s="8" t="str">
        <f t="shared" si="157"/>
        <v xml:space="preserve"> dcterms:source "https://www.mindat.org/min-52218.html" ; </v>
      </c>
      <c r="W469" s="8" t="str">
        <f t="shared" si="158"/>
        <v xml:space="preserve">skos:definition "An R chondrite that is a breccia of components ranging from petrologic type 3.8 to type 5."@en ; </v>
      </c>
      <c r="X469" s="8" t="str">
        <f t="shared" si="165"/>
        <v xml:space="preserve"> skos:inScheme &lt;https://mindat.org/etmat/cscheme&gt; ;  </v>
      </c>
      <c r="Y469" s="8" t="str">
        <f t="shared" si="153"/>
        <v xml:space="preserve">skos:prefLabel "R3.8-5 chondrite meteorite"@en ; rdfs:label "R3.8-5 chondrite meteorite"@en ; </v>
      </c>
      <c r="Z469" s="8" t="str">
        <f t="shared" si="154"/>
        <v xml:space="preserve"> skos:notation  "R3.8-5"@en ; </v>
      </c>
      <c r="AA469" s="8" t="str">
        <f t="shared" si="160"/>
        <v>dcterms:source "https://www.lpi.usra.edu/meteor/metbullclass.php?sea=R3.8-5";</v>
      </c>
      <c r="AB469" s="8" t="str">
        <f t="shared" si="161"/>
        <v xml:space="preserve">skos:broader &lt;etma:1:1:52210:0&gt; ; </v>
      </c>
      <c r="AC469" s="8" t="str">
        <f t="shared" si="162"/>
        <v>dcterms:modified "2017-10-31T14:04";  .</v>
      </c>
      <c r="AD469" s="10" t="str">
        <f t="shared" si="155"/>
        <v>&lt;etma:1:1:52218:2&gt;  rdf:type skos:Concept ;     dcterms:source "https://www.mindat.org/min-52218.html" ;   skos:definition "An R chondrite that is a breccia of components ranging from petrologic type 3.8 to type 5."@en ;    skos:inScheme &lt;https://mindat.org/etmat/cscheme&gt; ;    skos:prefLabel "R3.8-5 chondrite meteorite"@en ; rdfs:label "R3.8-5 chondrite meteorite"@en ;    skos:notation  "R3.8-5"@en ;   dcterms:source "https://www.lpi.usra.edu/meteor/metbullclass.php?sea=R3.8-5";  skos:broader &lt;etma:1:1:52210:0&gt; ;   dcterms:modified "2017-10-31T14:04";  .</v>
      </c>
      <c r="AE469" s="8" t="s">
        <v>2591</v>
      </c>
    </row>
    <row r="470" spans="1:31" x14ac:dyDescent="0.25">
      <c r="A470" s="8">
        <v>420</v>
      </c>
      <c r="B470" s="8" t="s">
        <v>2107</v>
      </c>
      <c r="C470" s="8">
        <v>52219</v>
      </c>
      <c r="D470" s="8" t="s">
        <v>2105</v>
      </c>
      <c r="E470" s="8" t="s">
        <v>2106</v>
      </c>
      <c r="F470" s="9">
        <v>7</v>
      </c>
      <c r="G470" s="9" t="s">
        <v>14</v>
      </c>
      <c r="H470" s="1" t="s">
        <v>2108</v>
      </c>
      <c r="I470" s="8" t="str">
        <f t="shared" si="152"/>
        <v>https://www.mindat.org/min-52219.html</v>
      </c>
      <c r="J470" s="8">
        <v>52211</v>
      </c>
      <c r="K470" s="8" t="s">
        <v>2065</v>
      </c>
      <c r="N470" s="9">
        <v>0</v>
      </c>
      <c r="O470" s="9" t="s">
        <v>2249</v>
      </c>
      <c r="R470" s="8" t="s">
        <v>2109</v>
      </c>
      <c r="S470" s="11">
        <v>43039.587569444448</v>
      </c>
      <c r="U470" s="8" t="str">
        <f t="shared" si="156"/>
        <v xml:space="preserve">&lt;etma:1:1:52219:1&gt;  rdf:type skos:Concept ;  </v>
      </c>
      <c r="V470" s="8" t="str">
        <f t="shared" si="157"/>
        <v xml:space="preserve"> dcterms:source "https://www.mindat.org/min-52219.html" ; </v>
      </c>
      <c r="W470" s="8" t="str">
        <f t="shared" si="158"/>
        <v xml:space="preserve">skos:definition "An R chondrite that is a breccia of components ranging from petrologic type 3.8 to type 6."@en ; </v>
      </c>
      <c r="X470" s="8" t="str">
        <f t="shared" si="165"/>
        <v xml:space="preserve"> skos:inScheme &lt;https://mindat.org/etmat/cscheme&gt; ;  </v>
      </c>
      <c r="Y470" s="8" t="str">
        <f t="shared" si="153"/>
        <v xml:space="preserve">skos:prefLabel "R3.8-6 chondrite meteorite"@en ; rdfs:label "R3.8-6 chondrite meteorite"@en ; </v>
      </c>
      <c r="Z470" s="8" t="str">
        <f t="shared" si="154"/>
        <v xml:space="preserve"> skos:notation  "R3.8-6"@en ; </v>
      </c>
      <c r="AA470" s="8" t="str">
        <f t="shared" si="160"/>
        <v>dcterms:source "https://www.lpi.usra.edu/meteor/metbullclass.php?sea=R3.8-6";</v>
      </c>
      <c r="AB470" s="8" t="str">
        <f t="shared" si="161"/>
        <v xml:space="preserve">skos:broader &lt;etma:1:1:52211:9&gt; ; </v>
      </c>
      <c r="AC470" s="8" t="str">
        <f t="shared" si="162"/>
        <v>dcterms:modified "2017-10-31T14:06";  .</v>
      </c>
      <c r="AD470" s="10" t="str">
        <f t="shared" si="155"/>
        <v>&lt;etma:1:1:52219:1&gt;  rdf:type skos:Concept ;     dcterms:source "https://www.mindat.org/min-52219.html" ;   skos:definition "An R chondrite that is a breccia of components ranging from petrologic type 3.8 to type 6."@en ;    skos:inScheme &lt;https://mindat.org/etmat/cscheme&gt; ;    skos:prefLabel "R3.8-6 chondrite meteorite"@en ; rdfs:label "R3.8-6 chondrite meteorite"@en ;    skos:notation  "R3.8-6"@en ;   dcterms:source "https://www.lpi.usra.edu/meteor/metbullclass.php?sea=R3.8-6";  skos:broader &lt;etma:1:1:52211:9&gt; ;   dcterms:modified "2017-10-31T14:06";  .</v>
      </c>
      <c r="AE470" s="8" t="s">
        <v>2591</v>
      </c>
    </row>
    <row r="471" spans="1:31" x14ac:dyDescent="0.25">
      <c r="A471" s="8">
        <v>421</v>
      </c>
      <c r="B471" s="8" t="s">
        <v>2112</v>
      </c>
      <c r="C471" s="8">
        <v>52220</v>
      </c>
      <c r="D471" s="8" t="s">
        <v>2110</v>
      </c>
      <c r="E471" s="8" t="s">
        <v>2111</v>
      </c>
      <c r="F471" s="9">
        <v>7</v>
      </c>
      <c r="G471" s="9" t="s">
        <v>14</v>
      </c>
      <c r="H471" s="1" t="s">
        <v>2113</v>
      </c>
      <c r="I471" s="8" t="str">
        <f t="shared" si="152"/>
        <v>https://www.mindat.org/min-52220.html</v>
      </c>
      <c r="J471" s="8">
        <v>49835</v>
      </c>
      <c r="K471" s="8" t="s">
        <v>1428</v>
      </c>
      <c r="N471" s="9">
        <v>0</v>
      </c>
      <c r="O471" s="9" t="s">
        <v>2249</v>
      </c>
      <c r="R471" s="8" t="s">
        <v>2114</v>
      </c>
      <c r="S471" s="11">
        <v>43039.588090277779</v>
      </c>
      <c r="U471" s="8" t="str">
        <f t="shared" si="156"/>
        <v xml:space="preserve">&lt;etma:1:1:52220:7&gt;  rdf:type skos:Concept ;  </v>
      </c>
      <c r="V471" s="8" t="str">
        <f t="shared" si="157"/>
        <v xml:space="preserve"> dcterms:source "https://www.mindat.org/min-52220.html" ; </v>
      </c>
      <c r="W471" s="8" t="str">
        <f t="shared" si="158"/>
        <v xml:space="preserve">skos:definition "An R chondrite of petrologic type 3.9"@en ; </v>
      </c>
      <c r="X471" s="8" t="str">
        <f t="shared" si="165"/>
        <v xml:space="preserve"> skos:inScheme &lt;https://mindat.org/etmat/cscheme&gt; ;  </v>
      </c>
      <c r="Y471" s="8" t="str">
        <f t="shared" si="153"/>
        <v xml:space="preserve">skos:prefLabel "R3.9 chondrite meteorite"@en ; rdfs:label "R3.9 chondrite meteorite"@en ; </v>
      </c>
      <c r="Z471" s="8" t="str">
        <f t="shared" si="154"/>
        <v xml:space="preserve"> skos:notation  "R3.9"@en ; </v>
      </c>
      <c r="AA471" s="8" t="str">
        <f t="shared" si="160"/>
        <v>dcterms:source "https://www.lpi.usra.edu/meteor/metbullclass.php?sea=R3.9";</v>
      </c>
      <c r="AB471" s="8" t="str">
        <f t="shared" si="161"/>
        <v xml:space="preserve">skos:broader &lt;etma:1:1:49835:3&gt; ; </v>
      </c>
      <c r="AC471" s="8" t="str">
        <f t="shared" si="162"/>
        <v>dcterms:modified "2017-10-31T14:06";  .</v>
      </c>
      <c r="AD471" s="10" t="str">
        <f t="shared" si="155"/>
        <v>&lt;etma:1:1:52220:7&gt;  rdf:type skos:Concept ;     dcterms:source "https://www.mindat.org/min-52220.html" ;   skos:definition "An R chondrite of petrologic type 3.9"@en ;    skos:inScheme &lt;https://mindat.org/etmat/cscheme&gt; ;    skos:prefLabel "R3.9 chondrite meteorite"@en ; rdfs:label "R3.9 chondrite meteorite"@en ;    skos:notation  "R3.9"@en ;   dcterms:source "https://www.lpi.usra.edu/meteor/metbullclass.php?sea=R3.9";  skos:broader &lt;etma:1:1:49835:3&gt; ;   dcterms:modified "2017-10-31T14:06";  .</v>
      </c>
      <c r="AE471" s="8" t="s">
        <v>2591</v>
      </c>
    </row>
    <row r="472" spans="1:31" x14ac:dyDescent="0.25">
      <c r="A472" s="8">
        <v>422</v>
      </c>
      <c r="B472" s="8" t="s">
        <v>2117</v>
      </c>
      <c r="C472" s="8">
        <v>52221</v>
      </c>
      <c r="D472" s="8" t="s">
        <v>2115</v>
      </c>
      <c r="E472" s="8" t="s">
        <v>2116</v>
      </c>
      <c r="F472" s="9">
        <v>7</v>
      </c>
      <c r="G472" s="9" t="s">
        <v>14</v>
      </c>
      <c r="H472" s="1" t="s">
        <v>2118</v>
      </c>
      <c r="I472" s="8" t="str">
        <f t="shared" si="152"/>
        <v>https://www.mindat.org/min-52221.html</v>
      </c>
      <c r="J472" s="8">
        <v>49835</v>
      </c>
      <c r="K472" s="8" t="s">
        <v>1428</v>
      </c>
      <c r="L472" s="9">
        <v>49836</v>
      </c>
      <c r="M472" s="8" t="s">
        <v>1433</v>
      </c>
      <c r="N472" s="9">
        <v>0</v>
      </c>
      <c r="O472" s="9" t="s">
        <v>2249</v>
      </c>
      <c r="R472" s="8" t="s">
        <v>2119</v>
      </c>
      <c r="S472" s="11">
        <v>43039.588634259257</v>
      </c>
      <c r="U472" s="8" t="str">
        <f t="shared" si="156"/>
        <v xml:space="preserve">&lt;etma:1:1:52221:6&gt;  rdf:type skos:Concept ;  </v>
      </c>
      <c r="V472" s="8" t="str">
        <f t="shared" si="157"/>
        <v xml:space="preserve"> dcterms:source "https://www.mindat.org/min-52221.html" ; </v>
      </c>
      <c r="W472" s="8" t="str">
        <f t="shared" si="158"/>
        <v xml:space="preserve">skos:definition "An R chondrite that is either petrologic type 3 or type 4."@en ; </v>
      </c>
      <c r="X472" s="8" t="str">
        <f t="shared" si="165"/>
        <v xml:space="preserve"> skos:inScheme &lt;https://mindat.org/etmat/cscheme&gt; ;  </v>
      </c>
      <c r="Y472" s="8" t="str">
        <f t="shared" si="153"/>
        <v xml:space="preserve">skos:prefLabel "R3/4 chondrite meteorite"@en ; rdfs:label "R3/4 chondrite meteorite"@en ; </v>
      </c>
      <c r="Z472" s="8" t="str">
        <f t="shared" si="154"/>
        <v xml:space="preserve"> skos:notation  "R3/4"@en ; </v>
      </c>
      <c r="AA472" s="8" t="str">
        <f t="shared" si="160"/>
        <v>dcterms:source "https://www.lpi.usra.edu/meteor/metbullclass.php?sea=R3/4";</v>
      </c>
      <c r="AB472" s="8" t="str">
        <f t="shared" si="161"/>
        <v xml:space="preserve">skos:broader &lt;etma:1:1:49835:3&gt;, &lt;etma:1:1:49836:2&gt; ; </v>
      </c>
      <c r="AC472" s="8" t="str">
        <f t="shared" si="162"/>
        <v>dcterms:modified "2017-10-31T14:07";  .</v>
      </c>
      <c r="AD472" s="10" t="str">
        <f t="shared" si="155"/>
        <v>&lt;etma:1:1:52221:6&gt;  rdf:type skos:Concept ;     dcterms:source "https://www.mindat.org/min-52221.html" ;   skos:definition "An R chondrite that is either petrologic type 3 or type 4."@en ;    skos:inScheme &lt;https://mindat.org/etmat/cscheme&gt; ;    skos:prefLabel "R3/4 chondrite meteorite"@en ; rdfs:label "R3/4 chondrite meteorite"@en ;    skos:notation  "R3/4"@en ;   dcterms:source "https://www.lpi.usra.edu/meteor/metbullclass.php?sea=R3/4";  skos:broader &lt;etma:1:1:49835:3&gt;, &lt;etma:1:1:49836:2&gt; ;   dcterms:modified "2017-10-31T14:07";  .</v>
      </c>
      <c r="AE472" s="8" t="s">
        <v>2591</v>
      </c>
    </row>
    <row r="473" spans="1:31" x14ac:dyDescent="0.25">
      <c r="A473" s="8">
        <v>423</v>
      </c>
      <c r="B473" s="8" t="s">
        <v>2122</v>
      </c>
      <c r="C473" s="8">
        <v>52222</v>
      </c>
      <c r="D473" s="8" t="s">
        <v>2120</v>
      </c>
      <c r="E473" s="8" t="s">
        <v>2121</v>
      </c>
      <c r="F473" s="9">
        <v>7</v>
      </c>
      <c r="G473" s="9" t="s">
        <v>14</v>
      </c>
      <c r="H473" s="1" t="s">
        <v>2123</v>
      </c>
      <c r="I473" s="8" t="str">
        <f t="shared" si="152"/>
        <v>https://www.mindat.org/min-52222.html</v>
      </c>
      <c r="J473" s="8">
        <v>49836</v>
      </c>
      <c r="K473" s="8" t="s">
        <v>1433</v>
      </c>
      <c r="L473" s="9">
        <v>49837</v>
      </c>
      <c r="M473" s="8" t="s">
        <v>1438</v>
      </c>
      <c r="N473" s="9">
        <v>0</v>
      </c>
      <c r="O473" s="9" t="s">
        <v>2249</v>
      </c>
      <c r="R473" s="8" t="s">
        <v>2124</v>
      </c>
      <c r="S473" s="11">
        <v>43039.589571759258</v>
      </c>
      <c r="U473" s="8" t="str">
        <f t="shared" si="156"/>
        <v xml:space="preserve">&lt;etma:1:1:52222:5&gt;  rdf:type skos:Concept ;  </v>
      </c>
      <c r="V473" s="8" t="str">
        <f t="shared" si="157"/>
        <v xml:space="preserve"> dcterms:source "https://www.mindat.org/min-52222.html" ; </v>
      </c>
      <c r="W473" s="8" t="str">
        <f t="shared" si="158"/>
        <v xml:space="preserve">skos:definition "An R chondrite that is a breccia of components ranging from petrologic type 4 to type 5."@en ; </v>
      </c>
      <c r="X473" s="8" t="str">
        <f t="shared" si="165"/>
        <v xml:space="preserve"> skos:inScheme &lt;https://mindat.org/etmat/cscheme&gt; ;  </v>
      </c>
      <c r="Y473" s="8" t="str">
        <f t="shared" si="153"/>
        <v xml:space="preserve">skos:prefLabel "R4-5 chondrite meteorite"@en ; rdfs:label "R4-5 chondrite meteorite"@en ; </v>
      </c>
      <c r="Z473" s="8" t="str">
        <f t="shared" si="154"/>
        <v xml:space="preserve"> skos:notation  "R4-5"@en ; </v>
      </c>
      <c r="AA473" s="8" t="str">
        <f t="shared" si="160"/>
        <v>dcterms:source "https://www.lpi.usra.edu/meteor/metbullclass.php?sea=R4-5";</v>
      </c>
      <c r="AB473" s="8" t="str">
        <f t="shared" si="161"/>
        <v xml:space="preserve">skos:broader &lt;etma:1:1:49836:2&gt;, &lt;etma:1:1:49837:1&gt; ; </v>
      </c>
      <c r="AC473" s="8" t="str">
        <f t="shared" si="162"/>
        <v>dcterms:modified "2017-10-31T14:08";  .</v>
      </c>
      <c r="AD473" s="10" t="str">
        <f t="shared" si="155"/>
        <v>&lt;etma:1:1:52222:5&gt;  rdf:type skos:Concept ;     dcterms:source "https://www.mindat.org/min-52222.html" ;   skos:definition "An R chondrite that is a breccia of components ranging from petrologic type 4 to type 5."@en ;    skos:inScheme &lt;https://mindat.org/etmat/cscheme&gt; ;    skos:prefLabel "R4-5 chondrite meteorite"@en ; rdfs:label "R4-5 chondrite meteorite"@en ;    skos:notation  "R4-5"@en ;   dcterms:source "https://www.lpi.usra.edu/meteor/metbullclass.php?sea=R4-5";  skos:broader &lt;etma:1:1:49836:2&gt;, &lt;etma:1:1:49837:1&gt; ;   dcterms:modified "2017-10-31T14:08";  .</v>
      </c>
      <c r="AE473" s="8" t="s">
        <v>2591</v>
      </c>
    </row>
    <row r="474" spans="1:31" x14ac:dyDescent="0.25">
      <c r="A474" s="8">
        <v>424</v>
      </c>
      <c r="B474" s="8" t="s">
        <v>2127</v>
      </c>
      <c r="C474" s="8">
        <v>52223</v>
      </c>
      <c r="D474" s="8" t="s">
        <v>2125</v>
      </c>
      <c r="E474" s="8" t="s">
        <v>2126</v>
      </c>
      <c r="F474" s="9">
        <v>7</v>
      </c>
      <c r="G474" s="9" t="s">
        <v>14</v>
      </c>
      <c r="H474" s="1" t="s">
        <v>2128</v>
      </c>
      <c r="I474" s="8" t="str">
        <f t="shared" si="152"/>
        <v>https://www.mindat.org/min-52223.html</v>
      </c>
      <c r="J474" s="8">
        <v>49836</v>
      </c>
      <c r="K474" s="8" t="s">
        <v>1433</v>
      </c>
      <c r="L474" s="9">
        <v>49838</v>
      </c>
      <c r="M474" s="8" t="s">
        <v>1443</v>
      </c>
      <c r="N474" s="9">
        <v>0</v>
      </c>
      <c r="O474" s="9" t="s">
        <v>2249</v>
      </c>
      <c r="R474" s="8" t="s">
        <v>2129</v>
      </c>
      <c r="S474" s="11">
        <v>43039.590173611112</v>
      </c>
      <c r="U474" s="8" t="str">
        <f t="shared" si="156"/>
        <v xml:space="preserve">&lt;etma:1:1:52223:4&gt;  rdf:type skos:Concept ;  </v>
      </c>
      <c r="V474" s="8" t="str">
        <f t="shared" si="157"/>
        <v xml:space="preserve"> dcterms:source "https://www.mindat.org/min-52223.html" ; </v>
      </c>
      <c r="W474" s="8" t="str">
        <f t="shared" si="158"/>
        <v xml:space="preserve">skos:definition "An R chondrite that is a breccia of components ranging from petrologic type 4 to type 6."@en ; </v>
      </c>
      <c r="X474" s="8" t="str">
        <f t="shared" si="165"/>
        <v xml:space="preserve"> skos:inScheme &lt;https://mindat.org/etmat/cscheme&gt; ;  </v>
      </c>
      <c r="Y474" s="8" t="str">
        <f t="shared" si="153"/>
        <v xml:space="preserve">skos:prefLabel "R4-6 chondrite meteorite"@en ; rdfs:label "R4-6 chondrite meteorite"@en ; </v>
      </c>
      <c r="Z474" s="8" t="str">
        <f t="shared" si="154"/>
        <v xml:space="preserve"> skos:notation  "R4-6"@en ; </v>
      </c>
      <c r="AA474" s="8" t="str">
        <f t="shared" si="160"/>
        <v>dcterms:source "https://www.lpi.usra.edu/meteor/metbullclass.php?sea=R4-6";</v>
      </c>
      <c r="AB474" s="8" t="str">
        <f t="shared" si="161"/>
        <v xml:space="preserve">skos:broader &lt;etma:1:1:49836:2&gt;, &lt;etma:1:1:49838:0&gt; ; </v>
      </c>
      <c r="AC474" s="8" t="str">
        <f t="shared" si="162"/>
        <v>dcterms:modified "2017-10-31T14:09";  .</v>
      </c>
      <c r="AD474" s="10" t="str">
        <f t="shared" si="155"/>
        <v>&lt;etma:1:1:52223:4&gt;  rdf:type skos:Concept ;     dcterms:source "https://www.mindat.org/min-52223.html" ;   skos:definition "An R chondrite that is a breccia of components ranging from petrologic type 4 to type 6."@en ;    skos:inScheme &lt;https://mindat.org/etmat/cscheme&gt; ;    skos:prefLabel "R4-6 chondrite meteorite"@en ; rdfs:label "R4-6 chondrite meteorite"@en ;    skos:notation  "R4-6"@en ;   dcterms:source "https://www.lpi.usra.edu/meteor/metbullclass.php?sea=R4-6";  skos:broader &lt;etma:1:1:49836:2&gt;, &lt;etma:1:1:49838:0&gt; ;   dcterms:modified "2017-10-31T14:09";  .</v>
      </c>
      <c r="AE474" s="8" t="s">
        <v>2591</v>
      </c>
    </row>
    <row r="475" spans="1:31" x14ac:dyDescent="0.25">
      <c r="A475" s="8">
        <v>425</v>
      </c>
      <c r="B475" s="8" t="s">
        <v>2132</v>
      </c>
      <c r="C475" s="8">
        <v>52224</v>
      </c>
      <c r="D475" s="8" t="s">
        <v>2130</v>
      </c>
      <c r="E475" s="8" t="s">
        <v>2131</v>
      </c>
      <c r="F475" s="9">
        <v>7</v>
      </c>
      <c r="G475" s="9" t="s">
        <v>14</v>
      </c>
      <c r="H475" s="1" t="s">
        <v>2133</v>
      </c>
      <c r="I475" s="8" t="str">
        <f t="shared" si="152"/>
        <v>https://www.mindat.org/min-52224.html</v>
      </c>
      <c r="J475" s="8">
        <v>49836</v>
      </c>
      <c r="K475" s="8" t="s">
        <v>1433</v>
      </c>
      <c r="L475" s="9">
        <v>49837</v>
      </c>
      <c r="M475" s="8" t="s">
        <v>1438</v>
      </c>
      <c r="N475" s="9">
        <v>0</v>
      </c>
      <c r="O475" s="9" t="s">
        <v>2249</v>
      </c>
      <c r="R475" s="8" t="s">
        <v>2134</v>
      </c>
      <c r="S475" s="11">
        <v>43039.590601851851</v>
      </c>
      <c r="U475" s="8" t="str">
        <f t="shared" si="156"/>
        <v xml:space="preserve">&lt;etma:1:1:52224:3&gt;  rdf:type skos:Concept ;  </v>
      </c>
      <c r="V475" s="8" t="str">
        <f t="shared" si="157"/>
        <v xml:space="preserve"> dcterms:source "https://www.mindat.org/min-52224.html" ; </v>
      </c>
      <c r="W475" s="8" t="str">
        <f t="shared" si="158"/>
        <v xml:space="preserve">skos:definition "An R chondrite that is either petrologic type 4 or type 5."@en ; </v>
      </c>
      <c r="X475" s="8" t="str">
        <f t="shared" si="165"/>
        <v xml:space="preserve"> skos:inScheme &lt;https://mindat.org/etmat/cscheme&gt; ;  </v>
      </c>
      <c r="Y475" s="8" t="str">
        <f t="shared" si="153"/>
        <v xml:space="preserve">skos:prefLabel "R4/5 chondrite meteorite"@en ; rdfs:label "R4/5 chondrite meteorite"@en ; </v>
      </c>
      <c r="Z475" s="8" t="str">
        <f t="shared" si="154"/>
        <v xml:space="preserve"> skos:notation  "R4/5"@en ; </v>
      </c>
      <c r="AA475" s="8" t="str">
        <f t="shared" si="160"/>
        <v>dcterms:source "https://www.lpi.usra.edu/meteor/metbullclass.php?sea=R4/5";</v>
      </c>
      <c r="AB475" s="8" t="str">
        <f t="shared" si="161"/>
        <v xml:space="preserve">skos:broader &lt;etma:1:1:49836:2&gt;, &lt;etma:1:1:49837:1&gt; ; </v>
      </c>
      <c r="AC475" s="8" t="str">
        <f t="shared" si="162"/>
        <v>dcterms:modified "2017-10-31T14:10";  .</v>
      </c>
      <c r="AD475" s="10" t="str">
        <f t="shared" si="155"/>
        <v>&lt;etma:1:1:52224:3&gt;  rdf:type skos:Concept ;     dcterms:source "https://www.mindat.org/min-52224.html" ;   skos:definition "An R chondrite that is either petrologic type 4 or type 5."@en ;    skos:inScheme &lt;https://mindat.org/etmat/cscheme&gt; ;    skos:prefLabel "R4/5 chondrite meteorite"@en ; rdfs:label "R4/5 chondrite meteorite"@en ;    skos:notation  "R4/5"@en ;   dcterms:source "https://www.lpi.usra.edu/meteor/metbullclass.php?sea=R4/5";  skos:broader &lt;etma:1:1:49836:2&gt;, &lt;etma:1:1:49837:1&gt; ;   dcterms:modified "2017-10-31T14:10";  .</v>
      </c>
      <c r="AE475" s="8" t="s">
        <v>2591</v>
      </c>
    </row>
    <row r="476" spans="1:31" x14ac:dyDescent="0.25">
      <c r="A476" s="8">
        <v>426</v>
      </c>
      <c r="B476" s="8" t="s">
        <v>2137</v>
      </c>
      <c r="C476" s="8">
        <v>52225</v>
      </c>
      <c r="D476" s="8" t="s">
        <v>2135</v>
      </c>
      <c r="E476" s="8" t="s">
        <v>2136</v>
      </c>
      <c r="F476" s="9">
        <v>7</v>
      </c>
      <c r="G476" s="9" t="s">
        <v>14</v>
      </c>
      <c r="H476" s="1" t="s">
        <v>2138</v>
      </c>
      <c r="I476" s="8" t="str">
        <f t="shared" si="152"/>
        <v>https://www.mindat.org/min-52225.html</v>
      </c>
      <c r="J476" s="8">
        <v>49909</v>
      </c>
      <c r="K476" s="8" t="s">
        <v>1677</v>
      </c>
      <c r="L476" s="9">
        <v>49910</v>
      </c>
      <c r="M476" s="8" t="s">
        <v>1682</v>
      </c>
      <c r="N476" s="9">
        <v>0</v>
      </c>
      <c r="O476" s="9" t="s">
        <v>2249</v>
      </c>
      <c r="R476" s="8" t="s">
        <v>2139</v>
      </c>
      <c r="S476" s="11">
        <v>43049.776412037034</v>
      </c>
      <c r="U476" s="8" t="str">
        <f t="shared" si="156"/>
        <v xml:space="preserve">&lt;etma:1:1:52225:2&gt;  rdf:type skos:Concept ;  </v>
      </c>
      <c r="V476" s="8" t="str">
        <f t="shared" si="157"/>
        <v xml:space="preserve"> dcterms:source "https://www.mindat.org/min-52225.html" ; </v>
      </c>
      <c r="W476" s="8" t="str">
        <f t="shared" si="158"/>
        <v xml:space="preserve">skos:definition "A mesosiderite of petrologic class A and metamorphic grade 3 or 4."@en ; </v>
      </c>
      <c r="X476" s="8" t="str">
        <f t="shared" si="165"/>
        <v xml:space="preserve"> skos:inScheme &lt;https://mindat.org/etmat/cscheme&gt; ;  </v>
      </c>
      <c r="Y476" s="8" t="str">
        <f t="shared" si="153"/>
        <v xml:space="preserve">skos:prefLabel "Mesosiderite-A3/4 meteorite"@en ; rdfs:label "Mesosiderite-A3/4 meteorite"@en ; </v>
      </c>
      <c r="Z476" s="8" t="str">
        <f t="shared" si="154"/>
        <v xml:space="preserve"> skos:notation  "Mesosiderite-A3/4"@en ; </v>
      </c>
      <c r="AA476" s="8" t="str">
        <f t="shared" si="160"/>
        <v>dcterms:source "https://www.lpi.usra.edu/meteor/metbullclass.php?sea=Mesosiderite-A3/4";</v>
      </c>
      <c r="AB476" s="8" t="str">
        <f t="shared" si="161"/>
        <v xml:space="preserve">skos:broader &lt;etma:1:1:49909:7&gt;, &lt;etma:1:1:49910:3&gt; ; </v>
      </c>
      <c r="AC476" s="8" t="str">
        <f t="shared" si="162"/>
        <v>dcterms:modified "2017-11-10T18:38";  .</v>
      </c>
      <c r="AD476" s="10" t="str">
        <f t="shared" si="155"/>
        <v>&lt;etma:1:1:52225:2&gt;  rdf:type skos:Concept ;     dcterms:source "https://www.mindat.org/min-52225.html" ;   skos:definition "A mesosiderite of petrologic class A and metamorphic grade 3 or 4."@en ;    skos:inScheme &lt;https://mindat.org/etmat/cscheme&gt; ;    skos:prefLabel "Mesosiderite-A3/4 meteorite"@en ; rdfs:label "Mesosiderite-A3/4 meteorite"@en ;    skos:notation  "Mesosiderite-A3/4"@en ;   dcterms:source "https://www.lpi.usra.edu/meteor/metbullclass.php?sea=Mesosiderite-A3/4";  skos:broader &lt;etma:1:1:49909:7&gt;, &lt;etma:1:1:49910:3&gt; ;   dcterms:modified "2017-11-10T18:38";  .</v>
      </c>
      <c r="AE476" s="8" t="s">
        <v>2591</v>
      </c>
    </row>
    <row r="477" spans="1:31" x14ac:dyDescent="0.25">
      <c r="A477" s="8">
        <v>427</v>
      </c>
      <c r="B477" s="8" t="s">
        <v>2142</v>
      </c>
      <c r="C477" s="8">
        <v>52226</v>
      </c>
      <c r="D477" s="8" t="s">
        <v>2140</v>
      </c>
      <c r="E477" s="8" t="s">
        <v>2141</v>
      </c>
      <c r="F477" s="9">
        <v>7</v>
      </c>
      <c r="G477" s="9" t="s">
        <v>14</v>
      </c>
      <c r="H477" s="1" t="s">
        <v>2143</v>
      </c>
      <c r="I477" s="8" t="str">
        <f t="shared" si="152"/>
        <v>https://www.mindat.org/min-52226.html</v>
      </c>
      <c r="J477" s="8">
        <v>49585</v>
      </c>
      <c r="K477" s="8" t="s">
        <v>315</v>
      </c>
      <c r="N477" s="9">
        <v>0</v>
      </c>
      <c r="O477" s="9" t="s">
        <v>2249</v>
      </c>
      <c r="R477" s="8" t="s">
        <v>2144</v>
      </c>
      <c r="S477" s="11">
        <v>43039.60056712963</v>
      </c>
      <c r="U477" s="8" t="str">
        <f t="shared" si="156"/>
        <v xml:space="preserve">&lt;etma:1:1:52226:1&gt;  rdf:type skos:Concept ;  </v>
      </c>
      <c r="V477" s="8" t="str">
        <f t="shared" si="157"/>
        <v xml:space="preserve"> dcterms:source "https://www.mindat.org/min-52226.html" ; </v>
      </c>
      <c r="W477" s="8" t="str">
        <f t="shared" si="158"/>
        <v xml:space="preserve">skos:definition "An ordinary chondrite from the H group that is petrologic type 3.8"@en ; </v>
      </c>
      <c r="X477" s="8" t="str">
        <f t="shared" si="165"/>
        <v xml:space="preserve"> skos:inScheme &lt;https://mindat.org/etmat/cscheme&gt; ;  </v>
      </c>
      <c r="Y477" s="8" t="str">
        <f t="shared" si="153"/>
        <v xml:space="preserve">skos:prefLabel "H3.8 chondrite meteorite"@en ; rdfs:label "H3.8 chondrite meteorite"@en ; </v>
      </c>
      <c r="Z477" s="8" t="str">
        <f t="shared" si="154"/>
        <v xml:space="preserve"> skos:notation  "H3.8"@en ; </v>
      </c>
      <c r="AA477" s="8" t="str">
        <f t="shared" si="160"/>
        <v>dcterms:source "https://www.lpi.usra.edu/meteor/metbullclass.php?sea=H3.8";</v>
      </c>
      <c r="AB477" s="8" t="str">
        <f t="shared" si="161"/>
        <v xml:space="preserve">skos:broader &lt;etma:1:1:49585:1&gt; ; </v>
      </c>
      <c r="AC477" s="8" t="str">
        <f t="shared" si="162"/>
        <v>dcterms:modified "2017-10-31T14:24";  .</v>
      </c>
      <c r="AD477" s="10" t="str">
        <f t="shared" si="155"/>
        <v>&lt;etma:1:1:52226:1&gt;  rdf:type skos:Concept ;     dcterms:source "https://www.mindat.org/min-52226.html" ;   skos:definition "An ordinary chondrite from the H group that is petrologic type 3.8"@en ;    skos:inScheme &lt;https://mindat.org/etmat/cscheme&gt; ;    skos:prefLabel "H3.8 chondrite meteorite"@en ; rdfs:label "H3.8 chondrite meteorite"@en ;    skos:notation  "H3.8"@en ;   dcterms:source "https://www.lpi.usra.edu/meteor/metbullclass.php?sea=H3.8";  skos:broader &lt;etma:1:1:49585:1&gt; ;   dcterms:modified "2017-10-31T14:24";  .</v>
      </c>
      <c r="AE477" s="8" t="s">
        <v>2591</v>
      </c>
    </row>
    <row r="478" spans="1:31" x14ac:dyDescent="0.25">
      <c r="A478" s="8">
        <v>428</v>
      </c>
      <c r="B478" s="8" t="s">
        <v>2147</v>
      </c>
      <c r="C478" s="8">
        <v>52227</v>
      </c>
      <c r="D478" s="8" t="s">
        <v>2145</v>
      </c>
      <c r="E478" s="8" t="s">
        <v>2146</v>
      </c>
      <c r="F478" s="9">
        <v>7</v>
      </c>
      <c r="G478" s="9" t="s">
        <v>14</v>
      </c>
      <c r="H478" s="1" t="s">
        <v>2148</v>
      </c>
      <c r="I478" s="8" t="str">
        <f t="shared" si="152"/>
        <v>https://www.mindat.org/min-52227.html</v>
      </c>
      <c r="J478" s="8">
        <v>49585</v>
      </c>
      <c r="K478" s="8" t="s">
        <v>315</v>
      </c>
      <c r="N478" s="9">
        <v>0</v>
      </c>
      <c r="O478" s="9" t="s">
        <v>2249</v>
      </c>
      <c r="R478" s="8" t="s">
        <v>2149</v>
      </c>
      <c r="S478" s="11">
        <v>43039.601145833331</v>
      </c>
      <c r="U478" s="8" t="str">
        <f t="shared" si="156"/>
        <v xml:space="preserve">&lt;etma:1:1:52227:0&gt;  rdf:type skos:Concept ;  </v>
      </c>
      <c r="V478" s="8" t="str">
        <f t="shared" si="157"/>
        <v xml:space="preserve"> dcterms:source "https://www.mindat.org/min-52227.html" ; </v>
      </c>
      <c r="W478" s="8" t="str">
        <f t="shared" si="158"/>
        <v xml:space="preserve">skos:definition "An ordinary chondrite from the H group that is petrologic type 3.9"@en ; </v>
      </c>
      <c r="X478" s="8" t="str">
        <f t="shared" si="165"/>
        <v xml:space="preserve"> skos:inScheme &lt;https://mindat.org/etmat/cscheme&gt; ;  </v>
      </c>
      <c r="Y478" s="8" t="str">
        <f t="shared" si="153"/>
        <v xml:space="preserve">skos:prefLabel "H3.9 chondrite meteorite"@en ; rdfs:label "H3.9 chondrite meteorite"@en ; </v>
      </c>
      <c r="Z478" s="8" t="str">
        <f t="shared" si="154"/>
        <v xml:space="preserve"> skos:notation  "H3.9"@en ; </v>
      </c>
      <c r="AA478" s="8" t="str">
        <f t="shared" si="160"/>
        <v>dcterms:source "https://www.lpi.usra.edu/meteor/metbullclass.php?sea=H3.9";</v>
      </c>
      <c r="AB478" s="8" t="str">
        <f t="shared" si="161"/>
        <v xml:space="preserve">skos:broader &lt;etma:1:1:49585:1&gt; ; </v>
      </c>
      <c r="AC478" s="8" t="str">
        <f t="shared" si="162"/>
        <v>dcterms:modified "2017-10-31T14:25";  .</v>
      </c>
      <c r="AD478" s="10" t="str">
        <f t="shared" si="155"/>
        <v>&lt;etma:1:1:52227:0&gt;  rdf:type skos:Concept ;     dcterms:source "https://www.mindat.org/min-52227.html" ;   skos:definition "An ordinary chondrite from the H group that is petrologic type 3.9"@en ;    skos:inScheme &lt;https://mindat.org/etmat/cscheme&gt; ;    skos:prefLabel "H3.9 chondrite meteorite"@en ; rdfs:label "H3.9 chondrite meteorite"@en ;    skos:notation  "H3.9"@en ;   dcterms:source "https://www.lpi.usra.edu/meteor/metbullclass.php?sea=H3.9";  skos:broader &lt;etma:1:1:49585:1&gt; ;   dcterms:modified "2017-10-31T14:25";  .</v>
      </c>
      <c r="AE478" s="8" t="s">
        <v>2591</v>
      </c>
    </row>
    <row r="479" spans="1:31" x14ac:dyDescent="0.25">
      <c r="A479" s="8">
        <v>429</v>
      </c>
      <c r="B479" s="8" t="s">
        <v>2152</v>
      </c>
      <c r="C479" s="8">
        <v>52228</v>
      </c>
      <c r="D479" s="8" t="s">
        <v>2150</v>
      </c>
      <c r="E479" s="8" t="s">
        <v>2151</v>
      </c>
      <c r="F479" s="9">
        <v>7</v>
      </c>
      <c r="G479" s="9" t="s">
        <v>14</v>
      </c>
      <c r="H479" s="1" t="s">
        <v>2153</v>
      </c>
      <c r="I479" s="8" t="str">
        <f t="shared" si="152"/>
        <v>https://www.mindat.org/min-52228.html</v>
      </c>
      <c r="J479" s="8">
        <v>49585</v>
      </c>
      <c r="K479" s="8" t="s">
        <v>315</v>
      </c>
      <c r="N479" s="9">
        <v>0</v>
      </c>
      <c r="O479" s="9" t="s">
        <v>2249</v>
      </c>
      <c r="R479" s="8" t="s">
        <v>2154</v>
      </c>
      <c r="S479" s="11">
        <v>43039.601967592593</v>
      </c>
      <c r="U479" s="8" t="str">
        <f t="shared" si="156"/>
        <v xml:space="preserve">&lt;etma:1:1:52228:9&gt;  rdf:type skos:Concept ;  </v>
      </c>
      <c r="V479" s="8" t="str">
        <f t="shared" si="157"/>
        <v xml:space="preserve"> dcterms:source "https://www.mindat.org/min-52228.html" ; </v>
      </c>
      <c r="W479" s="8" t="str">
        <f t="shared" si="158"/>
        <v xml:space="preserve">skos:definition "An ordinary chondrite from the H group that is petrologic type 3.6"@en ; </v>
      </c>
      <c r="X479" s="8" t="str">
        <f t="shared" si="165"/>
        <v xml:space="preserve"> skos:inScheme &lt;https://mindat.org/etmat/cscheme&gt; ;  </v>
      </c>
      <c r="Y479" s="8" t="str">
        <f t="shared" si="153"/>
        <v xml:space="preserve">skos:prefLabel "H3.6 chondrite meteorite"@en ; rdfs:label "H3.6 chondrite meteorite"@en ; </v>
      </c>
      <c r="Z479" s="8" t="str">
        <f t="shared" si="154"/>
        <v xml:space="preserve"> skos:notation  "H3.6"@en ; </v>
      </c>
      <c r="AA479" s="8" t="str">
        <f t="shared" si="160"/>
        <v>dcterms:source "https://www.lpi.usra.edu/meteor/metbullclass.php?sea=H3.6";</v>
      </c>
      <c r="AB479" s="8" t="str">
        <f t="shared" si="161"/>
        <v xml:space="preserve">skos:broader &lt;etma:1:1:49585:1&gt; ; </v>
      </c>
      <c r="AC479" s="8" t="str">
        <f t="shared" si="162"/>
        <v>dcterms:modified "2017-10-31T14:26";  .</v>
      </c>
      <c r="AD479" s="10" t="str">
        <f t="shared" si="155"/>
        <v>&lt;etma:1:1:52228:9&gt;  rdf:type skos:Concept ;     dcterms:source "https://www.mindat.org/min-52228.html" ;   skos:definition "An ordinary chondrite from the H group that is petrologic type 3.6"@en ;    skos:inScheme &lt;https://mindat.org/etmat/cscheme&gt; ;    skos:prefLabel "H3.6 chondrite meteorite"@en ; rdfs:label "H3.6 chondrite meteorite"@en ;    skos:notation  "H3.6"@en ;   dcterms:source "https://www.lpi.usra.edu/meteor/metbullclass.php?sea=H3.6";  skos:broader &lt;etma:1:1:49585:1&gt; ;   dcterms:modified "2017-10-31T14:26";  .</v>
      </c>
      <c r="AE479" s="8" t="s">
        <v>2591</v>
      </c>
    </row>
    <row r="480" spans="1:31" x14ac:dyDescent="0.25">
      <c r="A480" s="8">
        <v>430</v>
      </c>
      <c r="B480" s="8" t="s">
        <v>2157</v>
      </c>
      <c r="C480" s="8">
        <v>52229</v>
      </c>
      <c r="D480" s="8" t="s">
        <v>2155</v>
      </c>
      <c r="E480" s="8" t="s">
        <v>2156</v>
      </c>
      <c r="F480" s="9">
        <v>7</v>
      </c>
      <c r="G480" s="9" t="s">
        <v>14</v>
      </c>
      <c r="H480" s="1" t="s">
        <v>2158</v>
      </c>
      <c r="I480" s="8" t="str">
        <f t="shared" si="152"/>
        <v>https://www.mindat.org/min-52229.html</v>
      </c>
      <c r="J480" s="8">
        <v>49585</v>
      </c>
      <c r="K480" s="8" t="s">
        <v>315</v>
      </c>
      <c r="N480" s="9">
        <v>0</v>
      </c>
      <c r="O480" s="9" t="s">
        <v>2249</v>
      </c>
      <c r="R480" s="8" t="s">
        <v>2159</v>
      </c>
      <c r="S480" s="11">
        <v>43039.602314814816</v>
      </c>
      <c r="U480" s="8" t="str">
        <f t="shared" si="156"/>
        <v xml:space="preserve">&lt;etma:1:1:52229:8&gt;  rdf:type skos:Concept ;  </v>
      </c>
      <c r="V480" s="8" t="str">
        <f t="shared" si="157"/>
        <v xml:space="preserve"> dcterms:source "https://www.mindat.org/min-52229.html" ; </v>
      </c>
      <c r="W480" s="8" t="str">
        <f t="shared" si="158"/>
        <v xml:space="preserve">skos:definition "An ordinary chondrite from the H group that is petrologic type 3.7"@en ; </v>
      </c>
      <c r="X480" s="8" t="str">
        <f t="shared" si="165"/>
        <v xml:space="preserve"> skos:inScheme &lt;https://mindat.org/etmat/cscheme&gt; ;  </v>
      </c>
      <c r="Y480" s="8" t="str">
        <f t="shared" si="153"/>
        <v xml:space="preserve">skos:prefLabel "H3.7 chondrite meteorite"@en ; rdfs:label "H3.7 chondrite meteorite"@en ; </v>
      </c>
      <c r="Z480" s="8" t="str">
        <f t="shared" si="154"/>
        <v xml:space="preserve"> skos:notation  "H3.7"@en ; </v>
      </c>
      <c r="AA480" s="8" t="str">
        <f t="shared" si="160"/>
        <v>dcterms:source "https://www.lpi.usra.edu/meteor/metbullclass.php?sea=H3.7";</v>
      </c>
      <c r="AB480" s="8" t="str">
        <f t="shared" si="161"/>
        <v xml:space="preserve">skos:broader &lt;etma:1:1:49585:1&gt; ; </v>
      </c>
      <c r="AC480" s="8" t="str">
        <f t="shared" si="162"/>
        <v>dcterms:modified "2017-10-31T14:27";  .</v>
      </c>
      <c r="AD480" s="10" t="str">
        <f t="shared" si="155"/>
        <v>&lt;etma:1:1:52229:8&gt;  rdf:type skos:Concept ;     dcterms:source "https://www.mindat.org/min-52229.html" ;   skos:definition "An ordinary chondrite from the H group that is petrologic type 3.7"@en ;    skos:inScheme &lt;https://mindat.org/etmat/cscheme&gt; ;    skos:prefLabel "H3.7 chondrite meteorite"@en ; rdfs:label "H3.7 chondrite meteorite"@en ;    skos:notation  "H3.7"@en ;   dcterms:source "https://www.lpi.usra.edu/meteor/metbullclass.php?sea=H3.7";  skos:broader &lt;etma:1:1:49585:1&gt; ;   dcterms:modified "2017-10-31T14:27";  .</v>
      </c>
      <c r="AE480" s="8" t="s">
        <v>2591</v>
      </c>
    </row>
    <row r="481" spans="1:31" s="9" customFormat="1" x14ac:dyDescent="0.25">
      <c r="A481" s="9">
        <v>431</v>
      </c>
      <c r="B481" s="9" t="s">
        <v>2162</v>
      </c>
      <c r="C481" s="9">
        <v>52231</v>
      </c>
      <c r="D481" s="9" t="s">
        <v>2160</v>
      </c>
      <c r="E481" s="9" t="s">
        <v>2161</v>
      </c>
      <c r="F481" s="9">
        <v>7</v>
      </c>
      <c r="G481" s="9" t="s">
        <v>14</v>
      </c>
      <c r="H481" s="1" t="s">
        <v>2481</v>
      </c>
      <c r="I481" s="9" t="s">
        <v>2482</v>
      </c>
      <c r="J481" s="9">
        <v>49960</v>
      </c>
      <c r="K481" s="9" t="s">
        <v>1887</v>
      </c>
      <c r="N481" s="9">
        <v>0</v>
      </c>
      <c r="O481" s="9" t="s">
        <v>2249</v>
      </c>
      <c r="R481" s="9" t="s">
        <v>2163</v>
      </c>
      <c r="S481" s="11">
        <f ca="1">NOW()</f>
        <v>45097.373057291668</v>
      </c>
      <c r="U481" s="8" t="str">
        <f t="shared" ref="U481" si="166">"&lt;etma:"&amp;D481&amp; "&gt;  rdf:type skos:Concept ;  "</f>
        <v xml:space="preserve">&lt;etma:1:1:52231:3&gt;  rdf:type skos:Concept ;  </v>
      </c>
      <c r="V481" s="8" t="str">
        <f t="shared" ref="V481" si="167" xml:space="preserve"> " dcterms:source """ &amp; I481 &amp; """ ; "</f>
        <v xml:space="preserve"> dcterms:source "https://www.lpi.usra.edu/meteor/metbullclass.php?sea=Iron,%20ungrouped" ; </v>
      </c>
      <c r="W481" s="8" t="str">
        <f t="shared" ref="W481" si="168">"skos:definition """ &amp; H481 &amp; """@en ; "</f>
        <v xml:space="preserve">skos:definition "meteorite that is dominantly composed of Fe-Ni metal and that crystallized from a melt and does not fit into any of the established chemical groups"@en ; </v>
      </c>
      <c r="X481" s="8" t="str">
        <f t="shared" si="165"/>
        <v xml:space="preserve"> skos:inScheme &lt;https://mindat.org/etmat/cscheme&gt; ;  </v>
      </c>
      <c r="Y481" s="8" t="str">
        <f t="shared" si="153"/>
        <v xml:space="preserve">skos:prefLabel "Ungrouped iron meteorite"@en ; rdfs:label "Ungrouped iron meteorite"@en ; </v>
      </c>
      <c r="Z481" s="8" t="str">
        <f t="shared" si="154"/>
        <v xml:space="preserve"> skos:notation  "Iron, ungrouped"@en ; </v>
      </c>
      <c r="AA481" s="8" t="str">
        <f t="shared" si="160"/>
        <v>dcterms:source "https://www.lpi.usra.edu/meteor/metbullclass.php?sea=Iron,%20ungrouped";</v>
      </c>
      <c r="AB481" s="8" t="str">
        <f t="shared" si="161"/>
        <v xml:space="preserve">skos:broader &lt;etma:1:1:49960:8&gt; ; </v>
      </c>
      <c r="AC481" s="8" t="str">
        <f t="shared" ca="1" si="162"/>
        <v>dcterms:modified "2023-06-20T08:57";  .</v>
      </c>
      <c r="AD481" s="10" t="str">
        <f t="shared" ca="1" si="155"/>
        <v>&lt;etma:1:1:52231:3&gt;  rdf:type skos:Concept ;     dcterms:source "https://www.lpi.usra.edu/meteor/metbullclass.php?sea=Iron,%20ungrouped" ;   skos:definition "meteorite that is dominantly composed of Fe-Ni metal and that crystallized from a melt and does not fit into any of the established chemical groups"@en ;    skos:inScheme &lt;https://mindat.org/etmat/cscheme&gt; ;    skos:prefLabel "Ungrouped iron meteorite"@en ; rdfs:label "Ungrouped iron meteorite"@en ;    skos:notation  "Iron, ungrouped"@en ;   dcterms:source "https://www.lpi.usra.edu/meteor/metbullclass.php?sea=Iron,%20ungrouped";  skos:broader &lt;etma:1:1:49960:8&gt; ;   dcterms:modified "2023-06-20T08:57";  .</v>
      </c>
      <c r="AE481" s="8" t="s">
        <v>2591</v>
      </c>
    </row>
    <row r="482" spans="1:31" x14ac:dyDescent="0.25">
      <c r="A482" s="8">
        <v>432</v>
      </c>
      <c r="B482" s="8" t="s">
        <v>2166</v>
      </c>
      <c r="C482" s="8">
        <v>52237</v>
      </c>
      <c r="D482" s="8" t="s">
        <v>2164</v>
      </c>
      <c r="E482" s="8" t="s">
        <v>2165</v>
      </c>
      <c r="F482" s="9">
        <v>7</v>
      </c>
      <c r="G482" s="9" t="s">
        <v>14</v>
      </c>
      <c r="H482" s="1" t="s">
        <v>2167</v>
      </c>
      <c r="I482" s="8" t="str">
        <f t="shared" ref="I482:I502" si="169">"https://www.mindat.org/min-"&amp; C482 &amp; ".html"</f>
        <v>https://www.mindat.org/min-52237.html</v>
      </c>
      <c r="J482" s="8">
        <v>49514</v>
      </c>
      <c r="K482" s="8" t="s">
        <v>2302</v>
      </c>
      <c r="N482" s="9">
        <v>1</v>
      </c>
      <c r="O482" s="9" t="s">
        <v>2249</v>
      </c>
      <c r="R482" s="8" t="s">
        <v>2166</v>
      </c>
      <c r="S482" s="11">
        <v>43048.744618055556</v>
      </c>
      <c r="U482" s="8" t="str">
        <f t="shared" ref="U482:U502" si="170">"&lt;etma:"&amp;D482&amp; "&gt;  rdf:type skos:Concept ;  "</f>
        <v xml:space="preserve">&lt;etma:1:1:52237:7&gt;  rdf:type skos:Concept ;  </v>
      </c>
      <c r="V482" s="8" t="str">
        <f t="shared" ref="V482:V502" si="171" xml:space="preserve"> " dcterms:source """ &amp; I482 &amp; """ ; "</f>
        <v xml:space="preserve"> dcterms:source "https://www.mindat.org/min-52237.html" ; </v>
      </c>
      <c r="W482" s="8" t="str">
        <f t="shared" ref="W482:W502" si="172">"skos:definition """ &amp; H482 &amp; """@en ; "</f>
        <v xml:space="preserve">skos:definition "A highly altered object that is likely to have a meteoritic origin. These are dominantly (&gt;95%) composed of secondary minerals formed from alteration after it landed."@en ; </v>
      </c>
      <c r="X482" s="8" t="str">
        <f t="shared" si="165"/>
        <v xml:space="preserve"> skos:inScheme &lt;https://mindat.org/etmat/cscheme&gt; ;  </v>
      </c>
      <c r="Y482" s="8" t="str">
        <f t="shared" ref="Y482:Y502" si="173">"skos:prefLabel """ &amp; B482 &amp; """@en ; rdfs:label """ &amp; B482 &amp; """@en ; "</f>
        <v xml:space="preserve">skos:prefLabel "Relict meteorite"@en ; rdfs:label "Relict meteorite"@en ; </v>
      </c>
      <c r="Z482" s="8" t="str">
        <f t="shared" ref="Z482:Z502" si="174">IF(ISBLANK(Q482),"", "skos:altLabel """&amp;Q482&amp;"""@en ; ") &amp; IF(ISBLANK(P482),"", "skos:exactMatch  &lt;etma:"&amp;P482&amp;"&gt; ; ") &amp;  IF(ISBLANK(R482),"", " skos:notation  """&amp; R482 &amp;"""@en ; ")</f>
        <v xml:space="preserve"> skos:notation  "Relict meteorite"@en ; </v>
      </c>
      <c r="AA482" s="8" t="str">
        <f t="shared" si="160"/>
        <v>dcterms:source "https://www.lpi.usra.edu/meteor/metbullclass.php?sea=Relict%20meteorite";</v>
      </c>
      <c r="AB482" s="8" t="str">
        <f t="shared" si="161"/>
        <v xml:space="preserve">skos:broader &lt;etma:1:1:49514:3&gt; ; </v>
      </c>
      <c r="AC482" s="8" t="str">
        <f t="shared" si="162"/>
        <v>dcterms:modified "2017-11-09T17:52";  .</v>
      </c>
      <c r="AD482" s="10" t="str">
        <f t="shared" ref="AD482:AD502" si="175">_xlfn.TEXTJOIN("  ", TRUE, U482:AC482)</f>
        <v>&lt;etma:1:1:52237:7&gt;  rdf:type skos:Concept ;     dcterms:source "https://www.mindat.org/min-52237.html" ;   skos:definition "A highly altered object that is likely to have a meteoritic origin. These are dominantly (&gt;95%) composed of secondary minerals formed from alteration after it landed."@en ;    skos:inScheme &lt;https://mindat.org/etmat/cscheme&gt; ;    skos:prefLabel "Relict meteorite"@en ; rdfs:label "Relict meteorite"@en ;    skos:notation  "Relict meteorite"@en ;   dcterms:source "https://www.lpi.usra.edu/meteor/metbullclass.php?sea=Relict%20meteorite";  skos:broader &lt;etma:1:1:49514:3&gt; ;   dcterms:modified "2017-11-09T17:52";  .</v>
      </c>
      <c r="AE482" s="8" t="s">
        <v>2591</v>
      </c>
    </row>
    <row r="483" spans="1:31" x14ac:dyDescent="0.25">
      <c r="A483" s="8">
        <v>433</v>
      </c>
      <c r="B483" s="8" t="s">
        <v>2170</v>
      </c>
      <c r="C483" s="8">
        <v>52238</v>
      </c>
      <c r="D483" s="8" t="s">
        <v>2168</v>
      </c>
      <c r="E483" s="8" t="s">
        <v>2169</v>
      </c>
      <c r="F483" s="9">
        <v>7</v>
      </c>
      <c r="G483" s="9" t="s">
        <v>14</v>
      </c>
      <c r="H483" s="1" t="s">
        <v>2171</v>
      </c>
      <c r="I483" s="8" t="str">
        <f t="shared" si="169"/>
        <v>https://www.mindat.org/min-52238.html</v>
      </c>
      <c r="J483" s="8">
        <v>52237</v>
      </c>
      <c r="K483" s="8" t="s">
        <v>2164</v>
      </c>
      <c r="N483" s="9">
        <v>0</v>
      </c>
      <c r="O483" s="9" t="s">
        <v>2249</v>
      </c>
      <c r="R483" s="8" t="s">
        <v>2172</v>
      </c>
      <c r="S483" s="11">
        <v>43048.74523148148</v>
      </c>
      <c r="U483" s="8" t="str">
        <f t="shared" si="170"/>
        <v xml:space="preserve">&lt;etma:1:1:52238:6&gt;  rdf:type skos:Concept ;  </v>
      </c>
      <c r="V483" s="8" t="str">
        <f t="shared" si="171"/>
        <v xml:space="preserve"> dcterms:source "https://www.mindat.org/min-52238.html" ; </v>
      </c>
      <c r="W483" s="8" t="str">
        <f t="shared" si="172"/>
        <v xml:space="preserve">skos:definition "A relict meteorite that originated as an H group ordinary chondrite."@en ; </v>
      </c>
      <c r="X483" s="8" t="str">
        <f t="shared" si="165"/>
        <v xml:space="preserve"> skos:inScheme &lt;https://mindat.org/etmat/cscheme&gt; ;  </v>
      </c>
      <c r="Y483" s="8" t="str">
        <f t="shared" si="173"/>
        <v xml:space="preserve">skos:prefLabel "Relict H meteorite"@en ; rdfs:label "Relict H meteorite"@en ; </v>
      </c>
      <c r="Z483" s="8" t="str">
        <f t="shared" si="174"/>
        <v xml:space="preserve"> skos:notation  "Relict H"@en ; </v>
      </c>
      <c r="AA483" s="8" t="str">
        <f t="shared" si="160"/>
        <v>dcterms:source "https://www.lpi.usra.edu/meteor/metbullclass.php?sea=Relict%20H";</v>
      </c>
      <c r="AB483" s="8" t="str">
        <f t="shared" si="161"/>
        <v xml:space="preserve">skos:broader &lt;etma:1:1:52237:7&gt; ; </v>
      </c>
      <c r="AC483" s="8" t="str">
        <f t="shared" si="162"/>
        <v>dcterms:modified "2017-11-09T17:53";  .</v>
      </c>
      <c r="AD483" s="10" t="str">
        <f t="shared" si="175"/>
        <v>&lt;etma:1:1:52238:6&gt;  rdf:type skos:Concept ;     dcterms:source "https://www.mindat.org/min-52238.html" ;   skos:definition "A relict meteorite that originated as an H group ordinary chondrite."@en ;    skos:inScheme &lt;https://mindat.org/etmat/cscheme&gt; ;    skos:prefLabel "Relict H meteorite"@en ; rdfs:label "Relict H meteorite"@en ;    skos:notation  "Relict H"@en ;   dcterms:source "https://www.lpi.usra.edu/meteor/metbullclass.php?sea=Relict%20H";  skos:broader &lt;etma:1:1:52237:7&gt; ;   dcterms:modified "2017-11-09T17:53";  .</v>
      </c>
      <c r="AE483" s="8" t="s">
        <v>2591</v>
      </c>
    </row>
    <row r="484" spans="1:31" x14ac:dyDescent="0.25">
      <c r="A484" s="8">
        <v>434</v>
      </c>
      <c r="B484" s="8" t="s">
        <v>2175</v>
      </c>
      <c r="C484" s="8">
        <v>52239</v>
      </c>
      <c r="D484" s="8" t="s">
        <v>2173</v>
      </c>
      <c r="E484" s="8" t="s">
        <v>2174</v>
      </c>
      <c r="F484" s="9">
        <v>7</v>
      </c>
      <c r="G484" s="9" t="s">
        <v>14</v>
      </c>
      <c r="H484" s="1" t="s">
        <v>2176</v>
      </c>
      <c r="I484" s="8" t="str">
        <f t="shared" si="169"/>
        <v>https://www.mindat.org/min-52239.html</v>
      </c>
      <c r="J484" s="8">
        <v>52237</v>
      </c>
      <c r="K484" s="8" t="s">
        <v>2164</v>
      </c>
      <c r="N484" s="9">
        <v>0</v>
      </c>
      <c r="O484" s="9" t="s">
        <v>2249</v>
      </c>
      <c r="R484" s="8" t="s">
        <v>2177</v>
      </c>
      <c r="S484" s="11">
        <v>43048.756898148145</v>
      </c>
      <c r="U484" s="8" t="str">
        <f t="shared" si="170"/>
        <v xml:space="preserve">&lt;etma:1:1:52239:5&gt;  rdf:type skos:Concept ;  </v>
      </c>
      <c r="V484" s="8" t="str">
        <f t="shared" si="171"/>
        <v xml:space="preserve"> dcterms:source "https://www.mindat.org/min-52239.html" ; </v>
      </c>
      <c r="W484" s="8" t="str">
        <f t="shared" si="172"/>
        <v xml:space="preserve">skos:definition "A relict meteorite that originated as an iron meteorite."@en ; </v>
      </c>
      <c r="X484" s="8" t="str">
        <f t="shared" si="165"/>
        <v xml:space="preserve"> skos:inScheme &lt;https://mindat.org/etmat/cscheme&gt; ;  </v>
      </c>
      <c r="Y484" s="8" t="str">
        <f t="shared" si="173"/>
        <v xml:space="preserve">skos:prefLabel "Relict iron meteorite"@en ; rdfs:label "Relict iron meteorite"@en ; </v>
      </c>
      <c r="Z484" s="8" t="str">
        <f t="shared" si="174"/>
        <v xml:space="preserve"> skos:notation  "Relict iron"@en ; </v>
      </c>
      <c r="AA484" s="8" t="str">
        <f t="shared" si="160"/>
        <v>dcterms:source "https://www.lpi.usra.edu/meteor/metbullclass.php?sea=Relict%20iron";</v>
      </c>
      <c r="AB484" s="8" t="str">
        <f t="shared" si="161"/>
        <v xml:space="preserve">skos:broader &lt;etma:1:1:52237:7&gt; ; </v>
      </c>
      <c r="AC484" s="8" t="str">
        <f t="shared" si="162"/>
        <v>dcterms:modified "2017-11-09T18:09";  .</v>
      </c>
      <c r="AD484" s="10" t="str">
        <f t="shared" si="175"/>
        <v>&lt;etma:1:1:52239:5&gt;  rdf:type skos:Concept ;     dcterms:source "https://www.mindat.org/min-52239.html" ;   skos:definition "A relict meteorite that originated as an iron meteorite."@en ;    skos:inScheme &lt;https://mindat.org/etmat/cscheme&gt; ;    skos:prefLabel "Relict iron meteorite"@en ; rdfs:label "Relict iron meteorite"@en ;    skos:notation  "Relict iron"@en ;   dcterms:source "https://www.lpi.usra.edu/meteor/metbullclass.php?sea=Relict%20iron";  skos:broader &lt;etma:1:1:52237:7&gt; ;   dcterms:modified "2017-11-09T18:09";  .</v>
      </c>
      <c r="AE484" s="8" t="s">
        <v>2591</v>
      </c>
    </row>
    <row r="485" spans="1:31" x14ac:dyDescent="0.25">
      <c r="A485" s="8">
        <v>435</v>
      </c>
      <c r="B485" s="8" t="s">
        <v>2180</v>
      </c>
      <c r="C485" s="8">
        <v>52240</v>
      </c>
      <c r="D485" s="8" t="s">
        <v>2178</v>
      </c>
      <c r="E485" s="8" t="s">
        <v>2179</v>
      </c>
      <c r="F485" s="9">
        <v>7</v>
      </c>
      <c r="G485" s="9" t="s">
        <v>14</v>
      </c>
      <c r="H485" s="1" t="s">
        <v>2181</v>
      </c>
      <c r="I485" s="8" t="str">
        <f t="shared" si="169"/>
        <v>https://www.mindat.org/min-52240.html</v>
      </c>
      <c r="J485" s="8">
        <v>52237</v>
      </c>
      <c r="K485" s="8" t="s">
        <v>2164</v>
      </c>
      <c r="N485" s="9">
        <v>0</v>
      </c>
      <c r="O485" s="9" t="s">
        <v>2249</v>
      </c>
      <c r="R485" s="8" t="s">
        <v>2182</v>
      </c>
      <c r="S485" s="11">
        <v>43048.766076388885</v>
      </c>
      <c r="U485" s="8" t="str">
        <f t="shared" si="170"/>
        <v xml:space="preserve">&lt;etma:1:1:52240:1&gt;  rdf:type skos:Concept ;  </v>
      </c>
      <c r="V485" s="8" t="str">
        <f t="shared" si="171"/>
        <v xml:space="preserve"> dcterms:source "https://www.mindat.org/min-52240.html" ; </v>
      </c>
      <c r="W485" s="8" t="str">
        <f t="shared" si="172"/>
        <v xml:space="preserve">skos:definition "A relict meteorite that originated as an ordinary chondrite."@en ; </v>
      </c>
      <c r="X485" s="8" t="str">
        <f t="shared" si="165"/>
        <v xml:space="preserve"> skos:inScheme &lt;https://mindat.org/etmat/cscheme&gt; ;  </v>
      </c>
      <c r="Y485" s="8" t="str">
        <f t="shared" si="173"/>
        <v xml:space="preserve">skos:prefLabel "Relict OC meteorite"@en ; rdfs:label "Relict OC meteorite"@en ; </v>
      </c>
      <c r="Z485" s="8" t="str">
        <f t="shared" si="174"/>
        <v xml:space="preserve"> skos:notation  "Relict OC"@en ; </v>
      </c>
      <c r="AA485" s="8" t="str">
        <f t="shared" si="160"/>
        <v>dcterms:source "https://www.lpi.usra.edu/meteor/metbullclass.php?sea=Relict%20OC";</v>
      </c>
      <c r="AB485" s="8" t="str">
        <f t="shared" si="161"/>
        <v xml:space="preserve">skos:broader &lt;etma:1:1:52237:7&gt; ; </v>
      </c>
      <c r="AC485" s="8" t="str">
        <f t="shared" si="162"/>
        <v>dcterms:modified "2017-11-09T18:23";  .</v>
      </c>
      <c r="AD485" s="10" t="str">
        <f t="shared" si="175"/>
        <v>&lt;etma:1:1:52240:1&gt;  rdf:type skos:Concept ;     dcterms:source "https://www.mindat.org/min-52240.html" ;   skos:definition "A relict meteorite that originated as an ordinary chondrite."@en ;    skos:inScheme &lt;https://mindat.org/etmat/cscheme&gt; ;    skos:prefLabel "Relict OC meteorite"@en ; rdfs:label "Relict OC meteorite"@en ;    skos:notation  "Relict OC"@en ;   dcterms:source "https://www.lpi.usra.edu/meteor/metbullclass.php?sea=Relict%20OC";  skos:broader &lt;etma:1:1:52237:7&gt; ;   dcterms:modified "2017-11-09T18:23";  .</v>
      </c>
      <c r="AE485" s="8" t="s">
        <v>2591</v>
      </c>
    </row>
    <row r="486" spans="1:31" x14ac:dyDescent="0.25">
      <c r="A486" s="8">
        <v>436</v>
      </c>
      <c r="B486" s="8" t="s">
        <v>2185</v>
      </c>
      <c r="C486" s="8">
        <v>52241</v>
      </c>
      <c r="D486" s="8" t="s">
        <v>2183</v>
      </c>
      <c r="E486" s="8" t="s">
        <v>2184</v>
      </c>
      <c r="F486" s="9">
        <v>7</v>
      </c>
      <c r="G486" s="9" t="s">
        <v>14</v>
      </c>
      <c r="H486" s="1" t="s">
        <v>2186</v>
      </c>
      <c r="I486" s="8" t="str">
        <f t="shared" si="169"/>
        <v>https://www.mindat.org/min-52241.html</v>
      </c>
      <c r="J486" s="8">
        <v>52237</v>
      </c>
      <c r="K486" s="8" t="s">
        <v>2164</v>
      </c>
      <c r="N486" s="9">
        <v>0</v>
      </c>
      <c r="O486" s="9" t="s">
        <v>2249</v>
      </c>
      <c r="R486" s="8" t="s">
        <v>2187</v>
      </c>
      <c r="S486" s="11">
        <v>43048.774282407408</v>
      </c>
      <c r="U486" s="8" t="str">
        <f t="shared" si="170"/>
        <v xml:space="preserve">&lt;etma:1:1:52241:0&gt;  rdf:type skos:Concept ;  </v>
      </c>
      <c r="V486" s="8" t="str">
        <f t="shared" si="171"/>
        <v xml:space="preserve"> dcterms:source "https://www.mindat.org/min-52241.html" ; </v>
      </c>
      <c r="W486" s="8" t="str">
        <f t="shared" si="172"/>
        <v xml:space="preserve">skos:definition "A relict meteorite that originated as a ureilite."@en ; </v>
      </c>
      <c r="X486" s="8" t="str">
        <f t="shared" si="165"/>
        <v xml:space="preserve"> skos:inScheme &lt;https://mindat.org/etmat/cscheme&gt; ;  </v>
      </c>
      <c r="Y486" s="8" t="str">
        <f t="shared" si="173"/>
        <v xml:space="preserve">skos:prefLabel "Relict ureilite meteorite"@en ; rdfs:label "Relict ureilite meteorite"@en ; </v>
      </c>
      <c r="Z486" s="8" t="str">
        <f t="shared" si="174"/>
        <v xml:space="preserve"> skos:notation  "Relict ureilite"@en ; </v>
      </c>
      <c r="AA486" s="8" t="str">
        <f t="shared" si="160"/>
        <v>dcterms:source "https://www.lpi.usra.edu/meteor/metbullclass.php?sea=Relict%20ureilite";</v>
      </c>
      <c r="AB486" s="8" t="str">
        <f t="shared" si="161"/>
        <v xml:space="preserve">skos:broader &lt;etma:1:1:52237:7&gt; ; </v>
      </c>
      <c r="AC486" s="8" t="str">
        <f t="shared" si="162"/>
        <v>dcterms:modified "2017-11-09T18:34";  .</v>
      </c>
      <c r="AD486" s="10" t="str">
        <f t="shared" si="175"/>
        <v>&lt;etma:1:1:52241:0&gt;  rdf:type skos:Concept ;     dcterms:source "https://www.mindat.org/min-52241.html" ;   skos:definition "A relict meteorite that originated as a ureilite."@en ;    skos:inScheme &lt;https://mindat.org/etmat/cscheme&gt; ;    skos:prefLabel "Relict ureilite meteorite"@en ; rdfs:label "Relict ureilite meteorite"@en ;    skos:notation  "Relict ureilite"@en ;   dcterms:source "https://www.lpi.usra.edu/meteor/metbullclass.php?sea=Relict%20ureilite";  skos:broader &lt;etma:1:1:52237:7&gt; ;   dcterms:modified "2017-11-09T18:34";  .</v>
      </c>
      <c r="AE486" s="8" t="s">
        <v>2591</v>
      </c>
    </row>
    <row r="487" spans="1:31" x14ac:dyDescent="0.25">
      <c r="A487" s="8">
        <v>437</v>
      </c>
      <c r="B487" s="8" t="s">
        <v>2190</v>
      </c>
      <c r="C487" s="8">
        <v>52360</v>
      </c>
      <c r="D487" s="8" t="s">
        <v>2188</v>
      </c>
      <c r="E487" s="8" t="s">
        <v>2189</v>
      </c>
      <c r="F487" s="9">
        <v>7</v>
      </c>
      <c r="G487" s="9" t="s">
        <v>14</v>
      </c>
      <c r="H487" s="1" t="s">
        <v>2191</v>
      </c>
      <c r="I487" s="8" t="str">
        <f t="shared" si="169"/>
        <v>https://www.mindat.org/min-52360.html</v>
      </c>
      <c r="J487" s="8">
        <v>49819</v>
      </c>
      <c r="K487" s="8" t="s">
        <v>1363</v>
      </c>
      <c r="N487" s="9">
        <v>0</v>
      </c>
      <c r="O487" s="9" t="s">
        <v>2249</v>
      </c>
      <c r="R487" s="8" t="s">
        <v>2192</v>
      </c>
      <c r="S487" s="11">
        <v>43050.457905092589</v>
      </c>
      <c r="U487" s="8" t="str">
        <f t="shared" si="170"/>
        <v xml:space="preserve">&lt;etma:1:1:52360:4&gt;  rdf:type skos:Concept ;  </v>
      </c>
      <c r="V487" s="8" t="str">
        <f t="shared" si="171"/>
        <v xml:space="preserve"> dcterms:source "https://www.mindat.org/min-52360.html" ; </v>
      </c>
      <c r="W487" s="8" t="str">
        <f t="shared" si="172"/>
        <v xml:space="preserve">skos:definition "An enstatite chondrite of the EH group that is petrologic type 7 and has anomalous properties."@en ; </v>
      </c>
      <c r="X487" s="8" t="str">
        <f t="shared" si="165"/>
        <v xml:space="preserve"> skos:inScheme &lt;https://mindat.org/etmat/cscheme&gt; ;  </v>
      </c>
      <c r="Y487" s="8" t="str">
        <f t="shared" si="173"/>
        <v xml:space="preserve">skos:prefLabel "Anomalous EH7 chondrite meteorite"@en ; rdfs:label "Anomalous EH7 chondrite meteorite"@en ; </v>
      </c>
      <c r="Z487" s="8" t="str">
        <f t="shared" si="174"/>
        <v xml:space="preserve"> skos:notation  "EH7-an"@en ; </v>
      </c>
      <c r="AA487" s="8" t="str">
        <f t="shared" si="160"/>
        <v>dcterms:source "https://www.lpi.usra.edu/meteor/metbullclass.php?sea=EH7-an";</v>
      </c>
      <c r="AB487" s="8" t="str">
        <f t="shared" si="161"/>
        <v xml:space="preserve">skos:broader &lt;etma:1:1:49819:5&gt; ; </v>
      </c>
      <c r="AC487" s="8" t="str">
        <f t="shared" si="162"/>
        <v>dcterms:modified "2017-11-11T10:59";  .</v>
      </c>
      <c r="AD487" s="10" t="str">
        <f t="shared" si="175"/>
        <v>&lt;etma:1:1:52360:4&gt;  rdf:type skos:Concept ;     dcterms:source "https://www.mindat.org/min-52360.html" ;   skos:definition "An enstatite chondrite of the EH group that is petrologic type 7 and has anomalous properties."@en ;    skos:inScheme &lt;https://mindat.org/etmat/cscheme&gt; ;    skos:prefLabel "Anomalous EH7 chondrite meteorite"@en ; rdfs:label "Anomalous EH7 chondrite meteorite"@en ;    skos:notation  "EH7-an"@en ;   dcterms:source "https://www.lpi.usra.edu/meteor/metbullclass.php?sea=EH7-an";  skos:broader &lt;etma:1:1:49819:5&gt; ;   dcterms:modified "2017-11-11T10:59";  .</v>
      </c>
      <c r="AE487" s="8" t="s">
        <v>2591</v>
      </c>
    </row>
    <row r="488" spans="1:31" x14ac:dyDescent="0.25">
      <c r="A488" s="8">
        <v>438</v>
      </c>
      <c r="B488" s="8" t="s">
        <v>2195</v>
      </c>
      <c r="C488" s="8">
        <v>52368</v>
      </c>
      <c r="D488" s="8" t="s">
        <v>2193</v>
      </c>
      <c r="E488" s="8" t="s">
        <v>2194</v>
      </c>
      <c r="F488" s="9">
        <v>7</v>
      </c>
      <c r="G488" s="9" t="s">
        <v>14</v>
      </c>
      <c r="H488" s="1" t="s">
        <v>2196</v>
      </c>
      <c r="I488" s="8" t="str">
        <f t="shared" si="169"/>
        <v>https://www.mindat.org/min-52368.html</v>
      </c>
      <c r="J488" s="8">
        <v>49585</v>
      </c>
      <c r="K488" s="8" t="s">
        <v>315</v>
      </c>
      <c r="N488" s="9">
        <v>0</v>
      </c>
      <c r="O488" s="9" t="s">
        <v>2249</v>
      </c>
      <c r="R488" s="8" t="s">
        <v>2197</v>
      </c>
      <c r="S488" s="11">
        <v>43050.53334490741</v>
      </c>
      <c r="U488" s="8" t="str">
        <f t="shared" si="170"/>
        <v xml:space="preserve">&lt;etma:1:1:52368:6&gt;  rdf:type skos:Concept ;  </v>
      </c>
      <c r="V488" s="8" t="str">
        <f t="shared" si="171"/>
        <v xml:space="preserve"> dcterms:source "https://www.mindat.org/min-52368.html" ; </v>
      </c>
      <c r="W488" s="8" t="str">
        <f t="shared" si="172"/>
        <v xml:space="preserve">skos:definition "An H chondrite meteorite that is of petrologic type 3.3"@en ; </v>
      </c>
      <c r="X488" s="8" t="str">
        <f t="shared" si="165"/>
        <v xml:space="preserve"> skos:inScheme &lt;https://mindat.org/etmat/cscheme&gt; ;  </v>
      </c>
      <c r="Y488" s="8" t="str">
        <f t="shared" si="173"/>
        <v xml:space="preserve">skos:prefLabel "H3.3 chondrite meteorite"@en ; rdfs:label "H3.3 chondrite meteorite"@en ; </v>
      </c>
      <c r="Z488" s="8" t="str">
        <f t="shared" si="174"/>
        <v xml:space="preserve"> skos:notation  "H3.3"@en ; </v>
      </c>
      <c r="AA488" s="8" t="str">
        <f t="shared" si="160"/>
        <v>dcterms:source "https://www.lpi.usra.edu/meteor/metbullclass.php?sea=H3.3";</v>
      </c>
      <c r="AB488" s="8" t="str">
        <f t="shared" si="161"/>
        <v xml:space="preserve">skos:broader &lt;etma:1:1:49585:1&gt; ; </v>
      </c>
      <c r="AC488" s="8" t="str">
        <f t="shared" si="162"/>
        <v>dcterms:modified "2017-11-11T12:48";  .</v>
      </c>
      <c r="AD488" s="10" t="str">
        <f t="shared" si="175"/>
        <v>&lt;etma:1:1:52368:6&gt;  rdf:type skos:Concept ;     dcterms:source "https://www.mindat.org/min-52368.html" ;   skos:definition "An H chondrite meteorite that is of petrologic type 3.3"@en ;    skos:inScheme &lt;https://mindat.org/etmat/cscheme&gt; ;    skos:prefLabel "H3.3 chondrite meteorite"@en ; rdfs:label "H3.3 chondrite meteorite"@en ;    skos:notation  "H3.3"@en ;   dcterms:source "https://www.lpi.usra.edu/meteor/metbullclass.php?sea=H3.3";  skos:broader &lt;etma:1:1:49585:1&gt; ;   dcterms:modified "2017-11-11T12:48";  .</v>
      </c>
      <c r="AE488" s="8" t="s">
        <v>2591</v>
      </c>
    </row>
    <row r="489" spans="1:31" x14ac:dyDescent="0.25">
      <c r="A489" s="8">
        <v>439</v>
      </c>
      <c r="B489" s="8" t="s">
        <v>2200</v>
      </c>
      <c r="C489" s="8">
        <v>52369</v>
      </c>
      <c r="D489" s="8" t="s">
        <v>2198</v>
      </c>
      <c r="E489" s="8" t="s">
        <v>2199</v>
      </c>
      <c r="F489" s="9">
        <v>7</v>
      </c>
      <c r="G489" s="9" t="s">
        <v>14</v>
      </c>
      <c r="H489" s="1" t="s">
        <v>2201</v>
      </c>
      <c r="I489" s="8" t="str">
        <f t="shared" si="169"/>
        <v>https://www.mindat.org/min-52369.html</v>
      </c>
      <c r="J489" s="8">
        <v>49514</v>
      </c>
      <c r="K489" s="8" t="s">
        <v>2302</v>
      </c>
      <c r="N489" s="9">
        <v>0</v>
      </c>
      <c r="O489" s="9" t="s">
        <v>2249</v>
      </c>
      <c r="R489" s="8" t="s">
        <v>2202</v>
      </c>
      <c r="S489" s="11">
        <v>43050.86550925926</v>
      </c>
      <c r="U489" s="8" t="str">
        <f t="shared" si="170"/>
        <v xml:space="preserve">&lt;etma:1:1:52369:5&gt;  rdf:type skos:Concept ;  </v>
      </c>
      <c r="V489" s="8" t="str">
        <f t="shared" si="171"/>
        <v xml:space="preserve"> dcterms:source "https://www.mindat.org/min-52369.html" ; </v>
      </c>
      <c r="W489" s="8" t="str">
        <f t="shared" si="172"/>
        <v xml:space="preserve">skos:definition "A stony meteorite that has not yet been classified."@en ; </v>
      </c>
      <c r="X489" s="8" t="str">
        <f t="shared" si="165"/>
        <v xml:space="preserve"> skos:inScheme &lt;https://mindat.org/etmat/cscheme&gt; ;  </v>
      </c>
      <c r="Y489" s="8" t="str">
        <f t="shared" si="173"/>
        <v xml:space="preserve">skos:prefLabel "Unclassified stony meteorite"@en ; rdfs:label "Unclassified stony meteorite"@en ; </v>
      </c>
      <c r="Z489" s="8" t="str">
        <f t="shared" si="174"/>
        <v xml:space="preserve"> skos:notation  "Stone-uncl"@en ; </v>
      </c>
      <c r="AA489" s="8" t="str">
        <f t="shared" si="160"/>
        <v>dcterms:source "https://www.lpi.usra.edu/meteor/metbullclass.php?sea=Stone-uncl";</v>
      </c>
      <c r="AB489" s="8" t="str">
        <f t="shared" si="161"/>
        <v xml:space="preserve">skos:broader &lt;etma:1:1:49514:3&gt; ; </v>
      </c>
      <c r="AC489" s="8" t="str">
        <f t="shared" si="162"/>
        <v>dcterms:modified "2017-11-11T20:46";  .</v>
      </c>
      <c r="AD489" s="10" t="str">
        <f t="shared" si="175"/>
        <v>&lt;etma:1:1:52369:5&gt;  rdf:type skos:Concept ;     dcterms:source "https://www.mindat.org/min-52369.html" ;   skos:definition "A stony meteorite that has not yet been classified."@en ;    skos:inScheme &lt;https://mindat.org/etmat/cscheme&gt; ;    skos:prefLabel "Unclassified stony meteorite"@en ; rdfs:label "Unclassified stony meteorite"@en ;    skos:notation  "Stone-uncl"@en ;   dcterms:source "https://www.lpi.usra.edu/meteor/metbullclass.php?sea=Stone-uncl";  skos:broader &lt;etma:1:1:49514:3&gt; ;   dcterms:modified "2017-11-11T20:46";  .</v>
      </c>
      <c r="AE489" s="8" t="s">
        <v>2591</v>
      </c>
    </row>
    <row r="490" spans="1:31" x14ac:dyDescent="0.25">
      <c r="A490" s="8">
        <v>440</v>
      </c>
      <c r="B490" s="8" t="s">
        <v>2205</v>
      </c>
      <c r="C490" s="8">
        <v>52370</v>
      </c>
      <c r="D490" s="8" t="s">
        <v>2203</v>
      </c>
      <c r="E490" s="8" t="s">
        <v>2204</v>
      </c>
      <c r="F490" s="9">
        <v>7</v>
      </c>
      <c r="G490" s="9" t="s">
        <v>14</v>
      </c>
      <c r="H490" s="1" t="s">
        <v>2206</v>
      </c>
      <c r="I490" s="8" t="str">
        <f t="shared" si="169"/>
        <v>https://www.mindat.org/min-52370.html</v>
      </c>
      <c r="J490" s="8">
        <v>49919</v>
      </c>
      <c r="K490" s="8" t="s">
        <v>2335</v>
      </c>
      <c r="N490" s="9">
        <v>0</v>
      </c>
      <c r="O490" s="9" t="s">
        <v>2249</v>
      </c>
      <c r="R490" s="8" t="s">
        <v>2207</v>
      </c>
      <c r="S490" s="11">
        <v>43050.867997685185</v>
      </c>
      <c r="U490" s="8" t="str">
        <f t="shared" si="170"/>
        <v xml:space="preserve">&lt;etma:1:1:52370:1&gt;  rdf:type skos:Concept ;  </v>
      </c>
      <c r="V490" s="8" t="str">
        <f t="shared" si="171"/>
        <v xml:space="preserve"> dcterms:source "https://www.mindat.org/min-52370.html" ; </v>
      </c>
      <c r="W490" s="8" t="str">
        <f t="shared" si="172"/>
        <v xml:space="preserve">skos:definition "An iron meteorite belonging to chemical group IIG"@en ; </v>
      </c>
      <c r="X490" s="8" t="str">
        <f t="shared" si="165"/>
        <v xml:space="preserve"> skos:inScheme &lt;https://mindat.org/etmat/cscheme&gt; ;  </v>
      </c>
      <c r="Y490" s="8" t="str">
        <f t="shared" si="173"/>
        <v xml:space="preserve">skos:prefLabel "IIG iron meteorite"@en ; rdfs:label "IIG iron meteorite"@en ; </v>
      </c>
      <c r="Z490" s="8" t="str">
        <f t="shared" si="174"/>
        <v xml:space="preserve"> skos:notation  "Iron, IIG"@en ; </v>
      </c>
      <c r="AA490" s="8" t="str">
        <f t="shared" si="160"/>
        <v>dcterms:source "https://www.lpi.usra.edu/meteor/metbullclass.php?sea=Iron,%20IIG";</v>
      </c>
      <c r="AB490" s="8" t="str">
        <f t="shared" si="161"/>
        <v xml:space="preserve">skos:broader &lt;etma:1:1:49919:4&gt; ; </v>
      </c>
      <c r="AC490" s="8" t="str">
        <f t="shared" si="162"/>
        <v>dcterms:modified "2017-11-11T20:49";  .</v>
      </c>
      <c r="AD490" s="10" t="str">
        <f t="shared" si="175"/>
        <v>&lt;etma:1:1:52370:1&gt;  rdf:type skos:Concept ;     dcterms:source "https://www.mindat.org/min-52370.html" ;   skos:definition "An iron meteorite belonging to chemical group IIG"@en ;    skos:inScheme &lt;https://mindat.org/etmat/cscheme&gt; ;    skos:prefLabel "IIG iron meteorite"@en ; rdfs:label "IIG iron meteorite"@en ;    skos:notation  "Iron, IIG"@en ;   dcterms:source "https://www.lpi.usra.edu/meteor/metbullclass.php?sea=Iron,%20IIG";  skos:broader &lt;etma:1:1:49919:4&gt; ;   dcterms:modified "2017-11-11T20:49";  .</v>
      </c>
      <c r="AE490" s="8" t="s">
        <v>2591</v>
      </c>
    </row>
    <row r="491" spans="1:31" x14ac:dyDescent="0.25">
      <c r="A491" s="8">
        <v>441</v>
      </c>
      <c r="B491" s="8" t="s">
        <v>2210</v>
      </c>
      <c r="C491" s="8">
        <v>52371</v>
      </c>
      <c r="D491" s="8" t="s">
        <v>2208</v>
      </c>
      <c r="E491" s="8" t="s">
        <v>2209</v>
      </c>
      <c r="F491" s="9">
        <v>7</v>
      </c>
      <c r="G491" s="9" t="s">
        <v>14</v>
      </c>
      <c r="H491" s="1" t="s">
        <v>2211</v>
      </c>
      <c r="I491" s="8" t="str">
        <f t="shared" si="169"/>
        <v>https://www.mindat.org/min-52371.html</v>
      </c>
      <c r="J491" s="8">
        <v>49898</v>
      </c>
      <c r="K491" s="8" t="s">
        <v>1637</v>
      </c>
      <c r="N491" s="9">
        <v>0</v>
      </c>
      <c r="O491" s="9" t="s">
        <v>2249</v>
      </c>
      <c r="R491" s="8" t="s">
        <v>2212</v>
      </c>
      <c r="S491" s="11">
        <v>43050.869062500002</v>
      </c>
      <c r="U491" s="8" t="str">
        <f t="shared" si="170"/>
        <v xml:space="preserve">&lt;etma:1:1:52371:0&gt;  rdf:type skos:Concept ;  </v>
      </c>
      <c r="V491" s="8" t="str">
        <f t="shared" si="171"/>
        <v xml:space="preserve"> dcterms:source "https://www.mindat.org/min-52371.html" ; </v>
      </c>
      <c r="W491" s="8" t="str">
        <f t="shared" si="172"/>
        <v xml:space="preserve">skos:definition "A pallasite that is neither a member of the main group nor the Eagle Station grouplet, and is therefore ungrouped."@en ; </v>
      </c>
      <c r="X491" s="8" t="str">
        <f t="shared" si="165"/>
        <v xml:space="preserve"> skos:inScheme &lt;https://mindat.org/etmat/cscheme&gt; ;  </v>
      </c>
      <c r="Y491" s="8" t="str">
        <f t="shared" si="173"/>
        <v xml:space="preserve">skos:prefLabel "Ungrouped pallasite meteorite"@en ; rdfs:label "Ungrouped pallasite meteorite"@en ; </v>
      </c>
      <c r="Z491" s="8" t="str">
        <f t="shared" si="174"/>
        <v xml:space="preserve"> skos:notation  "Pallasite, ungrouped"@en ; </v>
      </c>
      <c r="AA491" s="8" t="str">
        <f t="shared" si="160"/>
        <v>dcterms:source "https://www.lpi.usra.edu/meteor/metbullclass.php?sea=Pallasite,%20ungrouped";</v>
      </c>
      <c r="AB491" s="8" t="str">
        <f t="shared" si="161"/>
        <v xml:space="preserve">skos:broader &lt;etma:1:1:49898:2&gt; ; </v>
      </c>
      <c r="AC491" s="8" t="str">
        <f t="shared" si="162"/>
        <v>dcterms:modified "2017-11-11T20:51";  .</v>
      </c>
      <c r="AD491" s="10" t="str">
        <f t="shared" si="175"/>
        <v>&lt;etma:1:1:52371:0&gt;  rdf:type skos:Concept ;     dcterms:source "https://www.mindat.org/min-52371.html" ;   skos:definition "A pallasite that is neither a member of the main group nor the Eagle Station grouplet, and is therefore ungrouped."@en ;    skos:inScheme &lt;https://mindat.org/etmat/cscheme&gt; ;    skos:prefLabel "Ungrouped pallasite meteorite"@en ; rdfs:label "Ungrouped pallasite meteorite"@en ;    skos:notation  "Pallasite, ungrouped"@en ;   dcterms:source "https://www.lpi.usra.edu/meteor/metbullclass.php?sea=Pallasite,%20ungrouped";  skos:broader &lt;etma:1:1:49898:2&gt; ;   dcterms:modified "2017-11-11T20:51";  .</v>
      </c>
      <c r="AE491" s="8" t="s">
        <v>2591</v>
      </c>
    </row>
    <row r="492" spans="1:31" x14ac:dyDescent="0.25">
      <c r="A492" s="8">
        <v>442</v>
      </c>
      <c r="B492" s="8" t="s">
        <v>2215</v>
      </c>
      <c r="C492" s="8">
        <v>52372</v>
      </c>
      <c r="D492" s="8" t="s">
        <v>2213</v>
      </c>
      <c r="E492" s="8" t="s">
        <v>2214</v>
      </c>
      <c r="F492" s="9">
        <v>7</v>
      </c>
      <c r="G492" s="9" t="s">
        <v>14</v>
      </c>
      <c r="H492" s="1" t="s">
        <v>2216</v>
      </c>
      <c r="I492" s="8" t="str">
        <f t="shared" si="169"/>
        <v>https://www.mindat.org/min-52372.html</v>
      </c>
      <c r="J492" s="8">
        <v>49873</v>
      </c>
      <c r="K492" s="8" t="s">
        <v>1552</v>
      </c>
      <c r="N492" s="9">
        <v>0</v>
      </c>
      <c r="O492" s="9" t="s">
        <v>2249</v>
      </c>
      <c r="R492" s="8" t="s">
        <v>2217</v>
      </c>
      <c r="S492" s="11">
        <v>43050.880810185183</v>
      </c>
      <c r="U492" s="8" t="str">
        <f t="shared" si="170"/>
        <v xml:space="preserve">&lt;etma:1:1:52372:9&gt;  rdf:type skos:Concept ;  </v>
      </c>
      <c r="V492" s="8" t="str">
        <f t="shared" si="171"/>
        <v xml:space="preserve"> dcterms:source "https://www.mindat.org/min-52372.html" ; </v>
      </c>
      <c r="W492" s="8" t="str">
        <f t="shared" si="172"/>
        <v xml:space="preserve">skos:definition "An aubrite with certain anomalous properties."@en ; </v>
      </c>
      <c r="X492" s="8" t="str">
        <f t="shared" si="165"/>
        <v xml:space="preserve"> skos:inScheme &lt;https://mindat.org/etmat/cscheme&gt; ;  </v>
      </c>
      <c r="Y492" s="8" t="str">
        <f t="shared" si="173"/>
        <v xml:space="preserve">skos:prefLabel "Anomalous aubrite meteorite"@en ; rdfs:label "Anomalous aubrite meteorite"@en ; </v>
      </c>
      <c r="Z492" s="8" t="str">
        <f t="shared" si="174"/>
        <v xml:space="preserve"> skos:notation  "Aubrite-an"@en ; </v>
      </c>
      <c r="AA492" s="8" t="str">
        <f t="shared" si="160"/>
        <v>dcterms:source "https://www.lpi.usra.edu/meteor/metbullclass.php?sea=Aubrite-an";</v>
      </c>
      <c r="AB492" s="8" t="str">
        <f t="shared" si="161"/>
        <v xml:space="preserve">skos:broader &lt;etma:1:1:49873:3&gt; ; </v>
      </c>
      <c r="AC492" s="8" t="str">
        <f t="shared" si="162"/>
        <v>dcterms:modified "2017-11-11T21:08";  .</v>
      </c>
      <c r="AD492" s="10" t="str">
        <f t="shared" si="175"/>
        <v>&lt;etma:1:1:52372:9&gt;  rdf:type skos:Concept ;     dcterms:source "https://www.mindat.org/min-52372.html" ;   skos:definition "An aubrite with certain anomalous properties."@en ;    skos:inScheme &lt;https://mindat.org/etmat/cscheme&gt; ;    skos:prefLabel "Anomalous aubrite meteorite"@en ; rdfs:label "Anomalous aubrite meteorite"@en ;    skos:notation  "Aubrite-an"@en ;   dcterms:source "https://www.lpi.usra.edu/meteor/metbullclass.php?sea=Aubrite-an";  skos:broader &lt;etma:1:1:49873:3&gt; ;   dcterms:modified "2017-11-11T21:08";  .</v>
      </c>
      <c r="AE492" s="8" t="s">
        <v>2591</v>
      </c>
    </row>
    <row r="493" spans="1:31" x14ac:dyDescent="0.25">
      <c r="A493" s="8">
        <v>443</v>
      </c>
      <c r="B493" s="8" t="s">
        <v>2220</v>
      </c>
      <c r="C493" s="8">
        <v>52373</v>
      </c>
      <c r="D493" s="8" t="s">
        <v>2218</v>
      </c>
      <c r="E493" s="8" t="s">
        <v>2219</v>
      </c>
      <c r="F493" s="9">
        <v>7</v>
      </c>
      <c r="G493" s="9" t="s">
        <v>14</v>
      </c>
      <c r="H493" s="1" t="s">
        <v>2221</v>
      </c>
      <c r="I493" s="8" t="str">
        <f t="shared" si="169"/>
        <v>https://www.mindat.org/min-52373.html</v>
      </c>
      <c r="J493" s="8">
        <v>49960</v>
      </c>
      <c r="K493" s="8" t="s">
        <v>1887</v>
      </c>
      <c r="N493" s="9">
        <v>0</v>
      </c>
      <c r="O493" s="9" t="s">
        <v>2249</v>
      </c>
      <c r="R493" s="8" t="s">
        <v>2222</v>
      </c>
      <c r="S493" s="11">
        <v>43050.87159722222</v>
      </c>
      <c r="U493" s="8" t="str">
        <f t="shared" si="170"/>
        <v xml:space="preserve">&lt;etma:1:1:52373:8&gt;  rdf:type skos:Concept ;  </v>
      </c>
      <c r="V493" s="8" t="str">
        <f t="shared" si="171"/>
        <v xml:space="preserve"> dcterms:source "https://www.mindat.org/min-52373.html" ; </v>
      </c>
      <c r="W493" s="8" t="str">
        <f t="shared" si="172"/>
        <v xml:space="preserve">skos:definition "A possible iron meteorite that has not been classified."@en ; </v>
      </c>
      <c r="X493" s="8" t="str">
        <f t="shared" si="165"/>
        <v xml:space="preserve"> skos:inScheme &lt;https://mindat.org/etmat/cscheme&gt; ;  </v>
      </c>
      <c r="Y493" s="8" t="str">
        <f t="shared" si="173"/>
        <v xml:space="preserve">skos:prefLabel "Possible iron meteorite"@en ; rdfs:label "Possible iron meteorite"@en ; </v>
      </c>
      <c r="Z493" s="8" t="str">
        <f t="shared" si="174"/>
        <v xml:space="preserve"> skos:notation  "Iron?"@en ; </v>
      </c>
      <c r="AA493" s="8" t="str">
        <f t="shared" si="160"/>
        <v>dcterms:source "https://www.lpi.usra.edu/meteor/metbullclass.php?sea=Iron?";</v>
      </c>
      <c r="AB493" s="8" t="str">
        <f t="shared" si="161"/>
        <v xml:space="preserve">skos:broader &lt;etma:1:1:49960:8&gt; ; </v>
      </c>
      <c r="AC493" s="8" t="str">
        <f t="shared" si="162"/>
        <v>dcterms:modified "2017-11-11T20:55";  .</v>
      </c>
      <c r="AD493" s="10" t="str">
        <f t="shared" si="175"/>
        <v>&lt;etma:1:1:52373:8&gt;  rdf:type skos:Concept ;     dcterms:source "https://www.mindat.org/min-52373.html" ;   skos:definition "A possible iron meteorite that has not been classified."@en ;    skos:inScheme &lt;https://mindat.org/etmat/cscheme&gt; ;    skos:prefLabel "Possible iron meteorite"@en ; rdfs:label "Possible iron meteorite"@en ;    skos:notation  "Iron?"@en ;   dcterms:source "https://www.lpi.usra.edu/meteor/metbullclass.php?sea=Iron?";  skos:broader &lt;etma:1:1:49960:8&gt; ;   dcterms:modified "2017-11-11T20:55";  .</v>
      </c>
      <c r="AE493" s="8" t="s">
        <v>2591</v>
      </c>
    </row>
    <row r="494" spans="1:31" x14ac:dyDescent="0.25">
      <c r="A494" s="8">
        <v>444</v>
      </c>
      <c r="B494" s="8" t="s">
        <v>2225</v>
      </c>
      <c r="C494" s="8">
        <v>52374</v>
      </c>
      <c r="D494" s="8" t="s">
        <v>2223</v>
      </c>
      <c r="E494" s="8" t="s">
        <v>2224</v>
      </c>
      <c r="F494" s="9">
        <v>7</v>
      </c>
      <c r="G494" s="9" t="s">
        <v>14</v>
      </c>
      <c r="H494" s="1" t="s">
        <v>2226</v>
      </c>
      <c r="I494" s="8" t="str">
        <f t="shared" si="169"/>
        <v>https://www.mindat.org/min-52374.html</v>
      </c>
      <c r="J494" s="8">
        <v>49581</v>
      </c>
      <c r="K494" s="8" t="s">
        <v>305</v>
      </c>
      <c r="N494" s="9">
        <v>0</v>
      </c>
      <c r="O494" s="9" t="s">
        <v>2249</v>
      </c>
      <c r="R494" s="8" t="s">
        <v>2227</v>
      </c>
      <c r="S494" s="11">
        <v>43050.874444444446</v>
      </c>
      <c r="U494" s="8" t="str">
        <f t="shared" si="170"/>
        <v xml:space="preserve">&lt;etma:1:1:52374:7&gt;  rdf:type skos:Concept ;  </v>
      </c>
      <c r="V494" s="8" t="str">
        <f t="shared" si="171"/>
        <v xml:space="preserve"> dcterms:source "https://www.mindat.org/min-52374.html" ; </v>
      </c>
      <c r="W494" s="8" t="str">
        <f t="shared" si="172"/>
        <v xml:space="preserve">skos:definition "An ordinary chondrite, not yet assigned to a group, that is petrologic type 3."@en ; </v>
      </c>
      <c r="X494" s="8" t="str">
        <f t="shared" si="165"/>
        <v xml:space="preserve"> skos:inScheme &lt;https://mindat.org/etmat/cscheme&gt; ;  </v>
      </c>
      <c r="Y494" s="8" t="str">
        <f t="shared" si="173"/>
        <v xml:space="preserve">skos:prefLabel "OC3 chondrite meteorite"@en ; rdfs:label "OC3 chondrite meteorite"@en ; </v>
      </c>
      <c r="Z494" s="8" t="str">
        <f t="shared" si="174"/>
        <v xml:space="preserve"> skos:notation  "OC3"@en ; </v>
      </c>
      <c r="AA494" s="8" t="str">
        <f t="shared" si="160"/>
        <v>dcterms:source "https://www.lpi.usra.edu/meteor/metbullclass.php?sea=OC3";</v>
      </c>
      <c r="AB494" s="8" t="str">
        <f t="shared" si="161"/>
        <v xml:space="preserve">skos:broader &lt;etma:1:1:49581:5&gt; ; </v>
      </c>
      <c r="AC494" s="8" t="str">
        <f t="shared" si="162"/>
        <v>dcterms:modified "2017-11-11T20:59";  .</v>
      </c>
      <c r="AD494" s="10" t="str">
        <f t="shared" si="175"/>
        <v>&lt;etma:1:1:52374:7&gt;  rdf:type skos:Concept ;     dcterms:source "https://www.mindat.org/min-52374.html" ;   skos:definition "An ordinary chondrite, not yet assigned to a group, that is petrologic type 3."@en ;    skos:inScheme &lt;https://mindat.org/etmat/cscheme&gt; ;    skos:prefLabel "OC3 chondrite meteorite"@en ; rdfs:label "OC3 chondrite meteorite"@en ;    skos:notation  "OC3"@en ;   dcterms:source "https://www.lpi.usra.edu/meteor/metbullclass.php?sea=OC3";  skos:broader &lt;etma:1:1:49581:5&gt; ;   dcterms:modified "2017-11-11T20:59";  .</v>
      </c>
      <c r="AE494" s="8" t="s">
        <v>2591</v>
      </c>
    </row>
    <row r="495" spans="1:31" x14ac:dyDescent="0.25">
      <c r="A495" s="8">
        <v>445</v>
      </c>
      <c r="B495" s="8" t="s">
        <v>2230</v>
      </c>
      <c r="C495" s="8">
        <v>52393</v>
      </c>
      <c r="D495" s="8" t="s">
        <v>2228</v>
      </c>
      <c r="E495" s="8" t="s">
        <v>2229</v>
      </c>
      <c r="F495" s="9">
        <v>7</v>
      </c>
      <c r="G495" s="9" t="s">
        <v>14</v>
      </c>
      <c r="H495" s="1" t="s">
        <v>2231</v>
      </c>
      <c r="I495" s="8" t="str">
        <f t="shared" si="169"/>
        <v>https://www.mindat.org/min-52393.html</v>
      </c>
      <c r="J495" s="8">
        <v>49851</v>
      </c>
      <c r="K495" s="8" t="s">
        <v>1468</v>
      </c>
      <c r="N495" s="9">
        <v>0</v>
      </c>
      <c r="O495" s="9" t="s">
        <v>2249</v>
      </c>
      <c r="R495" s="8" t="s">
        <v>2232</v>
      </c>
      <c r="S495" s="11">
        <v>43051.377662037034</v>
      </c>
      <c r="U495" s="8" t="str">
        <f t="shared" si="170"/>
        <v xml:space="preserve">&lt;etma:1:1:52393:2&gt;  rdf:type skos:Concept ;  </v>
      </c>
      <c r="V495" s="8" t="str">
        <f t="shared" si="171"/>
        <v xml:space="preserve"> dcterms:source "https://www.mindat.org/min-52393.html" ; </v>
      </c>
      <c r="W495" s="8" t="str">
        <f t="shared" si="172"/>
        <v xml:space="preserve">skos:definition "An iron meteorite that may belong to the IAB complex."@en ; </v>
      </c>
      <c r="X495" s="8" t="str">
        <f t="shared" si="165"/>
        <v xml:space="preserve"> skos:inScheme &lt;https://mindat.org/etmat/cscheme&gt; ;  </v>
      </c>
      <c r="Y495" s="8" t="str">
        <f t="shared" si="173"/>
        <v xml:space="preserve">skos:prefLabel "Possible IAB complex iron meteorite"@en ; rdfs:label "Possible IAB complex iron meteorite"@en ; </v>
      </c>
      <c r="Z495" s="8" t="str">
        <f t="shared" si="174"/>
        <v xml:space="preserve"> skos:notation  "Iron, IAB?"@en ; </v>
      </c>
      <c r="AA495" s="8" t="str">
        <f t="shared" si="160"/>
        <v>dcterms:source "https://www.lpi.usra.edu/meteor/metbullclass.php?sea=Iron,%20IAB?";</v>
      </c>
      <c r="AB495" s="8" t="str">
        <f t="shared" si="161"/>
        <v xml:space="preserve">skos:broader &lt;etma:1:1:49851:1&gt; ; </v>
      </c>
      <c r="AC495" s="8" t="str">
        <f t="shared" si="162"/>
        <v>dcterms:modified "2017-11-12T09:03";  .</v>
      </c>
      <c r="AD495" s="10" t="str">
        <f t="shared" si="175"/>
        <v>&lt;etma:1:1:52393:2&gt;  rdf:type skos:Concept ;     dcterms:source "https://www.mindat.org/min-52393.html" ;   skos:definition "An iron meteorite that may belong to the IAB complex."@en ;    skos:inScheme &lt;https://mindat.org/etmat/cscheme&gt; ;    skos:prefLabel "Possible IAB complex iron meteorite"@en ; rdfs:label "Possible IAB complex iron meteorite"@en ;    skos:notation  "Iron, IAB?"@en ;   dcterms:source "https://www.lpi.usra.edu/meteor/metbullclass.php?sea=Iron,%20IAB?";  skos:broader &lt;etma:1:1:49851:1&gt; ;   dcterms:modified "2017-11-12T09:03";  .</v>
      </c>
      <c r="AE495" s="8" t="s">
        <v>2591</v>
      </c>
    </row>
    <row r="496" spans="1:31" x14ac:dyDescent="0.25">
      <c r="A496" s="8">
        <v>446</v>
      </c>
      <c r="B496" s="8" t="s">
        <v>2235</v>
      </c>
      <c r="C496" s="8">
        <v>52394</v>
      </c>
      <c r="D496" s="8" t="s">
        <v>2233</v>
      </c>
      <c r="E496" s="8" t="s">
        <v>2234</v>
      </c>
      <c r="F496" s="9">
        <v>7</v>
      </c>
      <c r="G496" s="9" t="s">
        <v>14</v>
      </c>
      <c r="H496" s="1" t="s">
        <v>2581</v>
      </c>
      <c r="I496" s="8" t="str">
        <f t="shared" si="169"/>
        <v>https://www.mindat.org/min-52394.html</v>
      </c>
      <c r="J496" s="8">
        <v>49745</v>
      </c>
      <c r="K496" s="8" t="s">
        <v>1040</v>
      </c>
      <c r="N496" s="9">
        <v>0</v>
      </c>
      <c r="O496" s="9" t="s">
        <v>2249</v>
      </c>
      <c r="R496" s="8" t="s">
        <v>2237</v>
      </c>
      <c r="S496" s="11">
        <v>43051.551030092596</v>
      </c>
      <c r="U496" s="8" t="str">
        <f t="shared" si="170"/>
        <v xml:space="preserve">&lt;etma:1:1:52394:1&gt;  rdf:type skos:Concept ;  </v>
      </c>
      <c r="V496" s="8" t="str">
        <f t="shared" si="171"/>
        <v xml:space="preserve"> dcterms:source "https://www.mindat.org/min-52394.html" ; </v>
      </c>
      <c r="W496" s="8" t="str">
        <f t="shared" si="172"/>
        <v xml:space="preserve">skos:definition "An ordinary chondrite from the LL group that is petrologic type 7. Note: Type 7 designates chondrites which have been metamorphosed to nearly the point of melting. Minerals are equilibrated and chondrules are indistinct or absent. This term is not used consistently or widely accepted in the literature."@en ; </v>
      </c>
      <c r="X496" s="8" t="str">
        <f t="shared" si="165"/>
        <v xml:space="preserve"> skos:inScheme &lt;https://mindat.org/etmat/cscheme&gt; ;  </v>
      </c>
      <c r="Y496" s="8" t="str">
        <f t="shared" si="173"/>
        <v xml:space="preserve">skos:prefLabel "LL7 chondrite meteorite"@en ; rdfs:label "LL7 chondrite meteorite"@en ; </v>
      </c>
      <c r="Z496" s="8" t="str">
        <f t="shared" si="174"/>
        <v xml:space="preserve"> skos:notation  "LL7"@en ; </v>
      </c>
      <c r="AA496" s="8" t="str">
        <f t="shared" si="160"/>
        <v>dcterms:source "https://www.lpi.usra.edu/meteor/metbullclass.php?sea=LL7";</v>
      </c>
      <c r="AB496" s="8" t="str">
        <f t="shared" si="161"/>
        <v xml:space="preserve">skos:broader &lt;etma:1:1:49745:1&gt; ; </v>
      </c>
      <c r="AC496" s="8" t="str">
        <f t="shared" si="162"/>
        <v>dcterms:modified "2017-11-12T13:13";  .</v>
      </c>
      <c r="AD496" s="10" t="str">
        <f t="shared" si="175"/>
        <v>&lt;etma:1:1:52394:1&gt;  rdf:type skos:Concept ;     dcterms:source "https://www.mindat.org/min-52394.html" ;   skos:definition "An ordinary chondrite from the LL group that is petrologic type 7. Note: Type 7 designates chondrites which have been metamorphosed to nearly the point of melting. Minerals are equilibrated and chondrules are indistinct or absent. This term is not used consistently or widely accepted in the literature."@en ;    skos:inScheme &lt;https://mindat.org/etmat/cscheme&gt; ;    skos:prefLabel "LL7 chondrite meteorite"@en ; rdfs:label "LL7 chondrite meteorite"@en ;    skos:notation  "LL7"@en ;   dcterms:source "https://www.lpi.usra.edu/meteor/metbullclass.php?sea=LL7";  skos:broader &lt;etma:1:1:49745:1&gt; ;   dcterms:modified "2017-11-12T13:13";  .</v>
      </c>
      <c r="AE496" s="8" t="s">
        <v>2591</v>
      </c>
    </row>
    <row r="497" spans="1:31" x14ac:dyDescent="0.25">
      <c r="A497" s="8">
        <v>447</v>
      </c>
      <c r="B497" s="8" t="s">
        <v>2240</v>
      </c>
      <c r="C497" s="8">
        <v>52395</v>
      </c>
      <c r="D497" s="8" t="s">
        <v>2238</v>
      </c>
      <c r="E497" s="8" t="s">
        <v>2239</v>
      </c>
      <c r="F497" s="9">
        <v>7</v>
      </c>
      <c r="G497" s="9" t="s">
        <v>14</v>
      </c>
      <c r="H497" s="1" t="s">
        <v>2241</v>
      </c>
      <c r="I497" s="8" t="str">
        <f t="shared" si="169"/>
        <v>https://www.mindat.org/min-52395.html</v>
      </c>
      <c r="J497" s="8">
        <v>52226</v>
      </c>
      <c r="K497" s="8" t="s">
        <v>2140</v>
      </c>
      <c r="N497" s="9">
        <v>0</v>
      </c>
      <c r="O497" s="9" t="s">
        <v>2249</v>
      </c>
      <c r="R497" s="8" t="s">
        <v>2242</v>
      </c>
      <c r="S497" s="11">
        <v>43051.706342592595</v>
      </c>
      <c r="U497" s="8" t="str">
        <f t="shared" si="170"/>
        <v xml:space="preserve">&lt;etma:1:1:52395:0&gt;  rdf:type skos:Concept ;  </v>
      </c>
      <c r="V497" s="8" t="str">
        <f t="shared" si="171"/>
        <v xml:space="preserve"> dcterms:source "https://www.mindat.org/min-52395.html" ; </v>
      </c>
      <c r="W497" s="8" t="str">
        <f t="shared" si="172"/>
        <v xml:space="preserve">skos:definition "An ordinary chondrite from the H group that is petrologic type 3.8 and has anomalous properties."@en ; </v>
      </c>
      <c r="X497" s="8" t="str">
        <f t="shared" si="165"/>
        <v xml:space="preserve"> skos:inScheme &lt;https://mindat.org/etmat/cscheme&gt; ;  </v>
      </c>
      <c r="Y497" s="8" t="str">
        <f t="shared" si="173"/>
        <v xml:space="preserve">skos:prefLabel "Anomalous H3.8 chondrite meteorite"@en ; rdfs:label "Anomalous H3.8 chondrite meteorite"@en ; </v>
      </c>
      <c r="Z497" s="8" t="str">
        <f t="shared" si="174"/>
        <v xml:space="preserve"> skos:notation  "H3.8-an"@en ; </v>
      </c>
      <c r="AA497" s="8" t="str">
        <f t="shared" si="160"/>
        <v>dcterms:source "https://www.lpi.usra.edu/meteor/metbullclass.php?sea=H3.8-an";</v>
      </c>
      <c r="AB497" s="8" t="str">
        <f t="shared" si="161"/>
        <v xml:space="preserve">skos:broader &lt;etma:1:1:52226:1&gt; ; </v>
      </c>
      <c r="AC497" s="8" t="str">
        <f t="shared" si="162"/>
        <v>dcterms:modified "2017-11-12T16:57";  .</v>
      </c>
      <c r="AD497" s="10" t="str">
        <f t="shared" si="175"/>
        <v>&lt;etma:1:1:52395:0&gt;  rdf:type skos:Concept ;     dcterms:source "https://www.mindat.org/min-52395.html" ;   skos:definition "An ordinary chondrite from the H group that is petrologic type 3.8 and has anomalous properties."@en ;    skos:inScheme &lt;https://mindat.org/etmat/cscheme&gt; ;    skos:prefLabel "Anomalous H3.8 chondrite meteorite"@en ; rdfs:label "Anomalous H3.8 chondrite meteorite"@en ;    skos:notation  "H3.8-an"@en ;   dcterms:source "https://www.lpi.usra.edu/meteor/metbullclass.php?sea=H3.8-an";  skos:broader &lt;etma:1:1:52226:1&gt; ;   dcterms:modified "2017-11-12T16:57";  .</v>
      </c>
      <c r="AE497" s="8" t="s">
        <v>2591</v>
      </c>
    </row>
    <row r="498" spans="1:31" x14ac:dyDescent="0.25">
      <c r="A498" s="8">
        <v>448</v>
      </c>
      <c r="B498" s="8" t="s">
        <v>2245</v>
      </c>
      <c r="C498" s="8">
        <v>52396</v>
      </c>
      <c r="D498" s="8" t="s">
        <v>2243</v>
      </c>
      <c r="E498" s="8" t="s">
        <v>2244</v>
      </c>
      <c r="F498" s="9">
        <v>7</v>
      </c>
      <c r="G498" s="9" t="s">
        <v>14</v>
      </c>
      <c r="H498" s="1" t="s">
        <v>2246</v>
      </c>
      <c r="I498" s="8" t="str">
        <f t="shared" si="169"/>
        <v>https://www.mindat.org/min-52396.html</v>
      </c>
      <c r="J498" s="8">
        <v>49560</v>
      </c>
      <c r="K498" s="8" t="s">
        <v>210</v>
      </c>
      <c r="N498" s="9">
        <v>0</v>
      </c>
      <c r="O498" s="9" t="s">
        <v>2249</v>
      </c>
      <c r="R498" s="8" t="s">
        <v>2247</v>
      </c>
      <c r="S498" s="11">
        <v>43051.858159722222</v>
      </c>
      <c r="U498" s="8" t="str">
        <f t="shared" si="170"/>
        <v xml:space="preserve">&lt;etma:1:1:52396:9&gt;  rdf:type skos:Concept ;  </v>
      </c>
      <c r="V498" s="8" t="str">
        <f t="shared" si="171"/>
        <v xml:space="preserve"> dcterms:source "https://www.mindat.org/min-52396.html" ; </v>
      </c>
      <c r="W498" s="8" t="str">
        <f t="shared" si="172"/>
        <v xml:space="preserve">skos:definition "A carbonaceous chondrite of the CO group that is petrologic type 3 and is a breccia with melted material forming the matrix."@en ; </v>
      </c>
      <c r="X498" s="8" t="str">
        <f t="shared" si="165"/>
        <v xml:space="preserve"> skos:inScheme &lt;https://mindat.org/etmat/cscheme&gt; ;  </v>
      </c>
      <c r="Y498" s="8" t="str">
        <f t="shared" si="173"/>
        <v xml:space="preserve">skos:prefLabel "CO3-melt breccia chondrite meteorite"@en ; rdfs:label "CO3-melt breccia chondrite meteorite"@en ; </v>
      </c>
      <c r="Z498" s="8" t="str">
        <f t="shared" si="174"/>
        <v xml:space="preserve"> skos:notation  "CO3-melt breccia"@en ; </v>
      </c>
      <c r="AA498" s="8" t="str">
        <f t="shared" si="160"/>
        <v>dcterms:source "https://www.lpi.usra.edu/meteor/metbullclass.php?sea=CO3-melt%20breccia";</v>
      </c>
      <c r="AB498" s="8" t="str">
        <f t="shared" si="161"/>
        <v xml:space="preserve">skos:broader &lt;etma:1:1:49560:2&gt; ; </v>
      </c>
      <c r="AC498" s="8" t="str">
        <f t="shared" si="162"/>
        <v>dcterms:modified "2017-11-12T20:35";  .</v>
      </c>
      <c r="AD498" s="10" t="str">
        <f t="shared" si="175"/>
        <v>&lt;etma:1:1:52396:9&gt;  rdf:type skos:Concept ;     dcterms:source "https://www.mindat.org/min-52396.html" ;   skos:definition "A carbonaceous chondrite of the CO group that is petrologic type 3 and is a breccia with melted material forming the matrix."@en ;    skos:inScheme &lt;https://mindat.org/etmat/cscheme&gt; ;    skos:prefLabel "CO3-melt breccia chondrite meteorite"@en ; rdfs:label "CO3-melt breccia chondrite meteorite"@en ;    skos:notation  "CO3-melt breccia"@en ;   dcterms:source "https://www.lpi.usra.edu/meteor/metbullclass.php?sea=CO3-melt%20breccia";  skos:broader &lt;etma:1:1:49560:2&gt; ;   dcterms:modified "2017-11-12T20:35";  .</v>
      </c>
      <c r="AE498" s="8" t="s">
        <v>2591</v>
      </c>
    </row>
    <row r="499" spans="1:31" hidden="1" x14ac:dyDescent="0.25">
      <c r="A499" s="8">
        <v>2</v>
      </c>
      <c r="B499" s="8" t="s">
        <v>2279</v>
      </c>
      <c r="C499" s="8">
        <v>52720</v>
      </c>
      <c r="D499" s="8" t="s">
        <v>2280</v>
      </c>
      <c r="E499" s="8" t="s">
        <v>2281</v>
      </c>
      <c r="F499" s="9">
        <v>7</v>
      </c>
      <c r="G499" s="9" t="s">
        <v>14</v>
      </c>
      <c r="H499" s="1" t="s">
        <v>2282</v>
      </c>
      <c r="I499" s="8" t="str">
        <f t="shared" si="169"/>
        <v>https://www.mindat.org/min-52720.html</v>
      </c>
      <c r="J499" s="8">
        <v>49960</v>
      </c>
      <c r="K499" s="8" t="s">
        <v>1887</v>
      </c>
      <c r="N499" s="9">
        <v>0</v>
      </c>
      <c r="S499" s="11">
        <v>43836.850451388891</v>
      </c>
      <c r="U499" s="8" t="str">
        <f t="shared" si="170"/>
        <v xml:space="preserve">&lt;etma:1:1:52720:2&gt;  rdf:type skos:Concept ;  </v>
      </c>
      <c r="V499" s="8" t="str">
        <f t="shared" si="171"/>
        <v xml:space="preserve"> dcterms:source "https://www.mindat.org/min-52720.html" ; </v>
      </c>
      <c r="W499" s="8" t="str">
        <f t="shared" si="172"/>
        <v xml:space="preserve">skos:definition "An obsolete term for an iron meteorite remarkable for a high proportion of nickel."@en ; </v>
      </c>
      <c r="X499" s="8" t="str">
        <f t="shared" si="165"/>
        <v xml:space="preserve"> skos:inScheme &lt;https://mindat.org/etmat/cscheme&gt; ;  </v>
      </c>
      <c r="Y499" s="8" t="str">
        <f t="shared" si="173"/>
        <v xml:space="preserve">skos:prefLabel "Catarinite"@en ; rdfs:label "Catarinite"@en ; </v>
      </c>
      <c r="Z499" s="8" t="str">
        <f t="shared" si="174"/>
        <v/>
      </c>
      <c r="AA499" s="8" t="str">
        <f t="shared" si="160"/>
        <v/>
      </c>
      <c r="AB499" s="8" t="str">
        <f t="shared" si="161"/>
        <v xml:space="preserve">skos:broader &lt;etma:1:1:49960:8&gt; ; </v>
      </c>
      <c r="AC499" s="8" t="str">
        <f t="shared" si="162"/>
        <v>dcterms:modified "2020-01-06T20:24";  .</v>
      </c>
      <c r="AD499" s="10" t="str">
        <f t="shared" si="175"/>
        <v>&lt;etma:1:1:52720:2&gt;  rdf:type skos:Concept ;     dcterms:source "https://www.mindat.org/min-52720.html" ;   skos:definition "An obsolete term for an iron meteorite remarkable for a high proportion of nickel."@en ;    skos:inScheme &lt;https://mindat.org/etmat/cscheme&gt; ;    skos:prefLabel "Catarinite"@en ; rdfs:label "Catarinite"@en ;   skos:broader &lt;etma:1:1:49960:8&gt; ;   dcterms:modified "2020-01-06T20:24";  .</v>
      </c>
      <c r="AE499" s="8" t="s">
        <v>2591</v>
      </c>
    </row>
    <row r="500" spans="1:31" hidden="1" x14ac:dyDescent="0.25">
      <c r="A500" s="8">
        <v>126</v>
      </c>
      <c r="B500" s="8" t="s">
        <v>2261</v>
      </c>
      <c r="C500" s="8">
        <v>52787</v>
      </c>
      <c r="D500" s="8" t="s">
        <v>2262</v>
      </c>
      <c r="E500" s="8" t="s">
        <v>2263</v>
      </c>
      <c r="F500" s="9">
        <v>7</v>
      </c>
      <c r="G500" s="9" t="s">
        <v>14</v>
      </c>
      <c r="H500" s="1" t="s">
        <v>2589</v>
      </c>
      <c r="I500" s="8" t="str">
        <f t="shared" si="169"/>
        <v>https://www.mindat.org/min-52787.html</v>
      </c>
      <c r="J500" s="8">
        <v>49960</v>
      </c>
      <c r="K500" s="8" t="s">
        <v>1887</v>
      </c>
      <c r="N500" s="9">
        <v>0</v>
      </c>
      <c r="S500" s="11">
        <v>43581.428425925929</v>
      </c>
      <c r="U500" s="8" t="str">
        <f t="shared" si="170"/>
        <v xml:space="preserve">&lt;etma:1:1:52787:7&gt;  rdf:type skos:Concept ;  </v>
      </c>
      <c r="V500" s="8" t="str">
        <f t="shared" si="171"/>
        <v xml:space="preserve"> dcterms:source "https://www.mindat.org/min-52787.html" ; </v>
      </c>
      <c r="W500" s="8" t="str">
        <f t="shared" si="172"/>
        <v xml:space="preserve">skos:definition "Ataxites are a structural class of iron meteorites with a high nickel content and show no Widmanstatten patterns upon etching. Ataxites are the most nickel-rich meteorites known; they usually contain over 18 percent nickel. The high nickel content is the reason that they do not develop a Widmanstätten structure, because in this case kamacite can be exsolved from taenite only at such a low temperature (below about 600 degrees C) where diffusion is already too slow. Most ataxites belong to the IVB group or are classified as 'Iron, ungrouped' because they do not fit in any of the groups currently recognized by meteorite classification. Some ataxites belong to the IAB group and fall into the sHL (high-Au, low-Ni subgroup), sLH (low-Au, high-Ni subgroup), sHH (high-Au, high-Ni subgroup) and 'ung' subgroup (does not fit any subgroup of IAB). Only a couple of ataxites have been classified into the IAB complex and the IIF, IVA, IIAB, IIIAB groups."@en ; </v>
      </c>
      <c r="X500" s="8" t="str">
        <f t="shared" si="165"/>
        <v xml:space="preserve"> skos:inScheme &lt;https://mindat.org/etmat/cscheme&gt; ;  </v>
      </c>
      <c r="Y500" s="8" t="str">
        <f t="shared" si="173"/>
        <v xml:space="preserve">skos:prefLabel "Ataxite"@en ; rdfs:label "Ataxite"@en ; </v>
      </c>
      <c r="Z500" s="8" t="str">
        <f t="shared" si="174"/>
        <v/>
      </c>
      <c r="AA500" s="8" t="str">
        <f t="shared" si="160"/>
        <v/>
      </c>
      <c r="AB500" s="8" t="str">
        <f t="shared" si="161"/>
        <v xml:space="preserve">skos:broader &lt;etma:1:1:49960:8&gt; ; </v>
      </c>
      <c r="AC500" s="8" t="str">
        <f t="shared" si="162"/>
        <v>dcterms:modified "2019-04-26T10:16";  .</v>
      </c>
      <c r="AD500" s="10" t="str">
        <f t="shared" si="175"/>
        <v>&lt;etma:1:1:52787:7&gt;  rdf:type skos:Concept ;     dcterms:source "https://www.mindat.org/min-52787.html" ;   skos:definition "Ataxites are a structural class of iron meteorites with a high nickel content and show no Widmanstatten patterns upon etching. Ataxites are the most nickel-rich meteorites known; they usually contain over 18 percent nickel. The high nickel content is the reason that they do not develop a Widmanstätten structure, because in this case kamacite can be exsolved from taenite only at such a low temperature (below about 600 degrees C) where diffusion is already too slow. Most ataxites belong to the IVB group or are classified as 'Iron, ungrouped' because they do not fit in any of the groups currently recognized by meteorite classification. Some ataxites belong to the IAB group and fall into the sHL (high-Au, low-Ni subgroup), sLH (low-Au, high-Ni subgroup), sHH (high-Au, high-Ni subgroup) and 'ung' subgroup (does not fit any subgroup of IAB). Only a couple of ataxites have been classified into the IAB complex and the IIF, IVA, IIAB, IIIAB groups."@en ;    skos:inScheme &lt;https://mindat.org/etmat/cscheme&gt; ;    skos:prefLabel "Ataxite"@en ; rdfs:label "Ataxite"@en ;   skos:broader &lt;etma:1:1:49960:8&gt; ;   dcterms:modified "2019-04-26T10:16";  .</v>
      </c>
      <c r="AE500" s="8" t="s">
        <v>2591</v>
      </c>
    </row>
    <row r="501" spans="1:31" hidden="1" x14ac:dyDescent="0.25">
      <c r="A501" s="8">
        <v>136</v>
      </c>
      <c r="B501" s="8" t="s">
        <v>2384</v>
      </c>
      <c r="C501" s="8">
        <v>54116</v>
      </c>
      <c r="D501" s="8" t="s">
        <v>2385</v>
      </c>
      <c r="E501" s="8" t="s">
        <v>2386</v>
      </c>
      <c r="F501" s="9">
        <v>7</v>
      </c>
      <c r="G501" s="9" t="s">
        <v>14</v>
      </c>
      <c r="H501" s="1" t="s">
        <v>2562</v>
      </c>
      <c r="I501" s="8" t="str">
        <f t="shared" si="169"/>
        <v>https://www.mindat.org/min-54116.html</v>
      </c>
      <c r="J501" s="8">
        <v>49960</v>
      </c>
      <c r="K501" s="8" t="s">
        <v>1887</v>
      </c>
      <c r="N501" s="9">
        <v>0</v>
      </c>
      <c r="S501" s="11">
        <v>43836.487372685187</v>
      </c>
      <c r="U501" s="8" t="str">
        <f t="shared" si="170"/>
        <v xml:space="preserve">&lt;etma:1:1:54116:9&gt;  rdf:type skos:Concept ;  </v>
      </c>
      <c r="V501" s="8" t="str">
        <f t="shared" si="171"/>
        <v xml:space="preserve"> dcterms:source "https://www.mindat.org/min-54116.html" ; </v>
      </c>
      <c r="W501" s="8" t="str">
        <f t="shared" si="172"/>
        <v xml:space="preserve">skos:definition "Octahedrite is a historical classification for iron meteorites based on structure. It shows a Widmanstatten pattern of kamacite exsolution lamellae out of taenite. See also octahedrite (of Werner), a synonym of anatase."@en ; </v>
      </c>
      <c r="X501" s="8" t="str">
        <f t="shared" si="165"/>
        <v xml:space="preserve"> skos:inScheme &lt;https://mindat.org/etmat/cscheme&gt; ;  </v>
      </c>
      <c r="Y501" s="8" t="str">
        <f t="shared" si="173"/>
        <v xml:space="preserve">skos:prefLabel "Octahedrite (meteorite)"@en ; rdfs:label "Octahedrite (meteorite)"@en ; </v>
      </c>
      <c r="Z501" s="8" t="str">
        <f t="shared" si="174"/>
        <v/>
      </c>
      <c r="AA501" s="8" t="str">
        <f t="shared" si="160"/>
        <v/>
      </c>
      <c r="AB501" s="8" t="str">
        <f t="shared" si="161"/>
        <v xml:space="preserve">skos:broader &lt;etma:1:1:49960:8&gt; ; </v>
      </c>
      <c r="AC501" s="8" t="str">
        <f t="shared" si="162"/>
        <v>dcterms:modified "2020-01-06T11:41";  .</v>
      </c>
      <c r="AD501" s="10" t="str">
        <f t="shared" si="175"/>
        <v>&lt;etma:1:1:54116:9&gt;  rdf:type skos:Concept ;     dcterms:source "https://www.mindat.org/min-54116.html" ;   skos:definition "Octahedrite is a historical classification for iron meteorites based on structure. It shows a Widmanstatten pattern of kamacite exsolution lamellae out of taenite. See also octahedrite (of Werner), a synonym of anatase."@en ;    skos:inScheme &lt;https://mindat.org/etmat/cscheme&gt; ;    skos:prefLabel "Octahedrite (meteorite)"@en ; rdfs:label "Octahedrite (meteorite)"@en ;   skos:broader &lt;etma:1:1:49960:8&gt; ;   dcterms:modified "2020-01-06T11:41";  .</v>
      </c>
      <c r="AE501" s="8" t="s">
        <v>2591</v>
      </c>
    </row>
    <row r="502" spans="1:31" hidden="1" x14ac:dyDescent="0.25">
      <c r="A502" s="8">
        <v>12</v>
      </c>
      <c r="B502" s="8" t="s">
        <v>2320</v>
      </c>
      <c r="C502" s="8">
        <v>54117</v>
      </c>
      <c r="D502" s="8" t="s">
        <v>2321</v>
      </c>
      <c r="E502" s="8" t="s">
        <v>2322</v>
      </c>
      <c r="F502" s="9">
        <v>7</v>
      </c>
      <c r="G502" s="9" t="s">
        <v>14</v>
      </c>
      <c r="H502" s="1" t="s">
        <v>2582</v>
      </c>
      <c r="I502" s="8" t="str">
        <f t="shared" si="169"/>
        <v>https://www.mindat.org/min-54117.html</v>
      </c>
      <c r="J502" s="8">
        <v>49960</v>
      </c>
      <c r="K502" s="8" t="s">
        <v>1887</v>
      </c>
      <c r="N502" s="9">
        <v>0</v>
      </c>
      <c r="S502" s="11">
        <v>43836.497777777775</v>
      </c>
      <c r="U502" s="8" t="str">
        <f t="shared" si="170"/>
        <v xml:space="preserve">&lt;etma:1:1:54117:8&gt;  rdf:type skos:Concept ;  </v>
      </c>
      <c r="V502" s="8" t="str">
        <f t="shared" si="171"/>
        <v xml:space="preserve"> dcterms:source "https://www.mindat.org/min-54117.html" ; </v>
      </c>
      <c r="W502" s="8" t="str">
        <f t="shared" si="172"/>
        <v xml:space="preserve">skos:definition "An older structural classification of iron meteorites based on the absence of the Widmanstatten pattern, which can be assessed from the appearance of polished cross-sections that have been etched with acid. They have a low abundance of nickel relative to iron."@en ; </v>
      </c>
      <c r="X502" s="8" t="str">
        <f t="shared" si="165"/>
        <v xml:space="preserve"> skos:inScheme &lt;https://mindat.org/etmat/cscheme&gt; ;  </v>
      </c>
      <c r="Y502" s="8" t="str">
        <f t="shared" si="173"/>
        <v xml:space="preserve">skos:prefLabel "Hexahedrite"@en ; rdfs:label "Hexahedrite"@en ; </v>
      </c>
      <c r="Z502" s="8" t="str">
        <f t="shared" si="174"/>
        <v/>
      </c>
      <c r="AA502" s="8" t="str">
        <f t="shared" si="160"/>
        <v/>
      </c>
      <c r="AB502" s="8" t="str">
        <f t="shared" si="161"/>
        <v xml:space="preserve">skos:broader &lt;etma:1:1:49960:8&gt; ; </v>
      </c>
      <c r="AC502" s="8" t="str">
        <f t="shared" si="162"/>
        <v>dcterms:modified "2020-01-06T11:56";  .</v>
      </c>
      <c r="AD502" s="10" t="str">
        <f t="shared" si="175"/>
        <v>&lt;etma:1:1:54117:8&gt;  rdf:type skos:Concept ;     dcterms:source "https://www.mindat.org/min-54117.html" ;   skos:definition "An older structural classification of iron meteorites based on the absence of the Widmanstatten pattern, which can be assessed from the appearance of polished cross-sections that have been etched with acid. They have a low abundance of nickel relative to iron."@en ;    skos:inScheme &lt;https://mindat.org/etmat/cscheme&gt; ;    skos:prefLabel "Hexahedrite"@en ; rdfs:label "Hexahedrite"@en ;   skos:broader &lt;etma:1:1:49960:8&gt; ;   dcterms:modified "2020-01-06T11:56";  .</v>
      </c>
      <c r="AE502" s="8" t="s">
        <v>2591</v>
      </c>
    </row>
  </sheetData>
  <autoFilter ref="AA1:AA502">
    <filterColumn colId="0">
      <customFilters>
        <customFilter operator="notEqual" val=" "/>
      </customFilters>
    </filterColumn>
  </autoFilter>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449"/>
  <sheetViews>
    <sheetView tabSelected="1" topLeftCell="A426" workbookViewId="0">
      <selection activeCell="G434" sqref="G434"/>
    </sheetView>
  </sheetViews>
  <sheetFormatPr defaultRowHeight="15" x14ac:dyDescent="0.25"/>
  <cols>
    <col min="1" max="1" width="40.85546875" bestFit="1" customWidth="1"/>
    <col min="2" max="2" width="99.85546875" bestFit="1" customWidth="1"/>
  </cols>
  <sheetData>
    <row r="1" spans="1:2" x14ac:dyDescent="0.25">
      <c r="A1" s="8" t="s">
        <v>2593</v>
      </c>
      <c r="B1" s="8" t="s">
        <v>3042</v>
      </c>
    </row>
    <row r="2" spans="1:2" x14ac:dyDescent="0.25">
      <c r="A2" s="8" t="s">
        <v>2594</v>
      </c>
      <c r="B2" s="8" t="s">
        <v>3043</v>
      </c>
    </row>
    <row r="3" spans="1:2" x14ac:dyDescent="0.25">
      <c r="A3" s="8" t="s">
        <v>2595</v>
      </c>
      <c r="B3" s="8" t="s">
        <v>3488</v>
      </c>
    </row>
    <row r="4" spans="1:2" x14ac:dyDescent="0.25">
      <c r="A4" s="8" t="s">
        <v>2596</v>
      </c>
      <c r="B4" s="8" t="s">
        <v>3044</v>
      </c>
    </row>
    <row r="5" spans="1:2" x14ac:dyDescent="0.25">
      <c r="A5" s="8" t="s">
        <v>2597</v>
      </c>
      <c r="B5" s="8" t="s">
        <v>3045</v>
      </c>
    </row>
    <row r="6" spans="1:2" x14ac:dyDescent="0.25">
      <c r="A6" s="8" t="s">
        <v>2598</v>
      </c>
      <c r="B6" s="8" t="s">
        <v>3045</v>
      </c>
    </row>
    <row r="7" spans="1:2" x14ac:dyDescent="0.25">
      <c r="A7" s="8" t="s">
        <v>2599</v>
      </c>
      <c r="B7" s="8" t="s">
        <v>3046</v>
      </c>
    </row>
    <row r="8" spans="1:2" x14ac:dyDescent="0.25">
      <c r="A8" s="8" t="s">
        <v>2600</v>
      </c>
      <c r="B8" s="8" t="s">
        <v>3047</v>
      </c>
    </row>
    <row r="9" spans="1:2" x14ac:dyDescent="0.25">
      <c r="A9" s="8" t="s">
        <v>2601</v>
      </c>
      <c r="B9" s="8" t="s">
        <v>3048</v>
      </c>
    </row>
    <row r="10" spans="1:2" x14ac:dyDescent="0.25">
      <c r="A10" s="8" t="s">
        <v>2602</v>
      </c>
      <c r="B10" s="8" t="s">
        <v>3049</v>
      </c>
    </row>
    <row r="11" spans="1:2" x14ac:dyDescent="0.25">
      <c r="A11" s="8" t="s">
        <v>2603</v>
      </c>
      <c r="B11" s="8" t="s">
        <v>3050</v>
      </c>
    </row>
    <row r="12" spans="1:2" x14ac:dyDescent="0.25">
      <c r="A12" s="8" t="s">
        <v>2604</v>
      </c>
      <c r="B12" s="8" t="s">
        <v>3051</v>
      </c>
    </row>
    <row r="13" spans="1:2" x14ac:dyDescent="0.25">
      <c r="A13" s="8" t="s">
        <v>2605</v>
      </c>
      <c r="B13" s="8" t="s">
        <v>3052</v>
      </c>
    </row>
    <row r="14" spans="1:2" x14ac:dyDescent="0.25">
      <c r="A14" s="8" t="s">
        <v>2606</v>
      </c>
      <c r="B14" s="8" t="s">
        <v>3053</v>
      </c>
    </row>
    <row r="15" spans="1:2" x14ac:dyDescent="0.25">
      <c r="A15" s="8" t="s">
        <v>2607</v>
      </c>
      <c r="B15" s="8" t="s">
        <v>3054</v>
      </c>
    </row>
    <row r="16" spans="1:2" x14ac:dyDescent="0.25">
      <c r="A16" s="8" t="s">
        <v>2608</v>
      </c>
      <c r="B16" s="8" t="s">
        <v>3055</v>
      </c>
    </row>
    <row r="17" spans="1:2" x14ac:dyDescent="0.25">
      <c r="A17" s="8" t="s">
        <v>2609</v>
      </c>
      <c r="B17" s="8" t="s">
        <v>3056</v>
      </c>
    </row>
    <row r="18" spans="1:2" x14ac:dyDescent="0.25">
      <c r="A18" s="8" t="s">
        <v>2610</v>
      </c>
      <c r="B18" s="8" t="s">
        <v>3057</v>
      </c>
    </row>
    <row r="19" spans="1:2" x14ac:dyDescent="0.25">
      <c r="A19" s="8" t="s">
        <v>2611</v>
      </c>
      <c r="B19" s="8" t="s">
        <v>3058</v>
      </c>
    </row>
    <row r="20" spans="1:2" x14ac:dyDescent="0.25">
      <c r="A20" s="8" t="s">
        <v>2612</v>
      </c>
      <c r="B20" s="8" t="s">
        <v>3059</v>
      </c>
    </row>
    <row r="21" spans="1:2" x14ac:dyDescent="0.25">
      <c r="A21" s="8" t="s">
        <v>2613</v>
      </c>
      <c r="B21" s="8" t="s">
        <v>3060</v>
      </c>
    </row>
    <row r="22" spans="1:2" x14ac:dyDescent="0.25">
      <c r="A22" s="8" t="s">
        <v>2614</v>
      </c>
      <c r="B22" s="8" t="s">
        <v>3061</v>
      </c>
    </row>
    <row r="23" spans="1:2" x14ac:dyDescent="0.25">
      <c r="A23" s="8" t="s">
        <v>2615</v>
      </c>
      <c r="B23" s="8" t="s">
        <v>3062</v>
      </c>
    </row>
    <row r="24" spans="1:2" x14ac:dyDescent="0.25">
      <c r="A24" s="8" t="s">
        <v>2616</v>
      </c>
      <c r="B24" s="8" t="s">
        <v>3063</v>
      </c>
    </row>
    <row r="25" spans="1:2" x14ac:dyDescent="0.25">
      <c r="A25" s="8" t="s">
        <v>2617</v>
      </c>
      <c r="B25" s="8" t="s">
        <v>3064</v>
      </c>
    </row>
    <row r="26" spans="1:2" x14ac:dyDescent="0.25">
      <c r="A26" s="8" t="s">
        <v>2618</v>
      </c>
      <c r="B26" s="8" t="s">
        <v>3065</v>
      </c>
    </row>
    <row r="27" spans="1:2" x14ac:dyDescent="0.25">
      <c r="A27" s="8" t="s">
        <v>2619</v>
      </c>
      <c r="B27" s="8" t="s">
        <v>3066</v>
      </c>
    </row>
    <row r="28" spans="1:2" x14ac:dyDescent="0.25">
      <c r="A28" s="8" t="s">
        <v>2620</v>
      </c>
      <c r="B28" s="8" t="s">
        <v>3067</v>
      </c>
    </row>
    <row r="29" spans="1:2" x14ac:dyDescent="0.25">
      <c r="A29" s="8" t="s">
        <v>2621</v>
      </c>
      <c r="B29" s="8" t="s">
        <v>3068</v>
      </c>
    </row>
    <row r="30" spans="1:2" x14ac:dyDescent="0.25">
      <c r="A30" s="8" t="s">
        <v>2622</v>
      </c>
      <c r="B30" s="8" t="s">
        <v>3069</v>
      </c>
    </row>
    <row r="31" spans="1:2" x14ac:dyDescent="0.25">
      <c r="A31" s="8" t="s">
        <v>2623</v>
      </c>
      <c r="B31" s="8" t="s">
        <v>3070</v>
      </c>
    </row>
    <row r="32" spans="1:2" x14ac:dyDescent="0.25">
      <c r="A32" s="8" t="s">
        <v>2624</v>
      </c>
      <c r="B32" s="8" t="s">
        <v>3071</v>
      </c>
    </row>
    <row r="33" spans="1:2" x14ac:dyDescent="0.25">
      <c r="A33" s="8" t="s">
        <v>2625</v>
      </c>
      <c r="B33" s="8" t="s">
        <v>3072</v>
      </c>
    </row>
    <row r="34" spans="1:2" x14ac:dyDescent="0.25">
      <c r="A34" s="8" t="s">
        <v>2626</v>
      </c>
      <c r="B34" s="8" t="s">
        <v>3073</v>
      </c>
    </row>
    <row r="35" spans="1:2" x14ac:dyDescent="0.25">
      <c r="A35" s="8" t="s">
        <v>2627</v>
      </c>
      <c r="B35" s="8" t="s">
        <v>3074</v>
      </c>
    </row>
    <row r="36" spans="1:2" x14ac:dyDescent="0.25">
      <c r="A36" s="8" t="s">
        <v>2628</v>
      </c>
      <c r="B36" s="8" t="s">
        <v>3075</v>
      </c>
    </row>
    <row r="37" spans="1:2" x14ac:dyDescent="0.25">
      <c r="A37" s="8" t="s">
        <v>2629</v>
      </c>
      <c r="B37" s="8" t="s">
        <v>3076</v>
      </c>
    </row>
    <row r="38" spans="1:2" x14ac:dyDescent="0.25">
      <c r="A38" s="8" t="s">
        <v>2630</v>
      </c>
      <c r="B38" s="8" t="s">
        <v>3077</v>
      </c>
    </row>
    <row r="39" spans="1:2" x14ac:dyDescent="0.25">
      <c r="A39" s="8" t="s">
        <v>2631</v>
      </c>
      <c r="B39" s="8" t="s">
        <v>3078</v>
      </c>
    </row>
    <row r="40" spans="1:2" x14ac:dyDescent="0.25">
      <c r="A40" s="8" t="s">
        <v>2632</v>
      </c>
      <c r="B40" s="8" t="s">
        <v>3079</v>
      </c>
    </row>
    <row r="41" spans="1:2" x14ac:dyDescent="0.25">
      <c r="A41" s="8" t="s">
        <v>2633</v>
      </c>
      <c r="B41" s="8" t="s">
        <v>3080</v>
      </c>
    </row>
    <row r="42" spans="1:2" x14ac:dyDescent="0.25">
      <c r="A42" s="8" t="s">
        <v>2634</v>
      </c>
      <c r="B42" s="8" t="s">
        <v>3081</v>
      </c>
    </row>
    <row r="43" spans="1:2" x14ac:dyDescent="0.25">
      <c r="A43" s="8" t="s">
        <v>2635</v>
      </c>
      <c r="B43" s="8" t="s">
        <v>3082</v>
      </c>
    </row>
    <row r="44" spans="1:2" x14ac:dyDescent="0.25">
      <c r="A44" s="8" t="s">
        <v>2636</v>
      </c>
      <c r="B44" s="8" t="s">
        <v>3083</v>
      </c>
    </row>
    <row r="45" spans="1:2" x14ac:dyDescent="0.25">
      <c r="A45" s="8" t="s">
        <v>2637</v>
      </c>
      <c r="B45" s="8" t="s">
        <v>3084</v>
      </c>
    </row>
    <row r="46" spans="1:2" x14ac:dyDescent="0.25">
      <c r="A46" s="8" t="s">
        <v>2638</v>
      </c>
      <c r="B46" s="8" t="s">
        <v>3085</v>
      </c>
    </row>
    <row r="47" spans="1:2" x14ac:dyDescent="0.25">
      <c r="A47" s="8" t="s">
        <v>2639</v>
      </c>
      <c r="B47" s="8" t="s">
        <v>3086</v>
      </c>
    </row>
    <row r="48" spans="1:2" x14ac:dyDescent="0.25">
      <c r="A48" s="8" t="s">
        <v>2640</v>
      </c>
      <c r="B48" s="8" t="s">
        <v>3087</v>
      </c>
    </row>
    <row r="49" spans="1:2" x14ac:dyDescent="0.25">
      <c r="A49" s="8" t="s">
        <v>2641</v>
      </c>
      <c r="B49" s="8" t="s">
        <v>3088</v>
      </c>
    </row>
    <row r="50" spans="1:2" x14ac:dyDescent="0.25">
      <c r="A50" s="8" t="s">
        <v>2642</v>
      </c>
      <c r="B50" s="8" t="s">
        <v>3089</v>
      </c>
    </row>
    <row r="51" spans="1:2" x14ac:dyDescent="0.25">
      <c r="A51" s="8" t="s">
        <v>2643</v>
      </c>
      <c r="B51" s="8" t="s">
        <v>3090</v>
      </c>
    </row>
    <row r="52" spans="1:2" x14ac:dyDescent="0.25">
      <c r="A52" s="8" t="s">
        <v>2644</v>
      </c>
      <c r="B52" s="8" t="s">
        <v>3091</v>
      </c>
    </row>
    <row r="53" spans="1:2" x14ac:dyDescent="0.25">
      <c r="A53" s="8" t="s">
        <v>2645</v>
      </c>
      <c r="B53" s="8" t="s">
        <v>3092</v>
      </c>
    </row>
    <row r="54" spans="1:2" x14ac:dyDescent="0.25">
      <c r="A54" s="8" t="s">
        <v>2646</v>
      </c>
      <c r="B54" s="8" t="s">
        <v>3093</v>
      </c>
    </row>
    <row r="55" spans="1:2" x14ac:dyDescent="0.25">
      <c r="A55" s="8" t="s">
        <v>2647</v>
      </c>
      <c r="B55" s="8" t="s">
        <v>3094</v>
      </c>
    </row>
    <row r="56" spans="1:2" x14ac:dyDescent="0.25">
      <c r="A56" s="8" t="s">
        <v>2648</v>
      </c>
      <c r="B56" s="8" t="s">
        <v>3095</v>
      </c>
    </row>
    <row r="57" spans="1:2" x14ac:dyDescent="0.25">
      <c r="A57" s="8" t="s">
        <v>2649</v>
      </c>
      <c r="B57" s="8" t="s">
        <v>3096</v>
      </c>
    </row>
    <row r="58" spans="1:2" x14ac:dyDescent="0.25">
      <c r="A58" s="8" t="s">
        <v>2650</v>
      </c>
      <c r="B58" s="8" t="s">
        <v>3097</v>
      </c>
    </row>
    <row r="59" spans="1:2" x14ac:dyDescent="0.25">
      <c r="A59" s="8" t="s">
        <v>2651</v>
      </c>
      <c r="B59" s="8" t="s">
        <v>3098</v>
      </c>
    </row>
    <row r="60" spans="1:2" x14ac:dyDescent="0.25">
      <c r="A60" s="8" t="s">
        <v>2652</v>
      </c>
      <c r="B60" s="8" t="s">
        <v>3099</v>
      </c>
    </row>
    <row r="61" spans="1:2" x14ac:dyDescent="0.25">
      <c r="A61" s="8" t="s">
        <v>2653</v>
      </c>
      <c r="B61" s="8" t="s">
        <v>3100</v>
      </c>
    </row>
    <row r="62" spans="1:2" x14ac:dyDescent="0.25">
      <c r="A62" s="8" t="s">
        <v>2654</v>
      </c>
      <c r="B62" s="8" t="s">
        <v>3101</v>
      </c>
    </row>
    <row r="63" spans="1:2" x14ac:dyDescent="0.25">
      <c r="A63" s="8" t="s">
        <v>2655</v>
      </c>
      <c r="B63" s="8" t="s">
        <v>3102</v>
      </c>
    </row>
    <row r="64" spans="1:2" x14ac:dyDescent="0.25">
      <c r="A64" s="8" t="s">
        <v>2656</v>
      </c>
      <c r="B64" s="8" t="s">
        <v>3103</v>
      </c>
    </row>
    <row r="65" spans="1:2" x14ac:dyDescent="0.25">
      <c r="A65" s="8" t="s">
        <v>2657</v>
      </c>
      <c r="B65" s="8" t="s">
        <v>3104</v>
      </c>
    </row>
    <row r="66" spans="1:2" x14ac:dyDescent="0.25">
      <c r="A66" s="8" t="s">
        <v>2658</v>
      </c>
      <c r="B66" s="8" t="s">
        <v>3105</v>
      </c>
    </row>
    <row r="67" spans="1:2" x14ac:dyDescent="0.25">
      <c r="A67" s="8" t="s">
        <v>2659</v>
      </c>
      <c r="B67" s="8" t="s">
        <v>3106</v>
      </c>
    </row>
    <row r="68" spans="1:2" x14ac:dyDescent="0.25">
      <c r="A68" s="8" t="s">
        <v>2660</v>
      </c>
      <c r="B68" s="8" t="s">
        <v>3107</v>
      </c>
    </row>
    <row r="69" spans="1:2" x14ac:dyDescent="0.25">
      <c r="A69" s="8" t="s">
        <v>2661</v>
      </c>
      <c r="B69" s="8" t="s">
        <v>3108</v>
      </c>
    </row>
    <row r="70" spans="1:2" x14ac:dyDescent="0.25">
      <c r="A70" s="8" t="s">
        <v>2662</v>
      </c>
      <c r="B70" s="8" t="s">
        <v>3109</v>
      </c>
    </row>
    <row r="71" spans="1:2" x14ac:dyDescent="0.25">
      <c r="A71" s="8" t="s">
        <v>2663</v>
      </c>
      <c r="B71" s="8" t="s">
        <v>3110</v>
      </c>
    </row>
    <row r="72" spans="1:2" x14ac:dyDescent="0.25">
      <c r="A72" s="8" t="s">
        <v>2664</v>
      </c>
      <c r="B72" s="8" t="s">
        <v>3111</v>
      </c>
    </row>
    <row r="73" spans="1:2" x14ac:dyDescent="0.25">
      <c r="A73" s="8" t="s">
        <v>2665</v>
      </c>
      <c r="B73" s="8" t="s">
        <v>3112</v>
      </c>
    </row>
    <row r="74" spans="1:2" x14ac:dyDescent="0.25">
      <c r="A74" s="8" t="s">
        <v>2666</v>
      </c>
      <c r="B74" s="8" t="s">
        <v>3113</v>
      </c>
    </row>
    <row r="75" spans="1:2" x14ac:dyDescent="0.25">
      <c r="A75" s="8" t="s">
        <v>2667</v>
      </c>
      <c r="B75" s="8" t="s">
        <v>3114</v>
      </c>
    </row>
    <row r="76" spans="1:2" x14ac:dyDescent="0.25">
      <c r="A76" s="8" t="s">
        <v>2668</v>
      </c>
      <c r="B76" s="8" t="s">
        <v>3115</v>
      </c>
    </row>
    <row r="77" spans="1:2" x14ac:dyDescent="0.25">
      <c r="A77" s="8" t="s">
        <v>2669</v>
      </c>
      <c r="B77" s="8" t="s">
        <v>3116</v>
      </c>
    </row>
    <row r="78" spans="1:2" x14ac:dyDescent="0.25">
      <c r="A78" s="8" t="s">
        <v>2670</v>
      </c>
      <c r="B78" s="8" t="s">
        <v>3117</v>
      </c>
    </row>
    <row r="79" spans="1:2" x14ac:dyDescent="0.25">
      <c r="A79" s="8" t="s">
        <v>2671</v>
      </c>
      <c r="B79" s="8" t="s">
        <v>3118</v>
      </c>
    </row>
    <row r="80" spans="1:2" x14ac:dyDescent="0.25">
      <c r="A80" s="8" t="s">
        <v>2672</v>
      </c>
      <c r="B80" s="8" t="s">
        <v>3119</v>
      </c>
    </row>
    <row r="81" spans="1:2" x14ac:dyDescent="0.25">
      <c r="A81" s="8" t="s">
        <v>2673</v>
      </c>
      <c r="B81" s="8" t="s">
        <v>3120</v>
      </c>
    </row>
    <row r="82" spans="1:2" x14ac:dyDescent="0.25">
      <c r="A82" s="8" t="s">
        <v>2674</v>
      </c>
      <c r="B82" s="8" t="s">
        <v>3121</v>
      </c>
    </row>
    <row r="83" spans="1:2" x14ac:dyDescent="0.25">
      <c r="A83" s="8" t="s">
        <v>2675</v>
      </c>
      <c r="B83" s="8" t="s">
        <v>3122</v>
      </c>
    </row>
    <row r="84" spans="1:2" x14ac:dyDescent="0.25">
      <c r="A84" s="8" t="s">
        <v>2676</v>
      </c>
      <c r="B84" s="8" t="s">
        <v>3123</v>
      </c>
    </row>
    <row r="85" spans="1:2" x14ac:dyDescent="0.25">
      <c r="A85" s="8" t="s">
        <v>2677</v>
      </c>
      <c r="B85" s="8" t="s">
        <v>3124</v>
      </c>
    </row>
    <row r="86" spans="1:2" x14ac:dyDescent="0.25">
      <c r="A86" s="8" t="s">
        <v>2678</v>
      </c>
      <c r="B86" s="8" t="s">
        <v>3125</v>
      </c>
    </row>
    <row r="87" spans="1:2" x14ac:dyDescent="0.25">
      <c r="A87" s="8" t="s">
        <v>2679</v>
      </c>
      <c r="B87" s="8" t="s">
        <v>3126</v>
      </c>
    </row>
    <row r="88" spans="1:2" x14ac:dyDescent="0.25">
      <c r="A88" s="8" t="s">
        <v>2680</v>
      </c>
      <c r="B88" s="8" t="s">
        <v>3127</v>
      </c>
    </row>
    <row r="89" spans="1:2" x14ac:dyDescent="0.25">
      <c r="A89" s="8" t="s">
        <v>2681</v>
      </c>
      <c r="B89" s="8" t="s">
        <v>3128</v>
      </c>
    </row>
    <row r="90" spans="1:2" x14ac:dyDescent="0.25">
      <c r="A90" s="8" t="s">
        <v>2682</v>
      </c>
      <c r="B90" s="8" t="s">
        <v>3129</v>
      </c>
    </row>
    <row r="91" spans="1:2" x14ac:dyDescent="0.25">
      <c r="A91" s="8" t="s">
        <v>2683</v>
      </c>
      <c r="B91" s="8" t="s">
        <v>3130</v>
      </c>
    </row>
    <row r="92" spans="1:2" x14ac:dyDescent="0.25">
      <c r="A92" s="8" t="s">
        <v>2684</v>
      </c>
      <c r="B92" s="8" t="s">
        <v>3131</v>
      </c>
    </row>
    <row r="93" spans="1:2" x14ac:dyDescent="0.25">
      <c r="A93" s="8" t="s">
        <v>2685</v>
      </c>
      <c r="B93" s="8" t="s">
        <v>3132</v>
      </c>
    </row>
    <row r="94" spans="1:2" x14ac:dyDescent="0.25">
      <c r="A94" s="8" t="s">
        <v>2686</v>
      </c>
      <c r="B94" s="8" t="s">
        <v>3133</v>
      </c>
    </row>
    <row r="95" spans="1:2" x14ac:dyDescent="0.25">
      <c r="A95" s="8" t="s">
        <v>2687</v>
      </c>
      <c r="B95" s="8" t="s">
        <v>3134</v>
      </c>
    </row>
    <row r="96" spans="1:2" x14ac:dyDescent="0.25">
      <c r="A96" s="8" t="s">
        <v>2688</v>
      </c>
      <c r="B96" s="8" t="s">
        <v>3135</v>
      </c>
    </row>
    <row r="97" spans="1:2" x14ac:dyDescent="0.25">
      <c r="A97" s="8" t="s">
        <v>2689</v>
      </c>
      <c r="B97" s="8" t="s">
        <v>3136</v>
      </c>
    </row>
    <row r="98" spans="1:2" x14ac:dyDescent="0.25">
      <c r="A98" s="8" t="s">
        <v>2690</v>
      </c>
      <c r="B98" s="8" t="s">
        <v>3137</v>
      </c>
    </row>
    <row r="99" spans="1:2" x14ac:dyDescent="0.25">
      <c r="A99" s="8" t="s">
        <v>2691</v>
      </c>
      <c r="B99" s="8" t="s">
        <v>3138</v>
      </c>
    </row>
    <row r="100" spans="1:2" x14ac:dyDescent="0.25">
      <c r="A100" s="8" t="s">
        <v>2692</v>
      </c>
      <c r="B100" s="8" t="s">
        <v>3139</v>
      </c>
    </row>
    <row r="101" spans="1:2" x14ac:dyDescent="0.25">
      <c r="A101" s="8" t="s">
        <v>2693</v>
      </c>
      <c r="B101" s="8" t="s">
        <v>3140</v>
      </c>
    </row>
    <row r="102" spans="1:2" x14ac:dyDescent="0.25">
      <c r="A102" s="8" t="s">
        <v>2694</v>
      </c>
      <c r="B102" s="8" t="s">
        <v>3141</v>
      </c>
    </row>
    <row r="103" spans="1:2" x14ac:dyDescent="0.25">
      <c r="A103" s="8" t="s">
        <v>2695</v>
      </c>
      <c r="B103" s="8" t="s">
        <v>3142</v>
      </c>
    </row>
    <row r="104" spans="1:2" x14ac:dyDescent="0.25">
      <c r="A104" s="8" t="s">
        <v>2696</v>
      </c>
      <c r="B104" s="8" t="s">
        <v>3143</v>
      </c>
    </row>
    <row r="105" spans="1:2" x14ac:dyDescent="0.25">
      <c r="A105" s="8" t="s">
        <v>2697</v>
      </c>
      <c r="B105" s="8" t="s">
        <v>3144</v>
      </c>
    </row>
    <row r="106" spans="1:2" x14ac:dyDescent="0.25">
      <c r="A106" s="8" t="s">
        <v>2698</v>
      </c>
      <c r="B106" s="8" t="s">
        <v>3145</v>
      </c>
    </row>
    <row r="107" spans="1:2" x14ac:dyDescent="0.25">
      <c r="A107" s="8" t="s">
        <v>2699</v>
      </c>
      <c r="B107" s="8" t="s">
        <v>3146</v>
      </c>
    </row>
    <row r="108" spans="1:2" x14ac:dyDescent="0.25">
      <c r="A108" s="8" t="s">
        <v>2700</v>
      </c>
      <c r="B108" s="8" t="s">
        <v>3147</v>
      </c>
    </row>
    <row r="109" spans="1:2" x14ac:dyDescent="0.25">
      <c r="A109" s="8" t="s">
        <v>2701</v>
      </c>
      <c r="B109" s="8" t="s">
        <v>3148</v>
      </c>
    </row>
    <row r="110" spans="1:2" x14ac:dyDescent="0.25">
      <c r="A110" s="8" t="s">
        <v>2702</v>
      </c>
      <c r="B110" s="8" t="s">
        <v>3149</v>
      </c>
    </row>
    <row r="111" spans="1:2" x14ac:dyDescent="0.25">
      <c r="A111" s="8" t="s">
        <v>2703</v>
      </c>
      <c r="B111" s="8" t="s">
        <v>3150</v>
      </c>
    </row>
    <row r="112" spans="1:2" x14ac:dyDescent="0.25">
      <c r="A112" s="8" t="s">
        <v>2704</v>
      </c>
      <c r="B112" s="8" t="s">
        <v>3151</v>
      </c>
    </row>
    <row r="113" spans="1:2" x14ac:dyDescent="0.25">
      <c r="A113" s="8" t="s">
        <v>2705</v>
      </c>
      <c r="B113" s="8" t="s">
        <v>3152</v>
      </c>
    </row>
    <row r="114" spans="1:2" x14ac:dyDescent="0.25">
      <c r="A114" s="8" t="s">
        <v>2706</v>
      </c>
      <c r="B114" s="8" t="s">
        <v>3153</v>
      </c>
    </row>
    <row r="115" spans="1:2" x14ac:dyDescent="0.25">
      <c r="A115" s="8" t="s">
        <v>2707</v>
      </c>
      <c r="B115" s="8" t="s">
        <v>3154</v>
      </c>
    </row>
    <row r="116" spans="1:2" x14ac:dyDescent="0.25">
      <c r="A116" s="8" t="s">
        <v>2708</v>
      </c>
      <c r="B116" s="8" t="s">
        <v>3155</v>
      </c>
    </row>
    <row r="117" spans="1:2" x14ac:dyDescent="0.25">
      <c r="A117" s="8" t="s">
        <v>2709</v>
      </c>
      <c r="B117" s="8" t="s">
        <v>3156</v>
      </c>
    </row>
    <row r="118" spans="1:2" x14ac:dyDescent="0.25">
      <c r="A118" s="8" t="s">
        <v>2710</v>
      </c>
      <c r="B118" s="8" t="s">
        <v>3157</v>
      </c>
    </row>
    <row r="119" spans="1:2" x14ac:dyDescent="0.25">
      <c r="A119" s="8" t="s">
        <v>2711</v>
      </c>
      <c r="B119" s="8" t="s">
        <v>3158</v>
      </c>
    </row>
    <row r="120" spans="1:2" x14ac:dyDescent="0.25">
      <c r="A120" s="8" t="s">
        <v>2712</v>
      </c>
      <c r="B120" s="8" t="s">
        <v>3159</v>
      </c>
    </row>
    <row r="121" spans="1:2" x14ac:dyDescent="0.25">
      <c r="A121" s="8" t="s">
        <v>2713</v>
      </c>
      <c r="B121" s="8" t="s">
        <v>3160</v>
      </c>
    </row>
    <row r="122" spans="1:2" x14ac:dyDescent="0.25">
      <c r="A122" s="8" t="s">
        <v>2714</v>
      </c>
      <c r="B122" s="8" t="s">
        <v>3161</v>
      </c>
    </row>
    <row r="123" spans="1:2" x14ac:dyDescent="0.25">
      <c r="A123" s="8" t="s">
        <v>2715</v>
      </c>
      <c r="B123" s="8" t="s">
        <v>3162</v>
      </c>
    </row>
    <row r="124" spans="1:2" x14ac:dyDescent="0.25">
      <c r="A124" s="8" t="s">
        <v>2716</v>
      </c>
      <c r="B124" s="8" t="s">
        <v>3163</v>
      </c>
    </row>
    <row r="125" spans="1:2" x14ac:dyDescent="0.25">
      <c r="A125" s="8" t="s">
        <v>2717</v>
      </c>
      <c r="B125" s="8" t="s">
        <v>3164</v>
      </c>
    </row>
    <row r="126" spans="1:2" x14ac:dyDescent="0.25">
      <c r="A126" s="8" t="s">
        <v>2718</v>
      </c>
      <c r="B126" s="8" t="s">
        <v>3165</v>
      </c>
    </row>
    <row r="127" spans="1:2" x14ac:dyDescent="0.25">
      <c r="A127" s="8" t="s">
        <v>2719</v>
      </c>
      <c r="B127" s="8" t="s">
        <v>3166</v>
      </c>
    </row>
    <row r="128" spans="1:2" x14ac:dyDescent="0.25">
      <c r="A128" s="8" t="s">
        <v>2720</v>
      </c>
      <c r="B128" s="8" t="s">
        <v>3167</v>
      </c>
    </row>
    <row r="129" spans="1:2" x14ac:dyDescent="0.25">
      <c r="A129" s="8" t="s">
        <v>2721</v>
      </c>
      <c r="B129" s="8" t="s">
        <v>3168</v>
      </c>
    </row>
    <row r="130" spans="1:2" x14ac:dyDescent="0.25">
      <c r="A130" s="8" t="s">
        <v>2722</v>
      </c>
      <c r="B130" s="8" t="s">
        <v>3169</v>
      </c>
    </row>
    <row r="131" spans="1:2" x14ac:dyDescent="0.25">
      <c r="A131" s="8" t="s">
        <v>2723</v>
      </c>
      <c r="B131" s="8" t="s">
        <v>3170</v>
      </c>
    </row>
    <row r="132" spans="1:2" x14ac:dyDescent="0.25">
      <c r="A132" s="8" t="s">
        <v>2724</v>
      </c>
      <c r="B132" s="8" t="s">
        <v>3171</v>
      </c>
    </row>
    <row r="133" spans="1:2" x14ac:dyDescent="0.25">
      <c r="A133" s="8" t="s">
        <v>2725</v>
      </c>
      <c r="B133" s="8" t="s">
        <v>3172</v>
      </c>
    </row>
    <row r="134" spans="1:2" x14ac:dyDescent="0.25">
      <c r="A134" s="8" t="s">
        <v>2726</v>
      </c>
      <c r="B134" s="8" t="s">
        <v>3173</v>
      </c>
    </row>
    <row r="135" spans="1:2" x14ac:dyDescent="0.25">
      <c r="A135" s="8" t="s">
        <v>2727</v>
      </c>
      <c r="B135" s="8" t="s">
        <v>3174</v>
      </c>
    </row>
    <row r="136" spans="1:2" x14ac:dyDescent="0.25">
      <c r="A136" s="8" t="s">
        <v>2728</v>
      </c>
      <c r="B136" s="8" t="s">
        <v>3175</v>
      </c>
    </row>
    <row r="137" spans="1:2" x14ac:dyDescent="0.25">
      <c r="A137" s="8" t="s">
        <v>2729</v>
      </c>
      <c r="B137" s="8" t="s">
        <v>3176</v>
      </c>
    </row>
    <row r="138" spans="1:2" x14ac:dyDescent="0.25">
      <c r="A138" s="8" t="s">
        <v>2730</v>
      </c>
      <c r="B138" s="8" t="s">
        <v>3177</v>
      </c>
    </row>
    <row r="139" spans="1:2" x14ac:dyDescent="0.25">
      <c r="A139" s="8" t="s">
        <v>2731</v>
      </c>
      <c r="B139" s="8" t="s">
        <v>3178</v>
      </c>
    </row>
    <row r="140" spans="1:2" x14ac:dyDescent="0.25">
      <c r="A140" s="8" t="s">
        <v>2732</v>
      </c>
      <c r="B140" s="8" t="s">
        <v>3179</v>
      </c>
    </row>
    <row r="141" spans="1:2" x14ac:dyDescent="0.25">
      <c r="A141" s="8" t="s">
        <v>2733</v>
      </c>
      <c r="B141" s="8" t="s">
        <v>3180</v>
      </c>
    </row>
    <row r="142" spans="1:2" x14ac:dyDescent="0.25">
      <c r="A142" s="8" t="s">
        <v>2734</v>
      </c>
      <c r="B142" s="8" t="s">
        <v>3181</v>
      </c>
    </row>
    <row r="143" spans="1:2" x14ac:dyDescent="0.25">
      <c r="A143" s="8" t="s">
        <v>2735</v>
      </c>
      <c r="B143" s="8" t="s">
        <v>3182</v>
      </c>
    </row>
    <row r="144" spans="1:2" x14ac:dyDescent="0.25">
      <c r="A144" s="8" t="s">
        <v>2736</v>
      </c>
      <c r="B144" s="8" t="s">
        <v>3183</v>
      </c>
    </row>
    <row r="145" spans="1:2" x14ac:dyDescent="0.25">
      <c r="A145" s="8" t="s">
        <v>2737</v>
      </c>
      <c r="B145" s="8" t="s">
        <v>3184</v>
      </c>
    </row>
    <row r="146" spans="1:2" x14ac:dyDescent="0.25">
      <c r="A146" s="8" t="s">
        <v>2738</v>
      </c>
      <c r="B146" s="8" t="s">
        <v>3185</v>
      </c>
    </row>
    <row r="147" spans="1:2" x14ac:dyDescent="0.25">
      <c r="A147" s="8" t="s">
        <v>2739</v>
      </c>
      <c r="B147" s="8" t="s">
        <v>3186</v>
      </c>
    </row>
    <row r="148" spans="1:2" x14ac:dyDescent="0.25">
      <c r="A148" s="8" t="s">
        <v>2740</v>
      </c>
      <c r="B148" s="8" t="s">
        <v>3187</v>
      </c>
    </row>
    <row r="149" spans="1:2" x14ac:dyDescent="0.25">
      <c r="A149" s="8" t="s">
        <v>2741</v>
      </c>
      <c r="B149" s="8" t="s">
        <v>3188</v>
      </c>
    </row>
    <row r="150" spans="1:2" x14ac:dyDescent="0.25">
      <c r="A150" s="8" t="s">
        <v>2742</v>
      </c>
      <c r="B150" s="8" t="s">
        <v>3189</v>
      </c>
    </row>
    <row r="151" spans="1:2" x14ac:dyDescent="0.25">
      <c r="A151" s="8" t="s">
        <v>2743</v>
      </c>
      <c r="B151" s="8" t="s">
        <v>3190</v>
      </c>
    </row>
    <row r="152" spans="1:2" x14ac:dyDescent="0.25">
      <c r="A152" s="8" t="s">
        <v>2744</v>
      </c>
      <c r="B152" s="8" t="s">
        <v>3191</v>
      </c>
    </row>
    <row r="153" spans="1:2" x14ac:dyDescent="0.25">
      <c r="A153" s="8" t="s">
        <v>2745</v>
      </c>
      <c r="B153" s="8" t="s">
        <v>3192</v>
      </c>
    </row>
    <row r="154" spans="1:2" x14ac:dyDescent="0.25">
      <c r="A154" s="8" t="s">
        <v>2746</v>
      </c>
      <c r="B154" s="8" t="s">
        <v>3193</v>
      </c>
    </row>
    <row r="155" spans="1:2" x14ac:dyDescent="0.25">
      <c r="A155" s="8" t="s">
        <v>2747</v>
      </c>
      <c r="B155" s="8" t="s">
        <v>3194</v>
      </c>
    </row>
    <row r="156" spans="1:2" x14ac:dyDescent="0.25">
      <c r="A156" s="8" t="s">
        <v>2748</v>
      </c>
      <c r="B156" s="8" t="s">
        <v>3195</v>
      </c>
    </row>
    <row r="157" spans="1:2" x14ac:dyDescent="0.25">
      <c r="A157" s="8" t="s">
        <v>2749</v>
      </c>
      <c r="B157" s="8" t="s">
        <v>3196</v>
      </c>
    </row>
    <row r="158" spans="1:2" x14ac:dyDescent="0.25">
      <c r="A158" s="8" t="s">
        <v>2750</v>
      </c>
      <c r="B158" s="8" t="s">
        <v>3197</v>
      </c>
    </row>
    <row r="159" spans="1:2" x14ac:dyDescent="0.25">
      <c r="A159" s="8" t="s">
        <v>2751</v>
      </c>
      <c r="B159" s="8" t="s">
        <v>3198</v>
      </c>
    </row>
    <row r="160" spans="1:2" x14ac:dyDescent="0.25">
      <c r="A160" s="8" t="s">
        <v>2752</v>
      </c>
      <c r="B160" s="8" t="s">
        <v>3199</v>
      </c>
    </row>
    <row r="161" spans="1:2" x14ac:dyDescent="0.25">
      <c r="A161" s="8" t="s">
        <v>2753</v>
      </c>
      <c r="B161" s="8" t="s">
        <v>3200</v>
      </c>
    </row>
    <row r="162" spans="1:2" x14ac:dyDescent="0.25">
      <c r="A162" s="8" t="s">
        <v>2754</v>
      </c>
      <c r="B162" s="8" t="s">
        <v>3201</v>
      </c>
    </row>
    <row r="163" spans="1:2" x14ac:dyDescent="0.25">
      <c r="A163" s="8" t="s">
        <v>2755</v>
      </c>
      <c r="B163" s="8" t="s">
        <v>3202</v>
      </c>
    </row>
    <row r="164" spans="1:2" x14ac:dyDescent="0.25">
      <c r="A164" s="8" t="s">
        <v>2756</v>
      </c>
      <c r="B164" s="8" t="s">
        <v>3203</v>
      </c>
    </row>
    <row r="165" spans="1:2" x14ac:dyDescent="0.25">
      <c r="A165" s="8" t="s">
        <v>2757</v>
      </c>
      <c r="B165" s="8" t="s">
        <v>3204</v>
      </c>
    </row>
    <row r="166" spans="1:2" x14ac:dyDescent="0.25">
      <c r="A166" s="8" t="s">
        <v>2758</v>
      </c>
      <c r="B166" s="8" t="s">
        <v>3205</v>
      </c>
    </row>
    <row r="167" spans="1:2" x14ac:dyDescent="0.25">
      <c r="A167" s="8" t="s">
        <v>2759</v>
      </c>
      <c r="B167" s="8" t="s">
        <v>3206</v>
      </c>
    </row>
    <row r="168" spans="1:2" x14ac:dyDescent="0.25">
      <c r="A168" s="8" t="s">
        <v>2760</v>
      </c>
      <c r="B168" s="8" t="s">
        <v>3207</v>
      </c>
    </row>
    <row r="169" spans="1:2" x14ac:dyDescent="0.25">
      <c r="A169" s="8" t="s">
        <v>2761</v>
      </c>
      <c r="B169" s="8" t="s">
        <v>3208</v>
      </c>
    </row>
    <row r="170" spans="1:2" x14ac:dyDescent="0.25">
      <c r="A170" s="8" t="s">
        <v>2762</v>
      </c>
      <c r="B170" s="8" t="s">
        <v>3209</v>
      </c>
    </row>
    <row r="171" spans="1:2" x14ac:dyDescent="0.25">
      <c r="A171" s="8" t="s">
        <v>2763</v>
      </c>
      <c r="B171" s="8" t="s">
        <v>3210</v>
      </c>
    </row>
    <row r="172" spans="1:2" x14ac:dyDescent="0.25">
      <c r="A172" s="8" t="s">
        <v>2764</v>
      </c>
      <c r="B172" s="8" t="s">
        <v>3211</v>
      </c>
    </row>
    <row r="173" spans="1:2" x14ac:dyDescent="0.25">
      <c r="A173" s="8" t="s">
        <v>2765</v>
      </c>
      <c r="B173" s="8" t="s">
        <v>3212</v>
      </c>
    </row>
    <row r="174" spans="1:2" x14ac:dyDescent="0.25">
      <c r="A174" s="8" t="s">
        <v>2766</v>
      </c>
      <c r="B174" s="8" t="s">
        <v>3213</v>
      </c>
    </row>
    <row r="175" spans="1:2" x14ac:dyDescent="0.25">
      <c r="A175" s="8" t="s">
        <v>2767</v>
      </c>
      <c r="B175" s="8" t="s">
        <v>3214</v>
      </c>
    </row>
    <row r="176" spans="1:2" x14ac:dyDescent="0.25">
      <c r="A176" s="8" t="s">
        <v>2768</v>
      </c>
      <c r="B176" s="8" t="s">
        <v>3215</v>
      </c>
    </row>
    <row r="177" spans="1:2" x14ac:dyDescent="0.25">
      <c r="A177" s="8" t="s">
        <v>2769</v>
      </c>
      <c r="B177" s="8" t="s">
        <v>3216</v>
      </c>
    </row>
    <row r="178" spans="1:2" x14ac:dyDescent="0.25">
      <c r="A178" s="8" t="s">
        <v>2770</v>
      </c>
      <c r="B178" s="8" t="s">
        <v>3217</v>
      </c>
    </row>
    <row r="179" spans="1:2" x14ac:dyDescent="0.25">
      <c r="A179" s="8" t="s">
        <v>2771</v>
      </c>
      <c r="B179" s="8" t="s">
        <v>3218</v>
      </c>
    </row>
    <row r="180" spans="1:2" x14ac:dyDescent="0.25">
      <c r="A180" s="8" t="s">
        <v>2772</v>
      </c>
      <c r="B180" s="8" t="s">
        <v>3219</v>
      </c>
    </row>
    <row r="181" spans="1:2" x14ac:dyDescent="0.25">
      <c r="A181" s="8" t="s">
        <v>2773</v>
      </c>
      <c r="B181" s="8" t="s">
        <v>3220</v>
      </c>
    </row>
    <row r="182" spans="1:2" x14ac:dyDescent="0.25">
      <c r="A182" s="8" t="s">
        <v>2774</v>
      </c>
      <c r="B182" s="8" t="s">
        <v>3221</v>
      </c>
    </row>
    <row r="183" spans="1:2" x14ac:dyDescent="0.25">
      <c r="A183" s="8" t="s">
        <v>2775</v>
      </c>
      <c r="B183" s="8" t="s">
        <v>3222</v>
      </c>
    </row>
    <row r="184" spans="1:2" x14ac:dyDescent="0.25">
      <c r="A184" s="8" t="s">
        <v>2776</v>
      </c>
      <c r="B184" s="8" t="s">
        <v>3223</v>
      </c>
    </row>
    <row r="185" spans="1:2" x14ac:dyDescent="0.25">
      <c r="A185" s="8" t="s">
        <v>2777</v>
      </c>
      <c r="B185" s="8" t="s">
        <v>3224</v>
      </c>
    </row>
    <row r="186" spans="1:2" x14ac:dyDescent="0.25">
      <c r="A186" s="8" t="s">
        <v>2778</v>
      </c>
      <c r="B186" s="8" t="s">
        <v>3225</v>
      </c>
    </row>
    <row r="187" spans="1:2" x14ac:dyDescent="0.25">
      <c r="A187" s="8" t="s">
        <v>2779</v>
      </c>
      <c r="B187" s="8" t="s">
        <v>3226</v>
      </c>
    </row>
    <row r="188" spans="1:2" x14ac:dyDescent="0.25">
      <c r="A188" s="8" t="s">
        <v>2780</v>
      </c>
      <c r="B188" s="8" t="s">
        <v>3227</v>
      </c>
    </row>
    <row r="189" spans="1:2" x14ac:dyDescent="0.25">
      <c r="A189" s="8" t="s">
        <v>2781</v>
      </c>
      <c r="B189" s="8" t="s">
        <v>3228</v>
      </c>
    </row>
    <row r="190" spans="1:2" x14ac:dyDescent="0.25">
      <c r="A190" s="8" t="s">
        <v>2782</v>
      </c>
      <c r="B190" s="8" t="s">
        <v>3229</v>
      </c>
    </row>
    <row r="191" spans="1:2" x14ac:dyDescent="0.25">
      <c r="A191" s="8" t="s">
        <v>2783</v>
      </c>
      <c r="B191" s="8" t="s">
        <v>3230</v>
      </c>
    </row>
    <row r="192" spans="1:2" x14ac:dyDescent="0.25">
      <c r="A192" s="8" t="s">
        <v>2784</v>
      </c>
      <c r="B192" s="8" t="s">
        <v>3231</v>
      </c>
    </row>
    <row r="193" spans="1:2" x14ac:dyDescent="0.25">
      <c r="A193" s="8" t="s">
        <v>2785</v>
      </c>
      <c r="B193" s="8" t="s">
        <v>3232</v>
      </c>
    </row>
    <row r="194" spans="1:2" x14ac:dyDescent="0.25">
      <c r="A194" s="8" t="s">
        <v>2786</v>
      </c>
      <c r="B194" s="8" t="s">
        <v>3233</v>
      </c>
    </row>
    <row r="195" spans="1:2" x14ac:dyDescent="0.25">
      <c r="A195" s="8" t="s">
        <v>2787</v>
      </c>
      <c r="B195" s="8" t="s">
        <v>3234</v>
      </c>
    </row>
    <row r="196" spans="1:2" x14ac:dyDescent="0.25">
      <c r="A196" s="8" t="s">
        <v>2788</v>
      </c>
      <c r="B196" s="8" t="s">
        <v>3235</v>
      </c>
    </row>
    <row r="197" spans="1:2" x14ac:dyDescent="0.25">
      <c r="A197" s="8" t="s">
        <v>2789</v>
      </c>
      <c r="B197" s="8" t="s">
        <v>3236</v>
      </c>
    </row>
    <row r="198" spans="1:2" x14ac:dyDescent="0.25">
      <c r="A198" s="8" t="s">
        <v>2790</v>
      </c>
      <c r="B198" s="8" t="s">
        <v>3237</v>
      </c>
    </row>
    <row r="199" spans="1:2" x14ac:dyDescent="0.25">
      <c r="A199" s="8" t="s">
        <v>2791</v>
      </c>
      <c r="B199" s="8" t="s">
        <v>3238</v>
      </c>
    </row>
    <row r="200" spans="1:2" x14ac:dyDescent="0.25">
      <c r="A200" s="8" t="s">
        <v>2792</v>
      </c>
      <c r="B200" s="8" t="s">
        <v>3239</v>
      </c>
    </row>
    <row r="201" spans="1:2" x14ac:dyDescent="0.25">
      <c r="A201" s="8" t="s">
        <v>2793</v>
      </c>
      <c r="B201" s="8" t="s">
        <v>3240</v>
      </c>
    </row>
    <row r="202" spans="1:2" x14ac:dyDescent="0.25">
      <c r="A202" s="8" t="s">
        <v>2794</v>
      </c>
      <c r="B202" s="8" t="s">
        <v>3241</v>
      </c>
    </row>
    <row r="203" spans="1:2" x14ac:dyDescent="0.25">
      <c r="A203" s="8" t="s">
        <v>2795</v>
      </c>
      <c r="B203" s="8" t="s">
        <v>3242</v>
      </c>
    </row>
    <row r="204" spans="1:2" x14ac:dyDescent="0.25">
      <c r="A204" s="8" t="s">
        <v>2796</v>
      </c>
      <c r="B204" s="8" t="s">
        <v>3243</v>
      </c>
    </row>
    <row r="205" spans="1:2" x14ac:dyDescent="0.25">
      <c r="A205" s="8" t="s">
        <v>2797</v>
      </c>
      <c r="B205" s="8" t="s">
        <v>3244</v>
      </c>
    </row>
    <row r="206" spans="1:2" x14ac:dyDescent="0.25">
      <c r="A206" s="8" t="s">
        <v>2798</v>
      </c>
      <c r="B206" s="8" t="s">
        <v>3245</v>
      </c>
    </row>
    <row r="207" spans="1:2" x14ac:dyDescent="0.25">
      <c r="A207" s="8" t="s">
        <v>2799</v>
      </c>
      <c r="B207" s="8" t="s">
        <v>3246</v>
      </c>
    </row>
    <row r="208" spans="1:2" x14ac:dyDescent="0.25">
      <c r="A208" s="8" t="s">
        <v>2800</v>
      </c>
      <c r="B208" s="8" t="s">
        <v>3247</v>
      </c>
    </row>
    <row r="209" spans="1:2" x14ac:dyDescent="0.25">
      <c r="A209" s="8" t="s">
        <v>2801</v>
      </c>
      <c r="B209" s="8" t="s">
        <v>3248</v>
      </c>
    </row>
    <row r="210" spans="1:2" x14ac:dyDescent="0.25">
      <c r="A210" s="8" t="s">
        <v>2802</v>
      </c>
      <c r="B210" s="8" t="s">
        <v>3249</v>
      </c>
    </row>
    <row r="211" spans="1:2" x14ac:dyDescent="0.25">
      <c r="A211" s="8" t="s">
        <v>2803</v>
      </c>
      <c r="B211" s="8" t="s">
        <v>3250</v>
      </c>
    </row>
    <row r="212" spans="1:2" x14ac:dyDescent="0.25">
      <c r="A212" s="8" t="s">
        <v>2804</v>
      </c>
      <c r="B212" s="8" t="s">
        <v>3251</v>
      </c>
    </row>
    <row r="213" spans="1:2" x14ac:dyDescent="0.25">
      <c r="A213" s="8" t="s">
        <v>2805</v>
      </c>
      <c r="B213" s="8" t="s">
        <v>3252</v>
      </c>
    </row>
    <row r="214" spans="1:2" x14ac:dyDescent="0.25">
      <c r="A214" s="8" t="s">
        <v>2806</v>
      </c>
      <c r="B214" s="8" t="s">
        <v>3253</v>
      </c>
    </row>
    <row r="215" spans="1:2" x14ac:dyDescent="0.25">
      <c r="A215" s="8" t="s">
        <v>2807</v>
      </c>
      <c r="B215" s="8" t="s">
        <v>3254</v>
      </c>
    </row>
    <row r="216" spans="1:2" x14ac:dyDescent="0.25">
      <c r="A216" s="8" t="s">
        <v>2808</v>
      </c>
      <c r="B216" s="8" t="s">
        <v>3255</v>
      </c>
    </row>
    <row r="217" spans="1:2" x14ac:dyDescent="0.25">
      <c r="A217" s="8" t="s">
        <v>2809</v>
      </c>
      <c r="B217" s="8" t="s">
        <v>3256</v>
      </c>
    </row>
    <row r="218" spans="1:2" x14ac:dyDescent="0.25">
      <c r="A218" s="8" t="s">
        <v>2810</v>
      </c>
      <c r="B218" s="8" t="s">
        <v>3257</v>
      </c>
    </row>
    <row r="219" spans="1:2" x14ac:dyDescent="0.25">
      <c r="A219" s="8" t="s">
        <v>2811</v>
      </c>
      <c r="B219" s="8" t="s">
        <v>3258</v>
      </c>
    </row>
    <row r="220" spans="1:2" x14ac:dyDescent="0.25">
      <c r="A220" s="8" t="s">
        <v>2812</v>
      </c>
      <c r="B220" s="8" t="s">
        <v>3259</v>
      </c>
    </row>
    <row r="221" spans="1:2" x14ac:dyDescent="0.25">
      <c r="A221" s="8" t="s">
        <v>2813</v>
      </c>
      <c r="B221" s="8" t="s">
        <v>3260</v>
      </c>
    </row>
    <row r="222" spans="1:2" x14ac:dyDescent="0.25">
      <c r="A222" s="8" t="s">
        <v>2814</v>
      </c>
      <c r="B222" s="8" t="s">
        <v>3261</v>
      </c>
    </row>
    <row r="223" spans="1:2" x14ac:dyDescent="0.25">
      <c r="A223" s="8" t="s">
        <v>2815</v>
      </c>
      <c r="B223" s="8" t="s">
        <v>3262</v>
      </c>
    </row>
    <row r="224" spans="1:2" x14ac:dyDescent="0.25">
      <c r="A224" s="8" t="s">
        <v>2816</v>
      </c>
      <c r="B224" s="8" t="s">
        <v>3263</v>
      </c>
    </row>
    <row r="225" spans="1:2" x14ac:dyDescent="0.25">
      <c r="A225" s="8" t="s">
        <v>2817</v>
      </c>
      <c r="B225" s="8" t="s">
        <v>3264</v>
      </c>
    </row>
    <row r="226" spans="1:2" x14ac:dyDescent="0.25">
      <c r="A226" s="8" t="s">
        <v>2818</v>
      </c>
      <c r="B226" s="8" t="s">
        <v>3265</v>
      </c>
    </row>
    <row r="227" spans="1:2" x14ac:dyDescent="0.25">
      <c r="A227" s="8" t="s">
        <v>2819</v>
      </c>
      <c r="B227" s="8" t="s">
        <v>3266</v>
      </c>
    </row>
    <row r="228" spans="1:2" x14ac:dyDescent="0.25">
      <c r="A228" s="8" t="s">
        <v>2820</v>
      </c>
      <c r="B228" s="8" t="s">
        <v>3267</v>
      </c>
    </row>
    <row r="229" spans="1:2" x14ac:dyDescent="0.25">
      <c r="A229" s="8" t="s">
        <v>2821</v>
      </c>
      <c r="B229" s="8" t="s">
        <v>3268</v>
      </c>
    </row>
    <row r="230" spans="1:2" x14ac:dyDescent="0.25">
      <c r="A230" s="8" t="s">
        <v>2822</v>
      </c>
      <c r="B230" s="8" t="s">
        <v>3269</v>
      </c>
    </row>
    <row r="231" spans="1:2" x14ac:dyDescent="0.25">
      <c r="A231" s="8" t="s">
        <v>2823</v>
      </c>
      <c r="B231" s="8" t="s">
        <v>3270</v>
      </c>
    </row>
    <row r="232" spans="1:2" x14ac:dyDescent="0.25">
      <c r="A232" s="8" t="s">
        <v>2824</v>
      </c>
      <c r="B232" s="8" t="s">
        <v>3271</v>
      </c>
    </row>
    <row r="233" spans="1:2" x14ac:dyDescent="0.25">
      <c r="A233" s="8" t="s">
        <v>2825</v>
      </c>
      <c r="B233" s="8" t="s">
        <v>3272</v>
      </c>
    </row>
    <row r="234" spans="1:2" x14ac:dyDescent="0.25">
      <c r="A234" s="8" t="s">
        <v>2826</v>
      </c>
      <c r="B234" s="8" t="s">
        <v>3273</v>
      </c>
    </row>
    <row r="235" spans="1:2" x14ac:dyDescent="0.25">
      <c r="A235" s="8" t="s">
        <v>2827</v>
      </c>
      <c r="B235" s="8" t="s">
        <v>3274</v>
      </c>
    </row>
    <row r="236" spans="1:2" x14ac:dyDescent="0.25">
      <c r="A236" s="8" t="s">
        <v>2828</v>
      </c>
      <c r="B236" s="8" t="s">
        <v>3275</v>
      </c>
    </row>
    <row r="237" spans="1:2" x14ac:dyDescent="0.25">
      <c r="A237" s="8" t="s">
        <v>2829</v>
      </c>
      <c r="B237" s="8" t="s">
        <v>3276</v>
      </c>
    </row>
    <row r="238" spans="1:2" x14ac:dyDescent="0.25">
      <c r="A238" s="8" t="s">
        <v>2830</v>
      </c>
      <c r="B238" s="8" t="s">
        <v>3277</v>
      </c>
    </row>
    <row r="239" spans="1:2" x14ac:dyDescent="0.25">
      <c r="A239" s="8" t="s">
        <v>2831</v>
      </c>
      <c r="B239" s="8" t="s">
        <v>3278</v>
      </c>
    </row>
    <row r="240" spans="1:2" x14ac:dyDescent="0.25">
      <c r="A240" s="8" t="s">
        <v>2832</v>
      </c>
      <c r="B240" s="8" t="s">
        <v>3279</v>
      </c>
    </row>
    <row r="241" spans="1:2" x14ac:dyDescent="0.25">
      <c r="A241" s="8" t="s">
        <v>2833</v>
      </c>
      <c r="B241" s="8" t="s">
        <v>3280</v>
      </c>
    </row>
    <row r="242" spans="1:2" x14ac:dyDescent="0.25">
      <c r="A242" s="8" t="s">
        <v>2834</v>
      </c>
      <c r="B242" s="8" t="s">
        <v>3281</v>
      </c>
    </row>
    <row r="243" spans="1:2" x14ac:dyDescent="0.25">
      <c r="A243" s="8" t="s">
        <v>2835</v>
      </c>
      <c r="B243" s="8" t="s">
        <v>3282</v>
      </c>
    </row>
    <row r="244" spans="1:2" x14ac:dyDescent="0.25">
      <c r="A244" s="8" t="s">
        <v>2836</v>
      </c>
      <c r="B244" s="8" t="s">
        <v>3283</v>
      </c>
    </row>
    <row r="245" spans="1:2" x14ac:dyDescent="0.25">
      <c r="A245" s="8" t="s">
        <v>2837</v>
      </c>
      <c r="B245" s="8" t="s">
        <v>3284</v>
      </c>
    </row>
    <row r="246" spans="1:2" x14ac:dyDescent="0.25">
      <c r="A246" s="8" t="s">
        <v>2838</v>
      </c>
      <c r="B246" s="8" t="s">
        <v>3285</v>
      </c>
    </row>
    <row r="247" spans="1:2" x14ac:dyDescent="0.25">
      <c r="A247" s="8" t="s">
        <v>2839</v>
      </c>
      <c r="B247" s="8" t="s">
        <v>3286</v>
      </c>
    </row>
    <row r="248" spans="1:2" x14ac:dyDescent="0.25">
      <c r="A248" s="8" t="s">
        <v>2840</v>
      </c>
      <c r="B248" s="8" t="s">
        <v>3287</v>
      </c>
    </row>
    <row r="249" spans="1:2" x14ac:dyDescent="0.25">
      <c r="A249" s="8" t="s">
        <v>2841</v>
      </c>
      <c r="B249" s="8" t="s">
        <v>3288</v>
      </c>
    </row>
    <row r="250" spans="1:2" x14ac:dyDescent="0.25">
      <c r="A250" s="8" t="s">
        <v>2842</v>
      </c>
      <c r="B250" s="8" t="s">
        <v>3289</v>
      </c>
    </row>
    <row r="251" spans="1:2" x14ac:dyDescent="0.25">
      <c r="A251" s="8" t="s">
        <v>2843</v>
      </c>
      <c r="B251" s="8" t="s">
        <v>3290</v>
      </c>
    </row>
    <row r="252" spans="1:2" x14ac:dyDescent="0.25">
      <c r="A252" s="8" t="s">
        <v>2844</v>
      </c>
      <c r="B252" s="8" t="s">
        <v>3291</v>
      </c>
    </row>
    <row r="253" spans="1:2" x14ac:dyDescent="0.25">
      <c r="A253" s="8" t="s">
        <v>2845</v>
      </c>
      <c r="B253" s="8" t="s">
        <v>3292</v>
      </c>
    </row>
    <row r="254" spans="1:2" x14ac:dyDescent="0.25">
      <c r="A254" s="8" t="s">
        <v>2846</v>
      </c>
      <c r="B254" s="8" t="s">
        <v>3293</v>
      </c>
    </row>
    <row r="255" spans="1:2" x14ac:dyDescent="0.25">
      <c r="A255" s="8" t="s">
        <v>2847</v>
      </c>
      <c r="B255" s="8" t="s">
        <v>3294</v>
      </c>
    </row>
    <row r="256" spans="1:2" x14ac:dyDescent="0.25">
      <c r="A256" s="8" t="s">
        <v>2848</v>
      </c>
      <c r="B256" s="8" t="s">
        <v>3295</v>
      </c>
    </row>
    <row r="257" spans="1:2" x14ac:dyDescent="0.25">
      <c r="A257" s="8" t="s">
        <v>2849</v>
      </c>
      <c r="B257" s="8" t="s">
        <v>3296</v>
      </c>
    </row>
    <row r="258" spans="1:2" x14ac:dyDescent="0.25">
      <c r="A258" s="8" t="s">
        <v>2850</v>
      </c>
      <c r="B258" s="8" t="s">
        <v>3297</v>
      </c>
    </row>
    <row r="259" spans="1:2" x14ac:dyDescent="0.25">
      <c r="A259" s="8" t="s">
        <v>2851</v>
      </c>
      <c r="B259" s="8" t="s">
        <v>3298</v>
      </c>
    </row>
    <row r="260" spans="1:2" x14ac:dyDescent="0.25">
      <c r="A260" s="8" t="s">
        <v>2852</v>
      </c>
      <c r="B260" s="8" t="s">
        <v>3299</v>
      </c>
    </row>
    <row r="261" spans="1:2" x14ac:dyDescent="0.25">
      <c r="A261" s="8" t="s">
        <v>2853</v>
      </c>
      <c r="B261" s="8" t="s">
        <v>3300</v>
      </c>
    </row>
    <row r="262" spans="1:2" x14ac:dyDescent="0.25">
      <c r="A262" s="8" t="s">
        <v>2854</v>
      </c>
      <c r="B262" s="8" t="s">
        <v>3301</v>
      </c>
    </row>
    <row r="263" spans="1:2" x14ac:dyDescent="0.25">
      <c r="A263" s="8" t="s">
        <v>2855</v>
      </c>
      <c r="B263" s="8" t="s">
        <v>3302</v>
      </c>
    </row>
    <row r="264" spans="1:2" x14ac:dyDescent="0.25">
      <c r="A264" s="8" t="s">
        <v>2856</v>
      </c>
      <c r="B264" s="8" t="s">
        <v>3303</v>
      </c>
    </row>
    <row r="265" spans="1:2" x14ac:dyDescent="0.25">
      <c r="A265" s="8" t="s">
        <v>2857</v>
      </c>
      <c r="B265" s="8" t="s">
        <v>3304</v>
      </c>
    </row>
    <row r="266" spans="1:2" x14ac:dyDescent="0.25">
      <c r="A266" s="8" t="s">
        <v>2858</v>
      </c>
      <c r="B266" s="8" t="s">
        <v>3305</v>
      </c>
    </row>
    <row r="267" spans="1:2" x14ac:dyDescent="0.25">
      <c r="A267" s="8" t="s">
        <v>2859</v>
      </c>
      <c r="B267" s="8" t="s">
        <v>3306</v>
      </c>
    </row>
    <row r="268" spans="1:2" x14ac:dyDescent="0.25">
      <c r="A268" s="8" t="s">
        <v>2860</v>
      </c>
      <c r="B268" s="8" t="s">
        <v>3307</v>
      </c>
    </row>
    <row r="269" spans="1:2" x14ac:dyDescent="0.25">
      <c r="A269" s="8" t="s">
        <v>2861</v>
      </c>
      <c r="B269" s="8" t="s">
        <v>3308</v>
      </c>
    </row>
    <row r="270" spans="1:2" x14ac:dyDescent="0.25">
      <c r="A270" s="8" t="s">
        <v>2862</v>
      </c>
      <c r="B270" s="8" t="s">
        <v>3309</v>
      </c>
    </row>
    <row r="271" spans="1:2" x14ac:dyDescent="0.25">
      <c r="A271" s="8" t="s">
        <v>2863</v>
      </c>
      <c r="B271" s="8" t="s">
        <v>3310</v>
      </c>
    </row>
    <row r="272" spans="1:2" x14ac:dyDescent="0.25">
      <c r="A272" s="8" t="s">
        <v>2864</v>
      </c>
      <c r="B272" s="8" t="s">
        <v>3311</v>
      </c>
    </row>
    <row r="273" spans="1:2" x14ac:dyDescent="0.25">
      <c r="A273" s="8" t="s">
        <v>2865</v>
      </c>
      <c r="B273" s="8" t="s">
        <v>3312</v>
      </c>
    </row>
    <row r="274" spans="1:2" x14ac:dyDescent="0.25">
      <c r="A274" s="8" t="s">
        <v>2866</v>
      </c>
      <c r="B274" s="8" t="s">
        <v>3313</v>
      </c>
    </row>
    <row r="275" spans="1:2" x14ac:dyDescent="0.25">
      <c r="A275" s="8" t="s">
        <v>2867</v>
      </c>
      <c r="B275" s="8" t="s">
        <v>3314</v>
      </c>
    </row>
    <row r="276" spans="1:2" x14ac:dyDescent="0.25">
      <c r="A276" s="8" t="s">
        <v>2868</v>
      </c>
      <c r="B276" s="8" t="s">
        <v>3315</v>
      </c>
    </row>
    <row r="277" spans="1:2" x14ac:dyDescent="0.25">
      <c r="A277" s="8" t="s">
        <v>2869</v>
      </c>
      <c r="B277" s="8" t="s">
        <v>3316</v>
      </c>
    </row>
    <row r="278" spans="1:2" x14ac:dyDescent="0.25">
      <c r="A278" s="8" t="s">
        <v>2870</v>
      </c>
      <c r="B278" s="8" t="s">
        <v>3317</v>
      </c>
    </row>
    <row r="279" spans="1:2" x14ac:dyDescent="0.25">
      <c r="A279" s="8" t="s">
        <v>2871</v>
      </c>
      <c r="B279" s="8" t="s">
        <v>3318</v>
      </c>
    </row>
    <row r="280" spans="1:2" x14ac:dyDescent="0.25">
      <c r="A280" s="8" t="s">
        <v>2872</v>
      </c>
      <c r="B280" s="8" t="s">
        <v>3319</v>
      </c>
    </row>
    <row r="281" spans="1:2" x14ac:dyDescent="0.25">
      <c r="A281" s="8" t="s">
        <v>2873</v>
      </c>
      <c r="B281" s="8" t="s">
        <v>3320</v>
      </c>
    </row>
    <row r="282" spans="1:2" x14ac:dyDescent="0.25">
      <c r="A282" s="8" t="s">
        <v>2874</v>
      </c>
      <c r="B282" s="8" t="s">
        <v>3321</v>
      </c>
    </row>
    <row r="283" spans="1:2" x14ac:dyDescent="0.25">
      <c r="A283" s="8" t="s">
        <v>2875</v>
      </c>
      <c r="B283" s="8" t="s">
        <v>3322</v>
      </c>
    </row>
    <row r="284" spans="1:2" x14ac:dyDescent="0.25">
      <c r="A284" s="8" t="s">
        <v>2876</v>
      </c>
      <c r="B284" s="8" t="s">
        <v>3323</v>
      </c>
    </row>
    <row r="285" spans="1:2" x14ac:dyDescent="0.25">
      <c r="A285" s="8" t="s">
        <v>2877</v>
      </c>
      <c r="B285" s="8" t="s">
        <v>3324</v>
      </c>
    </row>
    <row r="286" spans="1:2" x14ac:dyDescent="0.25">
      <c r="A286" s="8" t="s">
        <v>2878</v>
      </c>
      <c r="B286" s="8" t="s">
        <v>3325</v>
      </c>
    </row>
    <row r="287" spans="1:2" x14ac:dyDescent="0.25">
      <c r="A287" s="8" t="s">
        <v>2879</v>
      </c>
      <c r="B287" s="8" t="s">
        <v>3326</v>
      </c>
    </row>
    <row r="288" spans="1:2" x14ac:dyDescent="0.25">
      <c r="A288" s="8" t="s">
        <v>2880</v>
      </c>
      <c r="B288" s="8" t="s">
        <v>3327</v>
      </c>
    </row>
    <row r="289" spans="1:2" x14ac:dyDescent="0.25">
      <c r="A289" s="8" t="s">
        <v>2881</v>
      </c>
      <c r="B289" s="8" t="s">
        <v>3328</v>
      </c>
    </row>
    <row r="290" spans="1:2" x14ac:dyDescent="0.25">
      <c r="A290" s="8" t="s">
        <v>2882</v>
      </c>
      <c r="B290" s="8" t="s">
        <v>3329</v>
      </c>
    </row>
    <row r="291" spans="1:2" x14ac:dyDescent="0.25">
      <c r="A291" s="8" t="s">
        <v>2883</v>
      </c>
      <c r="B291" s="8" t="s">
        <v>3330</v>
      </c>
    </row>
    <row r="292" spans="1:2" x14ac:dyDescent="0.25">
      <c r="A292" s="8" t="s">
        <v>2884</v>
      </c>
      <c r="B292" s="8" t="s">
        <v>3331</v>
      </c>
    </row>
    <row r="293" spans="1:2" x14ac:dyDescent="0.25">
      <c r="A293" s="8" t="s">
        <v>2885</v>
      </c>
      <c r="B293" s="8" t="s">
        <v>3332</v>
      </c>
    </row>
    <row r="294" spans="1:2" x14ac:dyDescent="0.25">
      <c r="A294" s="8" t="s">
        <v>2886</v>
      </c>
      <c r="B294" s="8" t="s">
        <v>3333</v>
      </c>
    </row>
    <row r="295" spans="1:2" x14ac:dyDescent="0.25">
      <c r="A295" s="8" t="s">
        <v>2887</v>
      </c>
      <c r="B295" s="8" t="s">
        <v>3334</v>
      </c>
    </row>
    <row r="296" spans="1:2" x14ac:dyDescent="0.25">
      <c r="A296" s="8" t="s">
        <v>2888</v>
      </c>
      <c r="B296" s="8" t="s">
        <v>3335</v>
      </c>
    </row>
    <row r="297" spans="1:2" x14ac:dyDescent="0.25">
      <c r="A297" s="8" t="s">
        <v>2889</v>
      </c>
      <c r="B297" s="8" t="s">
        <v>3336</v>
      </c>
    </row>
    <row r="298" spans="1:2" x14ac:dyDescent="0.25">
      <c r="A298" s="8" t="s">
        <v>2890</v>
      </c>
      <c r="B298" s="8" t="s">
        <v>3337</v>
      </c>
    </row>
    <row r="299" spans="1:2" x14ac:dyDescent="0.25">
      <c r="A299" s="8" t="s">
        <v>2891</v>
      </c>
      <c r="B299" s="8" t="s">
        <v>3338</v>
      </c>
    </row>
    <row r="300" spans="1:2" x14ac:dyDescent="0.25">
      <c r="A300" s="8" t="s">
        <v>2892</v>
      </c>
      <c r="B300" s="8" t="s">
        <v>3339</v>
      </c>
    </row>
    <row r="301" spans="1:2" x14ac:dyDescent="0.25">
      <c r="A301" s="8" t="s">
        <v>2893</v>
      </c>
      <c r="B301" s="8" t="s">
        <v>3340</v>
      </c>
    </row>
    <row r="302" spans="1:2" x14ac:dyDescent="0.25">
      <c r="A302" s="8" t="s">
        <v>2894</v>
      </c>
      <c r="B302" s="8" t="s">
        <v>3341</v>
      </c>
    </row>
    <row r="303" spans="1:2" x14ac:dyDescent="0.25">
      <c r="A303" s="8" t="s">
        <v>2895</v>
      </c>
      <c r="B303" s="8" t="s">
        <v>3342</v>
      </c>
    </row>
    <row r="304" spans="1:2" x14ac:dyDescent="0.25">
      <c r="A304" s="8" t="s">
        <v>2896</v>
      </c>
      <c r="B304" s="8" t="s">
        <v>3343</v>
      </c>
    </row>
    <row r="305" spans="1:2" x14ac:dyDescent="0.25">
      <c r="A305" s="8" t="s">
        <v>2897</v>
      </c>
      <c r="B305" s="8" t="s">
        <v>3344</v>
      </c>
    </row>
    <row r="306" spans="1:2" x14ac:dyDescent="0.25">
      <c r="A306" s="8" t="s">
        <v>2898</v>
      </c>
      <c r="B306" s="8" t="s">
        <v>3345</v>
      </c>
    </row>
    <row r="307" spans="1:2" x14ac:dyDescent="0.25">
      <c r="A307" s="8" t="s">
        <v>2899</v>
      </c>
      <c r="B307" s="8" t="s">
        <v>3346</v>
      </c>
    </row>
    <row r="308" spans="1:2" x14ac:dyDescent="0.25">
      <c r="A308" s="8" t="s">
        <v>2900</v>
      </c>
      <c r="B308" s="8" t="s">
        <v>3347</v>
      </c>
    </row>
    <row r="309" spans="1:2" x14ac:dyDescent="0.25">
      <c r="A309" s="8" t="s">
        <v>2901</v>
      </c>
      <c r="B309" s="8" t="s">
        <v>3348</v>
      </c>
    </row>
    <row r="310" spans="1:2" x14ac:dyDescent="0.25">
      <c r="A310" s="8" t="s">
        <v>2902</v>
      </c>
      <c r="B310" s="8" t="s">
        <v>3349</v>
      </c>
    </row>
    <row r="311" spans="1:2" x14ac:dyDescent="0.25">
      <c r="A311" s="8" t="s">
        <v>2903</v>
      </c>
      <c r="B311" s="8" t="s">
        <v>3350</v>
      </c>
    </row>
    <row r="312" spans="1:2" x14ac:dyDescent="0.25">
      <c r="A312" s="8" t="s">
        <v>2904</v>
      </c>
      <c r="B312" s="8" t="s">
        <v>3351</v>
      </c>
    </row>
    <row r="313" spans="1:2" x14ac:dyDescent="0.25">
      <c r="A313" s="8" t="s">
        <v>2905</v>
      </c>
      <c r="B313" s="8" t="s">
        <v>3352</v>
      </c>
    </row>
    <row r="314" spans="1:2" x14ac:dyDescent="0.25">
      <c r="A314" s="8" t="s">
        <v>2906</v>
      </c>
      <c r="B314" s="8" t="s">
        <v>3353</v>
      </c>
    </row>
    <row r="315" spans="1:2" x14ac:dyDescent="0.25">
      <c r="A315" s="8" t="s">
        <v>2907</v>
      </c>
      <c r="B315" s="8" t="s">
        <v>3354</v>
      </c>
    </row>
    <row r="316" spans="1:2" x14ac:dyDescent="0.25">
      <c r="A316" s="8" t="s">
        <v>2908</v>
      </c>
      <c r="B316" s="8" t="s">
        <v>3355</v>
      </c>
    </row>
    <row r="317" spans="1:2" x14ac:dyDescent="0.25">
      <c r="A317" s="8" t="s">
        <v>2909</v>
      </c>
      <c r="B317" s="8" t="s">
        <v>3356</v>
      </c>
    </row>
    <row r="318" spans="1:2" x14ac:dyDescent="0.25">
      <c r="A318" s="8" t="s">
        <v>2910</v>
      </c>
      <c r="B318" s="8" t="s">
        <v>3357</v>
      </c>
    </row>
    <row r="319" spans="1:2" x14ac:dyDescent="0.25">
      <c r="A319" s="8" t="s">
        <v>2911</v>
      </c>
      <c r="B319" s="8" t="s">
        <v>3358</v>
      </c>
    </row>
    <row r="320" spans="1:2" x14ac:dyDescent="0.25">
      <c r="A320" s="8" t="s">
        <v>2912</v>
      </c>
      <c r="B320" s="8" t="s">
        <v>3359</v>
      </c>
    </row>
    <row r="321" spans="1:2" x14ac:dyDescent="0.25">
      <c r="A321" s="8" t="s">
        <v>2913</v>
      </c>
      <c r="B321" s="8" t="s">
        <v>3360</v>
      </c>
    </row>
    <row r="322" spans="1:2" x14ac:dyDescent="0.25">
      <c r="A322" s="8" t="s">
        <v>2914</v>
      </c>
      <c r="B322" s="8" t="s">
        <v>3361</v>
      </c>
    </row>
    <row r="323" spans="1:2" x14ac:dyDescent="0.25">
      <c r="A323" s="8" t="s">
        <v>2915</v>
      </c>
      <c r="B323" s="8" t="s">
        <v>3362</v>
      </c>
    </row>
    <row r="324" spans="1:2" x14ac:dyDescent="0.25">
      <c r="A324" s="8" t="s">
        <v>2916</v>
      </c>
      <c r="B324" s="8" t="s">
        <v>3363</v>
      </c>
    </row>
    <row r="325" spans="1:2" x14ac:dyDescent="0.25">
      <c r="A325" s="8" t="s">
        <v>2917</v>
      </c>
      <c r="B325" s="8" t="s">
        <v>3364</v>
      </c>
    </row>
    <row r="326" spans="1:2" x14ac:dyDescent="0.25">
      <c r="A326" s="8" t="s">
        <v>2918</v>
      </c>
      <c r="B326" s="8" t="s">
        <v>3365</v>
      </c>
    </row>
    <row r="327" spans="1:2" x14ac:dyDescent="0.25">
      <c r="A327" s="8" t="s">
        <v>2919</v>
      </c>
      <c r="B327" s="8" t="s">
        <v>3366</v>
      </c>
    </row>
    <row r="328" spans="1:2" x14ac:dyDescent="0.25">
      <c r="A328" s="8" t="s">
        <v>2920</v>
      </c>
      <c r="B328" s="8" t="s">
        <v>3367</v>
      </c>
    </row>
    <row r="329" spans="1:2" x14ac:dyDescent="0.25">
      <c r="A329" s="8" t="s">
        <v>2921</v>
      </c>
      <c r="B329" s="8" t="s">
        <v>3368</v>
      </c>
    </row>
    <row r="330" spans="1:2" x14ac:dyDescent="0.25">
      <c r="A330" s="8" t="s">
        <v>2922</v>
      </c>
      <c r="B330" s="8" t="s">
        <v>3369</v>
      </c>
    </row>
    <row r="331" spans="1:2" x14ac:dyDescent="0.25">
      <c r="A331" s="8" t="s">
        <v>2923</v>
      </c>
      <c r="B331" s="8" t="s">
        <v>3370</v>
      </c>
    </row>
    <row r="332" spans="1:2" x14ac:dyDescent="0.25">
      <c r="A332" s="8" t="s">
        <v>2924</v>
      </c>
      <c r="B332" s="8" t="s">
        <v>3371</v>
      </c>
    </row>
    <row r="333" spans="1:2" x14ac:dyDescent="0.25">
      <c r="A333" s="8" t="s">
        <v>2925</v>
      </c>
      <c r="B333" s="8" t="s">
        <v>3372</v>
      </c>
    </row>
    <row r="334" spans="1:2" x14ac:dyDescent="0.25">
      <c r="A334" s="8" t="s">
        <v>2926</v>
      </c>
      <c r="B334" s="8" t="s">
        <v>3373</v>
      </c>
    </row>
    <row r="335" spans="1:2" x14ac:dyDescent="0.25">
      <c r="A335" s="8" t="s">
        <v>2927</v>
      </c>
      <c r="B335" s="8" t="s">
        <v>3374</v>
      </c>
    </row>
    <row r="336" spans="1:2" x14ac:dyDescent="0.25">
      <c r="A336" s="8" t="s">
        <v>2928</v>
      </c>
      <c r="B336" s="8" t="s">
        <v>3375</v>
      </c>
    </row>
    <row r="337" spans="1:2" x14ac:dyDescent="0.25">
      <c r="A337" s="8" t="s">
        <v>2929</v>
      </c>
      <c r="B337" s="8" t="s">
        <v>3376</v>
      </c>
    </row>
    <row r="338" spans="1:2" x14ac:dyDescent="0.25">
      <c r="A338" s="8" t="s">
        <v>2930</v>
      </c>
      <c r="B338" s="8" t="s">
        <v>3377</v>
      </c>
    </row>
    <row r="339" spans="1:2" x14ac:dyDescent="0.25">
      <c r="A339" s="8" t="s">
        <v>2931</v>
      </c>
      <c r="B339" s="8" t="s">
        <v>3378</v>
      </c>
    </row>
    <row r="340" spans="1:2" x14ac:dyDescent="0.25">
      <c r="A340" s="8" t="s">
        <v>2932</v>
      </c>
      <c r="B340" s="8" t="s">
        <v>3379</v>
      </c>
    </row>
    <row r="341" spans="1:2" x14ac:dyDescent="0.25">
      <c r="A341" s="8" t="s">
        <v>2933</v>
      </c>
      <c r="B341" s="8" t="s">
        <v>3380</v>
      </c>
    </row>
    <row r="342" spans="1:2" x14ac:dyDescent="0.25">
      <c r="A342" s="8" t="s">
        <v>2934</v>
      </c>
      <c r="B342" s="8" t="s">
        <v>3381</v>
      </c>
    </row>
    <row r="343" spans="1:2" x14ac:dyDescent="0.25">
      <c r="A343" s="8" t="s">
        <v>2935</v>
      </c>
      <c r="B343" s="8" t="s">
        <v>3382</v>
      </c>
    </row>
    <row r="344" spans="1:2" x14ac:dyDescent="0.25">
      <c r="A344" s="8" t="s">
        <v>2936</v>
      </c>
      <c r="B344" s="8" t="s">
        <v>3383</v>
      </c>
    </row>
    <row r="345" spans="1:2" x14ac:dyDescent="0.25">
      <c r="A345" s="8" t="s">
        <v>2937</v>
      </c>
      <c r="B345" s="8" t="s">
        <v>3384</v>
      </c>
    </row>
    <row r="346" spans="1:2" x14ac:dyDescent="0.25">
      <c r="A346" s="8" t="s">
        <v>2938</v>
      </c>
      <c r="B346" s="8" t="s">
        <v>3385</v>
      </c>
    </row>
    <row r="347" spans="1:2" x14ac:dyDescent="0.25">
      <c r="A347" s="8" t="s">
        <v>2939</v>
      </c>
      <c r="B347" s="8" t="s">
        <v>3386</v>
      </c>
    </row>
    <row r="348" spans="1:2" x14ac:dyDescent="0.25">
      <c r="A348" s="8" t="s">
        <v>2940</v>
      </c>
      <c r="B348" s="8" t="s">
        <v>3387</v>
      </c>
    </row>
    <row r="349" spans="1:2" x14ac:dyDescent="0.25">
      <c r="A349" s="8" t="s">
        <v>2941</v>
      </c>
      <c r="B349" s="8" t="s">
        <v>3388</v>
      </c>
    </row>
    <row r="350" spans="1:2" x14ac:dyDescent="0.25">
      <c r="A350" s="8" t="s">
        <v>2942</v>
      </c>
      <c r="B350" s="8" t="s">
        <v>3389</v>
      </c>
    </row>
    <row r="351" spans="1:2" x14ac:dyDescent="0.25">
      <c r="A351" s="8" t="s">
        <v>2943</v>
      </c>
      <c r="B351" s="8" t="s">
        <v>3390</v>
      </c>
    </row>
    <row r="352" spans="1:2" x14ac:dyDescent="0.25">
      <c r="A352" s="8" t="s">
        <v>2944</v>
      </c>
      <c r="B352" s="8" t="s">
        <v>3391</v>
      </c>
    </row>
    <row r="353" spans="1:2" x14ac:dyDescent="0.25">
      <c r="A353" s="8" t="s">
        <v>2945</v>
      </c>
      <c r="B353" s="8" t="s">
        <v>3392</v>
      </c>
    </row>
    <row r="354" spans="1:2" x14ac:dyDescent="0.25">
      <c r="A354" s="8" t="s">
        <v>2946</v>
      </c>
      <c r="B354" s="8" t="s">
        <v>3393</v>
      </c>
    </row>
    <row r="355" spans="1:2" x14ac:dyDescent="0.25">
      <c r="A355" s="8" t="s">
        <v>2947</v>
      </c>
      <c r="B355" s="8" t="s">
        <v>3394</v>
      </c>
    </row>
    <row r="356" spans="1:2" x14ac:dyDescent="0.25">
      <c r="A356" s="8" t="s">
        <v>2948</v>
      </c>
      <c r="B356" s="8" t="s">
        <v>3395</v>
      </c>
    </row>
    <row r="357" spans="1:2" x14ac:dyDescent="0.25">
      <c r="A357" s="8" t="s">
        <v>2949</v>
      </c>
      <c r="B357" s="8" t="s">
        <v>3396</v>
      </c>
    </row>
    <row r="358" spans="1:2" x14ac:dyDescent="0.25">
      <c r="A358" s="8" t="s">
        <v>2950</v>
      </c>
      <c r="B358" s="8" t="s">
        <v>3397</v>
      </c>
    </row>
    <row r="359" spans="1:2" x14ac:dyDescent="0.25">
      <c r="A359" s="8" t="s">
        <v>2951</v>
      </c>
      <c r="B359" s="8" t="s">
        <v>3398</v>
      </c>
    </row>
    <row r="360" spans="1:2" x14ac:dyDescent="0.25">
      <c r="A360" s="8" t="s">
        <v>2952</v>
      </c>
      <c r="B360" s="8" t="s">
        <v>3399</v>
      </c>
    </row>
    <row r="361" spans="1:2" x14ac:dyDescent="0.25">
      <c r="A361" s="8" t="s">
        <v>2953</v>
      </c>
      <c r="B361" s="8" t="s">
        <v>3400</v>
      </c>
    </row>
    <row r="362" spans="1:2" x14ac:dyDescent="0.25">
      <c r="A362" s="8" t="s">
        <v>2954</v>
      </c>
      <c r="B362" s="8" t="s">
        <v>3401</v>
      </c>
    </row>
    <row r="363" spans="1:2" x14ac:dyDescent="0.25">
      <c r="A363" s="8" t="s">
        <v>2955</v>
      </c>
      <c r="B363" s="8" t="s">
        <v>3402</v>
      </c>
    </row>
    <row r="364" spans="1:2" x14ac:dyDescent="0.25">
      <c r="A364" s="8" t="s">
        <v>2956</v>
      </c>
      <c r="B364" s="8" t="s">
        <v>3403</v>
      </c>
    </row>
    <row r="365" spans="1:2" x14ac:dyDescent="0.25">
      <c r="A365" s="8" t="s">
        <v>2957</v>
      </c>
      <c r="B365" s="8" t="s">
        <v>3404</v>
      </c>
    </row>
    <row r="366" spans="1:2" x14ac:dyDescent="0.25">
      <c r="A366" s="8" t="s">
        <v>2958</v>
      </c>
      <c r="B366" s="8" t="s">
        <v>3405</v>
      </c>
    </row>
    <row r="367" spans="1:2" x14ac:dyDescent="0.25">
      <c r="A367" s="8" t="s">
        <v>2959</v>
      </c>
      <c r="B367" s="8" t="s">
        <v>3406</v>
      </c>
    </row>
    <row r="368" spans="1:2" x14ac:dyDescent="0.25">
      <c r="A368" s="8" t="s">
        <v>2960</v>
      </c>
      <c r="B368" s="8" t="s">
        <v>3407</v>
      </c>
    </row>
    <row r="369" spans="1:2" x14ac:dyDescent="0.25">
      <c r="A369" s="8" t="s">
        <v>2961</v>
      </c>
      <c r="B369" s="8" t="s">
        <v>3408</v>
      </c>
    </row>
    <row r="370" spans="1:2" x14ac:dyDescent="0.25">
      <c r="A370" s="8" t="s">
        <v>2962</v>
      </c>
      <c r="B370" s="8" t="s">
        <v>3409</v>
      </c>
    </row>
    <row r="371" spans="1:2" x14ac:dyDescent="0.25">
      <c r="A371" s="8" t="s">
        <v>2963</v>
      </c>
      <c r="B371" s="8" t="s">
        <v>3410</v>
      </c>
    </row>
    <row r="372" spans="1:2" x14ac:dyDescent="0.25">
      <c r="A372" s="8" t="s">
        <v>2964</v>
      </c>
      <c r="B372" s="8" t="s">
        <v>3411</v>
      </c>
    </row>
    <row r="373" spans="1:2" x14ac:dyDescent="0.25">
      <c r="A373" s="8" t="s">
        <v>2965</v>
      </c>
      <c r="B373" s="8" t="s">
        <v>3412</v>
      </c>
    </row>
    <row r="374" spans="1:2" x14ac:dyDescent="0.25">
      <c r="A374" s="8" t="s">
        <v>2966</v>
      </c>
      <c r="B374" s="8" t="s">
        <v>3413</v>
      </c>
    </row>
    <row r="375" spans="1:2" x14ac:dyDescent="0.25">
      <c r="A375" s="8" t="s">
        <v>2967</v>
      </c>
      <c r="B375" s="8" t="s">
        <v>3414</v>
      </c>
    </row>
    <row r="376" spans="1:2" x14ac:dyDescent="0.25">
      <c r="A376" s="8" t="s">
        <v>2968</v>
      </c>
      <c r="B376" s="8" t="s">
        <v>3415</v>
      </c>
    </row>
    <row r="377" spans="1:2" x14ac:dyDescent="0.25">
      <c r="A377" s="8" t="s">
        <v>2969</v>
      </c>
      <c r="B377" s="8" t="s">
        <v>3416</v>
      </c>
    </row>
    <row r="378" spans="1:2" x14ac:dyDescent="0.25">
      <c r="A378" s="8" t="s">
        <v>2970</v>
      </c>
      <c r="B378" s="8" t="s">
        <v>3417</v>
      </c>
    </row>
    <row r="379" spans="1:2" x14ac:dyDescent="0.25">
      <c r="A379" s="8" t="s">
        <v>2971</v>
      </c>
      <c r="B379" s="8" t="s">
        <v>3418</v>
      </c>
    </row>
    <row r="380" spans="1:2" x14ac:dyDescent="0.25">
      <c r="A380" s="8" t="s">
        <v>2972</v>
      </c>
      <c r="B380" s="8" t="s">
        <v>3419</v>
      </c>
    </row>
    <row r="381" spans="1:2" x14ac:dyDescent="0.25">
      <c r="A381" s="8" t="s">
        <v>2973</v>
      </c>
      <c r="B381" s="8" t="s">
        <v>3420</v>
      </c>
    </row>
    <row r="382" spans="1:2" x14ac:dyDescent="0.25">
      <c r="A382" s="8" t="s">
        <v>2974</v>
      </c>
      <c r="B382" s="8" t="s">
        <v>3421</v>
      </c>
    </row>
    <row r="383" spans="1:2" x14ac:dyDescent="0.25">
      <c r="A383" s="8" t="s">
        <v>2975</v>
      </c>
      <c r="B383" s="8" t="s">
        <v>3422</v>
      </c>
    </row>
    <row r="384" spans="1:2" x14ac:dyDescent="0.25">
      <c r="A384" s="8" t="s">
        <v>2976</v>
      </c>
      <c r="B384" s="8" t="s">
        <v>3423</v>
      </c>
    </row>
    <row r="385" spans="1:2" x14ac:dyDescent="0.25">
      <c r="A385" s="8" t="s">
        <v>2977</v>
      </c>
      <c r="B385" s="8" t="s">
        <v>3424</v>
      </c>
    </row>
    <row r="386" spans="1:2" x14ac:dyDescent="0.25">
      <c r="A386" s="8" t="s">
        <v>2978</v>
      </c>
      <c r="B386" s="8" t="s">
        <v>3425</v>
      </c>
    </row>
    <row r="387" spans="1:2" x14ac:dyDescent="0.25">
      <c r="A387" s="8" t="s">
        <v>2979</v>
      </c>
      <c r="B387" s="8" t="s">
        <v>3426</v>
      </c>
    </row>
    <row r="388" spans="1:2" x14ac:dyDescent="0.25">
      <c r="A388" s="8" t="s">
        <v>2980</v>
      </c>
      <c r="B388" s="8" t="s">
        <v>3427</v>
      </c>
    </row>
    <row r="389" spans="1:2" x14ac:dyDescent="0.25">
      <c r="A389" s="8" t="s">
        <v>2981</v>
      </c>
      <c r="B389" s="8" t="s">
        <v>3197</v>
      </c>
    </row>
    <row r="390" spans="1:2" x14ac:dyDescent="0.25">
      <c r="A390" s="8" t="s">
        <v>2982</v>
      </c>
      <c r="B390" s="8" t="s">
        <v>3428</v>
      </c>
    </row>
    <row r="391" spans="1:2" x14ac:dyDescent="0.25">
      <c r="A391" s="8" t="s">
        <v>2983</v>
      </c>
      <c r="B391" s="8" t="s">
        <v>3429</v>
      </c>
    </row>
    <row r="392" spans="1:2" x14ac:dyDescent="0.25">
      <c r="A392" s="8" t="s">
        <v>2984</v>
      </c>
      <c r="B392" s="8" t="s">
        <v>3430</v>
      </c>
    </row>
    <row r="393" spans="1:2" x14ac:dyDescent="0.25">
      <c r="A393" s="8" t="s">
        <v>2985</v>
      </c>
      <c r="B393" s="8" t="s">
        <v>3431</v>
      </c>
    </row>
    <row r="394" spans="1:2" x14ac:dyDescent="0.25">
      <c r="A394" s="8" t="s">
        <v>2986</v>
      </c>
      <c r="B394" s="8" t="s">
        <v>3432</v>
      </c>
    </row>
    <row r="395" spans="1:2" x14ac:dyDescent="0.25">
      <c r="A395" s="8" t="s">
        <v>2987</v>
      </c>
      <c r="B395" s="8" t="s">
        <v>3433</v>
      </c>
    </row>
    <row r="396" spans="1:2" x14ac:dyDescent="0.25">
      <c r="A396" s="8" t="s">
        <v>2988</v>
      </c>
      <c r="B396" s="8" t="s">
        <v>3434</v>
      </c>
    </row>
    <row r="397" spans="1:2" x14ac:dyDescent="0.25">
      <c r="A397" s="8" t="s">
        <v>2989</v>
      </c>
      <c r="B397" s="8" t="s">
        <v>3435</v>
      </c>
    </row>
    <row r="398" spans="1:2" x14ac:dyDescent="0.25">
      <c r="A398" s="8" t="s">
        <v>2990</v>
      </c>
      <c r="B398" s="8" t="s">
        <v>3436</v>
      </c>
    </row>
    <row r="399" spans="1:2" x14ac:dyDescent="0.25">
      <c r="A399" s="8" t="s">
        <v>2991</v>
      </c>
      <c r="B399" s="8" t="s">
        <v>3437</v>
      </c>
    </row>
    <row r="400" spans="1:2" x14ac:dyDescent="0.25">
      <c r="A400" s="8" t="s">
        <v>2992</v>
      </c>
      <c r="B400" s="8" t="s">
        <v>3438</v>
      </c>
    </row>
    <row r="401" spans="1:2" x14ac:dyDescent="0.25">
      <c r="A401" s="8" t="s">
        <v>2993</v>
      </c>
      <c r="B401" s="8" t="s">
        <v>3439</v>
      </c>
    </row>
    <row r="402" spans="1:2" x14ac:dyDescent="0.25">
      <c r="A402" s="8" t="s">
        <v>2994</v>
      </c>
      <c r="B402" s="8" t="s">
        <v>3440</v>
      </c>
    </row>
    <row r="403" spans="1:2" x14ac:dyDescent="0.25">
      <c r="A403" s="8" t="s">
        <v>2995</v>
      </c>
      <c r="B403" s="8" t="s">
        <v>3441</v>
      </c>
    </row>
    <row r="404" spans="1:2" x14ac:dyDescent="0.25">
      <c r="A404" s="8" t="s">
        <v>2996</v>
      </c>
      <c r="B404" s="8" t="s">
        <v>3442</v>
      </c>
    </row>
    <row r="405" spans="1:2" x14ac:dyDescent="0.25">
      <c r="A405" s="8" t="s">
        <v>2997</v>
      </c>
      <c r="B405" s="8" t="s">
        <v>3443</v>
      </c>
    </row>
    <row r="406" spans="1:2" x14ac:dyDescent="0.25">
      <c r="A406" s="8" t="s">
        <v>2998</v>
      </c>
      <c r="B406" s="8" t="s">
        <v>3444</v>
      </c>
    </row>
    <row r="407" spans="1:2" x14ac:dyDescent="0.25">
      <c r="A407" s="8" t="s">
        <v>2999</v>
      </c>
      <c r="B407" s="8" t="s">
        <v>3445</v>
      </c>
    </row>
    <row r="408" spans="1:2" x14ac:dyDescent="0.25">
      <c r="A408" s="8" t="s">
        <v>3000</v>
      </c>
      <c r="B408" s="8" t="s">
        <v>3446</v>
      </c>
    </row>
    <row r="409" spans="1:2" x14ac:dyDescent="0.25">
      <c r="A409" s="8" t="s">
        <v>3001</v>
      </c>
      <c r="B409" s="8" t="s">
        <v>3447</v>
      </c>
    </row>
    <row r="410" spans="1:2" x14ac:dyDescent="0.25">
      <c r="A410" s="8" t="s">
        <v>3002</v>
      </c>
      <c r="B410" s="8" t="s">
        <v>3448</v>
      </c>
    </row>
    <row r="411" spans="1:2" x14ac:dyDescent="0.25">
      <c r="A411" s="8" t="s">
        <v>3003</v>
      </c>
      <c r="B411" s="8" t="s">
        <v>3449</v>
      </c>
    </row>
    <row r="412" spans="1:2" x14ac:dyDescent="0.25">
      <c r="A412" s="8" t="s">
        <v>3004</v>
      </c>
      <c r="B412" s="8" t="s">
        <v>3450</v>
      </c>
    </row>
    <row r="413" spans="1:2" x14ac:dyDescent="0.25">
      <c r="A413" s="8" t="s">
        <v>3005</v>
      </c>
      <c r="B413" s="8" t="s">
        <v>3451</v>
      </c>
    </row>
    <row r="414" spans="1:2" x14ac:dyDescent="0.25">
      <c r="A414" s="8" t="s">
        <v>3006</v>
      </c>
      <c r="B414" s="8" t="s">
        <v>3452</v>
      </c>
    </row>
    <row r="415" spans="1:2" x14ac:dyDescent="0.25">
      <c r="A415" s="8" t="s">
        <v>3007</v>
      </c>
      <c r="B415" s="8" t="s">
        <v>3453</v>
      </c>
    </row>
    <row r="416" spans="1:2" x14ac:dyDescent="0.25">
      <c r="A416" s="8" t="s">
        <v>3008</v>
      </c>
      <c r="B416" s="8" t="s">
        <v>3454</v>
      </c>
    </row>
    <row r="417" spans="1:2" x14ac:dyDescent="0.25">
      <c r="A417" s="8" t="s">
        <v>3009</v>
      </c>
      <c r="B417" s="8" t="s">
        <v>3455</v>
      </c>
    </row>
    <row r="418" spans="1:2" x14ac:dyDescent="0.25">
      <c r="A418" s="8" t="s">
        <v>3010</v>
      </c>
      <c r="B418" s="8" t="s">
        <v>3456</v>
      </c>
    </row>
    <row r="419" spans="1:2" x14ac:dyDescent="0.25">
      <c r="A419" s="8" t="s">
        <v>3011</v>
      </c>
      <c r="B419" s="8" t="s">
        <v>3457</v>
      </c>
    </row>
    <row r="420" spans="1:2" x14ac:dyDescent="0.25">
      <c r="A420" s="8" t="s">
        <v>3012</v>
      </c>
      <c r="B420" s="8" t="s">
        <v>3458</v>
      </c>
    </row>
    <row r="421" spans="1:2" x14ac:dyDescent="0.25">
      <c r="A421" s="8" t="s">
        <v>3013</v>
      </c>
      <c r="B421" s="8" t="s">
        <v>3459</v>
      </c>
    </row>
    <row r="422" spans="1:2" x14ac:dyDescent="0.25">
      <c r="A422" s="8" t="s">
        <v>3014</v>
      </c>
      <c r="B422" s="8" t="s">
        <v>3460</v>
      </c>
    </row>
    <row r="423" spans="1:2" x14ac:dyDescent="0.25">
      <c r="A423" s="8" t="s">
        <v>3015</v>
      </c>
      <c r="B423" s="8" t="s">
        <v>3461</v>
      </c>
    </row>
    <row r="424" spans="1:2" x14ac:dyDescent="0.25">
      <c r="A424" s="8" t="s">
        <v>3016</v>
      </c>
      <c r="B424" s="8" t="s">
        <v>3462</v>
      </c>
    </row>
    <row r="425" spans="1:2" x14ac:dyDescent="0.25">
      <c r="A425" s="8" t="s">
        <v>3017</v>
      </c>
      <c r="B425" s="8" t="s">
        <v>3463</v>
      </c>
    </row>
    <row r="426" spans="1:2" x14ac:dyDescent="0.25">
      <c r="A426" s="8" t="s">
        <v>3018</v>
      </c>
      <c r="B426" s="8" t="s">
        <v>3464</v>
      </c>
    </row>
    <row r="427" spans="1:2" x14ac:dyDescent="0.25">
      <c r="A427" s="8" t="s">
        <v>3019</v>
      </c>
      <c r="B427" s="8" t="s">
        <v>3465</v>
      </c>
    </row>
    <row r="428" spans="1:2" x14ac:dyDescent="0.25">
      <c r="A428" s="8" t="s">
        <v>3020</v>
      </c>
      <c r="B428" s="8" t="s">
        <v>3466</v>
      </c>
    </row>
    <row r="429" spans="1:2" x14ac:dyDescent="0.25">
      <c r="A429" s="8" t="s">
        <v>3021</v>
      </c>
      <c r="B429" s="8" t="s">
        <v>3467</v>
      </c>
    </row>
    <row r="430" spans="1:2" x14ac:dyDescent="0.25">
      <c r="A430" s="8" t="s">
        <v>3022</v>
      </c>
      <c r="B430" s="8" t="s">
        <v>3468</v>
      </c>
    </row>
    <row r="431" spans="1:2" x14ac:dyDescent="0.25">
      <c r="A431" s="8" t="s">
        <v>3023</v>
      </c>
      <c r="B431" s="8" t="s">
        <v>3469</v>
      </c>
    </row>
    <row r="432" spans="1:2" x14ac:dyDescent="0.25">
      <c r="A432" s="8" t="s">
        <v>3024</v>
      </c>
      <c r="B432" s="8" t="s">
        <v>3470</v>
      </c>
    </row>
    <row r="433" spans="1:2" x14ac:dyDescent="0.25">
      <c r="A433" s="8" t="s">
        <v>3025</v>
      </c>
      <c r="B433" s="8" t="s">
        <v>3471</v>
      </c>
    </row>
    <row r="434" spans="1:2" x14ac:dyDescent="0.25">
      <c r="A434" s="8" t="s">
        <v>3026</v>
      </c>
      <c r="B434" s="8" t="s">
        <v>3472</v>
      </c>
    </row>
    <row r="435" spans="1:2" x14ac:dyDescent="0.25">
      <c r="A435" s="8" t="s">
        <v>3027</v>
      </c>
      <c r="B435" s="8" t="s">
        <v>3473</v>
      </c>
    </row>
    <row r="436" spans="1:2" x14ac:dyDescent="0.25">
      <c r="A436" s="8" t="s">
        <v>3028</v>
      </c>
      <c r="B436" s="8" t="s">
        <v>3474</v>
      </c>
    </row>
    <row r="437" spans="1:2" x14ac:dyDescent="0.25">
      <c r="A437" s="8" t="s">
        <v>3029</v>
      </c>
      <c r="B437" s="8" t="s">
        <v>3475</v>
      </c>
    </row>
    <row r="438" spans="1:2" x14ac:dyDescent="0.25">
      <c r="A438" s="8" t="s">
        <v>3030</v>
      </c>
      <c r="B438" s="8" t="s">
        <v>3476</v>
      </c>
    </row>
    <row r="439" spans="1:2" x14ac:dyDescent="0.25">
      <c r="A439" s="8" t="s">
        <v>3031</v>
      </c>
      <c r="B439" s="8" t="s">
        <v>3477</v>
      </c>
    </row>
    <row r="440" spans="1:2" x14ac:dyDescent="0.25">
      <c r="A440" s="8" t="s">
        <v>3032</v>
      </c>
      <c r="B440" s="8" t="s">
        <v>3478</v>
      </c>
    </row>
    <row r="441" spans="1:2" x14ac:dyDescent="0.25">
      <c r="A441" s="8" t="s">
        <v>3033</v>
      </c>
      <c r="B441" s="8" t="s">
        <v>3479</v>
      </c>
    </row>
    <row r="442" spans="1:2" x14ac:dyDescent="0.25">
      <c r="A442" s="8" t="s">
        <v>3034</v>
      </c>
      <c r="B442" s="8" t="s">
        <v>3480</v>
      </c>
    </row>
    <row r="443" spans="1:2" x14ac:dyDescent="0.25">
      <c r="A443" s="8" t="s">
        <v>3035</v>
      </c>
      <c r="B443" s="8" t="s">
        <v>3481</v>
      </c>
    </row>
    <row r="444" spans="1:2" x14ac:dyDescent="0.25">
      <c r="A444" s="8" t="s">
        <v>3036</v>
      </c>
      <c r="B444" s="8" t="s">
        <v>3482</v>
      </c>
    </row>
    <row r="445" spans="1:2" x14ac:dyDescent="0.25">
      <c r="A445" s="8" t="s">
        <v>3037</v>
      </c>
      <c r="B445" s="8" t="s">
        <v>3483</v>
      </c>
    </row>
    <row r="446" spans="1:2" x14ac:dyDescent="0.25">
      <c r="A446" s="8" t="s">
        <v>3038</v>
      </c>
      <c r="B446" s="8" t="s">
        <v>3484</v>
      </c>
    </row>
    <row r="447" spans="1:2" x14ac:dyDescent="0.25">
      <c r="A447" s="8" t="s">
        <v>3039</v>
      </c>
      <c r="B447" s="8" t="s">
        <v>3485</v>
      </c>
    </row>
    <row r="448" spans="1:2" x14ac:dyDescent="0.25">
      <c r="A448" s="8" t="s">
        <v>3040</v>
      </c>
      <c r="B448" s="8" t="s">
        <v>3486</v>
      </c>
    </row>
    <row r="449" spans="1:2" x14ac:dyDescent="0.25">
      <c r="A449" s="8" t="s">
        <v>3041</v>
      </c>
      <c r="B449" s="8" t="s">
        <v>3487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meteoritical_code_exists</vt:lpstr>
      <vt:lpstr>Sheet1</vt:lpstr>
      <vt:lpstr>Sheet2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Stephen Richard</dc:creator>
  <cp:lastModifiedBy>Stephen Richard</cp:lastModifiedBy>
  <dcterms:created xsi:type="dcterms:W3CDTF">2023-06-18T22:07:21Z</dcterms:created>
  <dcterms:modified xsi:type="dcterms:W3CDTF">2023-06-20T16:08:26Z</dcterms:modified>
</cp:coreProperties>
</file>